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art time\weekly main\"/>
    </mc:Choice>
  </mc:AlternateContent>
  <xr:revisionPtr revIDLastSave="0" documentId="13_ncr:1_{83ECEA5F-FD0B-4F49-AF84-9CF1851D9E39}" xr6:coauthVersionLast="47" xr6:coauthVersionMax="47" xr10:uidLastSave="{00000000-0000-0000-0000-000000000000}"/>
  <bookViews>
    <workbookView xWindow="-108" yWindow="-108" windowWidth="23256" windowHeight="12456" tabRatio="813" xr2:uid="{00000000-000D-0000-FFFF-FFFF00000000}"/>
  </bookViews>
  <sheets>
    <sheet name="Highway" sheetId="1" r:id="rId1"/>
    <sheet name="Kababwala" sheetId="2" r:id="rId2"/>
    <sheet name="Pizza K Heartland" sheetId="3" r:id="rId3"/>
    <sheet name="Pizza K Eglinton" sheetId="4" r:id="rId4"/>
    <sheet name="Karachi Food Court" sheetId="5" r:id="rId5"/>
    <sheet name="Markham" sheetId="6" r:id="rId6"/>
    <sheet name="Jane" sheetId="7" r:id="rId7"/>
    <sheet name="Ajax" sheetId="8" r:id="rId8"/>
    <sheet name="PKQueen" sheetId="9" r:id="rId9"/>
    <sheet name="KKWQueen" sheetId="10" r:id="rId10"/>
    <sheet name="Lebovic" sheetId="11" r:id="rId11"/>
    <sheet name="Icecream" sheetId="12" r:id="rId12"/>
    <sheet name="Total" sheetId="13" r:id="rId13"/>
    <sheet name="Sheet1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4" i="11" l="1"/>
  <c r="C84" i="11"/>
  <c r="C67" i="11"/>
  <c r="D67" i="11"/>
  <c r="O67" i="11"/>
  <c r="P67" i="11"/>
  <c r="D73" i="10"/>
  <c r="C73" i="10"/>
  <c r="C57" i="10"/>
  <c r="D57" i="10"/>
  <c r="M57" i="10"/>
  <c r="N57" i="10"/>
  <c r="D103" i="9"/>
  <c r="C103" i="9"/>
  <c r="C87" i="9"/>
  <c r="D87" i="9"/>
  <c r="Q87" i="9"/>
  <c r="R87" i="9"/>
  <c r="D106" i="8"/>
  <c r="C106" i="8"/>
  <c r="C90" i="8"/>
  <c r="D90" i="8"/>
  <c r="O90" i="8"/>
  <c r="P90" i="8"/>
  <c r="D128" i="7"/>
  <c r="C128" i="7"/>
  <c r="C112" i="7"/>
  <c r="D112" i="7"/>
  <c r="O112" i="7"/>
  <c r="P112" i="7"/>
  <c r="D162" i="6"/>
  <c r="C162" i="6"/>
  <c r="C146" i="6"/>
  <c r="D146" i="6"/>
  <c r="M146" i="6"/>
  <c r="N146" i="6"/>
  <c r="P145" i="5"/>
  <c r="Q145" i="5"/>
  <c r="L159" i="4"/>
  <c r="M159" i="4"/>
  <c r="N145" i="3"/>
  <c r="O145" i="3"/>
  <c r="N146" i="2"/>
  <c r="C146" i="2"/>
  <c r="O146" i="1"/>
  <c r="N146" i="1"/>
  <c r="D83" i="11"/>
  <c r="C83" i="11"/>
  <c r="D72" i="10"/>
  <c r="C72" i="10"/>
  <c r="C66" i="11"/>
  <c r="D66" i="11"/>
  <c r="O66" i="11"/>
  <c r="P66" i="11" s="1"/>
  <c r="C56" i="10"/>
  <c r="D56" i="10"/>
  <c r="M56" i="10"/>
  <c r="N56" i="10"/>
  <c r="C86" i="9"/>
  <c r="D86" i="9"/>
  <c r="Q86" i="9"/>
  <c r="R86" i="9" s="1"/>
  <c r="C89" i="8"/>
  <c r="D89" i="8"/>
  <c r="O89" i="8"/>
  <c r="P89" i="8"/>
  <c r="C111" i="7"/>
  <c r="D111" i="7"/>
  <c r="O111" i="7"/>
  <c r="P111" i="7"/>
  <c r="C145" i="6"/>
  <c r="D145" i="6"/>
  <c r="M145" i="6"/>
  <c r="N145" i="6"/>
  <c r="P144" i="5"/>
  <c r="Q144" i="5"/>
  <c r="L158" i="4"/>
  <c r="M158" i="4"/>
  <c r="N144" i="3"/>
  <c r="O144" i="3"/>
  <c r="N145" i="2"/>
  <c r="C145" i="2"/>
  <c r="N145" i="1"/>
  <c r="O145" i="1"/>
  <c r="D24" i="13"/>
  <c r="C24" i="13"/>
  <c r="B17" i="13"/>
  <c r="B16" i="13"/>
  <c r="B15" i="13"/>
  <c r="B14" i="13"/>
  <c r="B13" i="13"/>
  <c r="B12" i="13"/>
  <c r="B11" i="13"/>
  <c r="B10" i="13"/>
  <c r="B9" i="13"/>
  <c r="B8" i="13"/>
  <c r="B7" i="13"/>
  <c r="B6" i="13"/>
  <c r="B5" i="13"/>
  <c r="B4" i="13"/>
  <c r="B3" i="13"/>
  <c r="B2" i="13"/>
  <c r="D82" i="11"/>
  <c r="C82" i="11"/>
  <c r="D81" i="11"/>
  <c r="C81" i="11"/>
  <c r="D80" i="11"/>
  <c r="C80" i="11"/>
  <c r="D79" i="11"/>
  <c r="C79" i="11"/>
  <c r="D78" i="11"/>
  <c r="C78" i="11"/>
  <c r="D77" i="11"/>
  <c r="C77" i="11"/>
  <c r="D76" i="11"/>
  <c r="C76" i="11"/>
  <c r="D75" i="11"/>
  <c r="C75" i="11"/>
  <c r="D74" i="11"/>
  <c r="C74" i="11"/>
  <c r="D73" i="11"/>
  <c r="C73" i="11"/>
  <c r="O65" i="11"/>
  <c r="P65" i="11" s="1"/>
  <c r="D65" i="11"/>
  <c r="C65" i="11"/>
  <c r="O64" i="11"/>
  <c r="P64" i="11" s="1"/>
  <c r="D64" i="11"/>
  <c r="C64" i="11"/>
  <c r="O63" i="11"/>
  <c r="P63" i="11" s="1"/>
  <c r="D63" i="11"/>
  <c r="C63" i="11"/>
  <c r="O62" i="11"/>
  <c r="P62" i="11" s="1"/>
  <c r="D62" i="11"/>
  <c r="C62" i="11"/>
  <c r="O61" i="11"/>
  <c r="P61" i="11" s="1"/>
  <c r="D61" i="11"/>
  <c r="C61" i="11"/>
  <c r="O60" i="11"/>
  <c r="P60" i="11" s="1"/>
  <c r="D60" i="11"/>
  <c r="C60" i="11"/>
  <c r="O59" i="11"/>
  <c r="P59" i="11" s="1"/>
  <c r="D59" i="11"/>
  <c r="C59" i="11"/>
  <c r="O58" i="11"/>
  <c r="P58" i="11" s="1"/>
  <c r="D58" i="11"/>
  <c r="C58" i="11"/>
  <c r="O57" i="11"/>
  <c r="P57" i="11" s="1"/>
  <c r="D57" i="11"/>
  <c r="C57" i="11"/>
  <c r="O56" i="11"/>
  <c r="P56" i="11" s="1"/>
  <c r="D56" i="11"/>
  <c r="C56" i="11"/>
  <c r="O55" i="11"/>
  <c r="P55" i="11" s="1"/>
  <c r="D55" i="11"/>
  <c r="C55" i="11"/>
  <c r="O54" i="11"/>
  <c r="P54" i="11" s="1"/>
  <c r="D54" i="11"/>
  <c r="C54" i="11"/>
  <c r="O53" i="11"/>
  <c r="P53" i="11" s="1"/>
  <c r="D53" i="11"/>
  <c r="C53" i="11"/>
  <c r="O52" i="11"/>
  <c r="P52" i="11" s="1"/>
  <c r="D52" i="11"/>
  <c r="C52" i="11"/>
  <c r="O51" i="11"/>
  <c r="P51" i="11" s="1"/>
  <c r="D51" i="11"/>
  <c r="C51" i="11"/>
  <c r="O50" i="11"/>
  <c r="P50" i="11" s="1"/>
  <c r="D50" i="11"/>
  <c r="C50" i="11"/>
  <c r="O49" i="11"/>
  <c r="P49" i="11" s="1"/>
  <c r="D49" i="11"/>
  <c r="C49" i="11"/>
  <c r="O48" i="11"/>
  <c r="P48" i="11" s="1"/>
  <c r="D48" i="11"/>
  <c r="C48" i="11"/>
  <c r="O47" i="11"/>
  <c r="P47" i="11" s="1"/>
  <c r="D47" i="11"/>
  <c r="C47" i="11"/>
  <c r="O46" i="11"/>
  <c r="P46" i="11" s="1"/>
  <c r="D46" i="11"/>
  <c r="C46" i="11"/>
  <c r="O45" i="11"/>
  <c r="P45" i="11" s="1"/>
  <c r="D45" i="11"/>
  <c r="C45" i="11"/>
  <c r="O44" i="11"/>
  <c r="P44" i="11" s="1"/>
  <c r="D44" i="11"/>
  <c r="C44" i="11"/>
  <c r="O43" i="11"/>
  <c r="P43" i="11" s="1"/>
  <c r="D43" i="11"/>
  <c r="C43" i="11"/>
  <c r="O42" i="11"/>
  <c r="P42" i="11" s="1"/>
  <c r="D42" i="11"/>
  <c r="C42" i="11"/>
  <c r="O41" i="11"/>
  <c r="P41" i="11" s="1"/>
  <c r="D41" i="11"/>
  <c r="C41" i="11"/>
  <c r="O40" i="11"/>
  <c r="P40" i="11" s="1"/>
  <c r="D40" i="11"/>
  <c r="C40" i="11"/>
  <c r="O39" i="11"/>
  <c r="P39" i="11" s="1"/>
  <c r="D39" i="11"/>
  <c r="C39" i="11"/>
  <c r="O38" i="11"/>
  <c r="P38" i="11" s="1"/>
  <c r="D38" i="11"/>
  <c r="C38" i="11"/>
  <c r="O37" i="11"/>
  <c r="P37" i="11" s="1"/>
  <c r="D37" i="11"/>
  <c r="C37" i="11"/>
  <c r="O36" i="11"/>
  <c r="P36" i="11" s="1"/>
  <c r="D36" i="11"/>
  <c r="C36" i="11"/>
  <c r="O35" i="11"/>
  <c r="P35" i="11" s="1"/>
  <c r="D35" i="11"/>
  <c r="C35" i="11"/>
  <c r="O34" i="11"/>
  <c r="P34" i="11" s="1"/>
  <c r="D34" i="11"/>
  <c r="C34" i="11"/>
  <c r="O33" i="11"/>
  <c r="P33" i="11" s="1"/>
  <c r="D33" i="11"/>
  <c r="C33" i="11"/>
  <c r="O32" i="11"/>
  <c r="P32" i="11" s="1"/>
  <c r="D32" i="11"/>
  <c r="C32" i="11"/>
  <c r="O31" i="11"/>
  <c r="P31" i="11" s="1"/>
  <c r="D31" i="11"/>
  <c r="C31" i="11"/>
  <c r="O30" i="11"/>
  <c r="P30" i="11" s="1"/>
  <c r="D30" i="11"/>
  <c r="C30" i="11"/>
  <c r="O29" i="11"/>
  <c r="P29" i="11" s="1"/>
  <c r="D29" i="11"/>
  <c r="C29" i="11"/>
  <c r="O28" i="11"/>
  <c r="P28" i="11" s="1"/>
  <c r="D28" i="11"/>
  <c r="C28" i="11"/>
  <c r="O27" i="11"/>
  <c r="P27" i="11" s="1"/>
  <c r="D27" i="11"/>
  <c r="C27" i="11"/>
  <c r="O26" i="11"/>
  <c r="P26" i="11" s="1"/>
  <c r="D26" i="11"/>
  <c r="C26" i="11"/>
  <c r="O25" i="11"/>
  <c r="P25" i="11" s="1"/>
  <c r="D25" i="11"/>
  <c r="C25" i="11"/>
  <c r="O24" i="11"/>
  <c r="P24" i="11" s="1"/>
  <c r="D24" i="11"/>
  <c r="C24" i="11"/>
  <c r="O23" i="11"/>
  <c r="P23" i="11" s="1"/>
  <c r="D23" i="11"/>
  <c r="C23" i="11"/>
  <c r="O22" i="11"/>
  <c r="P22" i="11" s="1"/>
  <c r="D22" i="11"/>
  <c r="C22" i="11"/>
  <c r="O21" i="11"/>
  <c r="P21" i="11" s="1"/>
  <c r="D21" i="11"/>
  <c r="C21" i="11"/>
  <c r="O20" i="11"/>
  <c r="P20" i="11" s="1"/>
  <c r="D20" i="11"/>
  <c r="C20" i="11"/>
  <c r="O19" i="11"/>
  <c r="P19" i="11" s="1"/>
  <c r="D19" i="11"/>
  <c r="C19" i="11"/>
  <c r="O18" i="11"/>
  <c r="P18" i="11" s="1"/>
  <c r="D18" i="11"/>
  <c r="C18" i="11"/>
  <c r="O17" i="11"/>
  <c r="P17" i="11" s="1"/>
  <c r="D17" i="11"/>
  <c r="C17" i="11"/>
  <c r="O16" i="11"/>
  <c r="P16" i="11" s="1"/>
  <c r="D16" i="11"/>
  <c r="C16" i="11"/>
  <c r="O15" i="11"/>
  <c r="P15" i="11" s="1"/>
  <c r="D15" i="11"/>
  <c r="C15" i="11"/>
  <c r="O14" i="11"/>
  <c r="P14" i="11" s="1"/>
  <c r="D14" i="11"/>
  <c r="C14" i="11"/>
  <c r="O13" i="11"/>
  <c r="P13" i="11" s="1"/>
  <c r="D13" i="11"/>
  <c r="C13" i="11"/>
  <c r="O12" i="11"/>
  <c r="P12" i="11" s="1"/>
  <c r="D12" i="11"/>
  <c r="C12" i="11"/>
  <c r="O11" i="11"/>
  <c r="P11" i="11" s="1"/>
  <c r="D11" i="11"/>
  <c r="C11" i="11"/>
  <c r="O10" i="11"/>
  <c r="P10" i="11" s="1"/>
  <c r="D10" i="11"/>
  <c r="C10" i="11"/>
  <c r="O9" i="11"/>
  <c r="P9" i="11" s="1"/>
  <c r="D9" i="11"/>
  <c r="C9" i="11"/>
  <c r="O8" i="11"/>
  <c r="P8" i="11" s="1"/>
  <c r="D8" i="11"/>
  <c r="C8" i="11"/>
  <c r="O7" i="11"/>
  <c r="P7" i="11" s="1"/>
  <c r="D7" i="11"/>
  <c r="C7" i="11"/>
  <c r="O6" i="11"/>
  <c r="P6" i="11" s="1"/>
  <c r="D6" i="11"/>
  <c r="C6" i="11"/>
  <c r="O5" i="11"/>
  <c r="P5" i="11" s="1"/>
  <c r="D5" i="11"/>
  <c r="C5" i="11"/>
  <c r="O4" i="11"/>
  <c r="D4" i="11"/>
  <c r="C4" i="11"/>
  <c r="O3" i="11"/>
  <c r="D3" i="11"/>
  <c r="C3" i="11"/>
  <c r="D71" i="10"/>
  <c r="C71" i="10"/>
  <c r="D70" i="10"/>
  <c r="C70" i="10"/>
  <c r="D69" i="10"/>
  <c r="C69" i="10"/>
  <c r="D68" i="10"/>
  <c r="C68" i="10"/>
  <c r="D67" i="10"/>
  <c r="C67" i="10"/>
  <c r="D66" i="10"/>
  <c r="C66" i="10"/>
  <c r="D65" i="10"/>
  <c r="C65" i="10"/>
  <c r="D64" i="10"/>
  <c r="C64" i="10"/>
  <c r="D63" i="10"/>
  <c r="C63" i="10"/>
  <c r="D62" i="10"/>
  <c r="C62" i="10"/>
  <c r="M55" i="10"/>
  <c r="N55" i="10" s="1"/>
  <c r="D55" i="10"/>
  <c r="C55" i="10"/>
  <c r="M54" i="10"/>
  <c r="N54" i="10" s="1"/>
  <c r="D54" i="10"/>
  <c r="C54" i="10"/>
  <c r="M53" i="10"/>
  <c r="N53" i="10" s="1"/>
  <c r="D53" i="10"/>
  <c r="C53" i="10"/>
  <c r="M52" i="10"/>
  <c r="N52" i="10" s="1"/>
  <c r="D52" i="10"/>
  <c r="C52" i="10"/>
  <c r="M51" i="10"/>
  <c r="N51" i="10" s="1"/>
  <c r="D51" i="10"/>
  <c r="C51" i="10"/>
  <c r="M50" i="10"/>
  <c r="N50" i="10" s="1"/>
  <c r="D50" i="10"/>
  <c r="C50" i="10"/>
  <c r="M49" i="10"/>
  <c r="N49" i="10" s="1"/>
  <c r="D49" i="10"/>
  <c r="C49" i="10"/>
  <c r="M48" i="10"/>
  <c r="N48" i="10" s="1"/>
  <c r="D48" i="10"/>
  <c r="C48" i="10"/>
  <c r="M47" i="10"/>
  <c r="N47" i="10" s="1"/>
  <c r="D47" i="10"/>
  <c r="C47" i="10"/>
  <c r="M46" i="10"/>
  <c r="N46" i="10" s="1"/>
  <c r="D46" i="10"/>
  <c r="C46" i="10"/>
  <c r="M45" i="10"/>
  <c r="N45" i="10" s="1"/>
  <c r="D45" i="10"/>
  <c r="C45" i="10"/>
  <c r="M44" i="10"/>
  <c r="N44" i="10" s="1"/>
  <c r="D44" i="10"/>
  <c r="C44" i="10"/>
  <c r="M43" i="10"/>
  <c r="N43" i="10" s="1"/>
  <c r="D43" i="10"/>
  <c r="C43" i="10"/>
  <c r="M42" i="10"/>
  <c r="N42" i="10" s="1"/>
  <c r="D42" i="10"/>
  <c r="C42" i="10"/>
  <c r="M41" i="10"/>
  <c r="N41" i="10" s="1"/>
  <c r="D41" i="10"/>
  <c r="C41" i="10"/>
  <c r="M40" i="10"/>
  <c r="N40" i="10" s="1"/>
  <c r="D40" i="10"/>
  <c r="C40" i="10"/>
  <c r="M39" i="10"/>
  <c r="N39" i="10" s="1"/>
  <c r="D39" i="10"/>
  <c r="C39" i="10"/>
  <c r="M38" i="10"/>
  <c r="N38" i="10" s="1"/>
  <c r="D38" i="10"/>
  <c r="C38" i="10"/>
  <c r="M37" i="10"/>
  <c r="N37" i="10" s="1"/>
  <c r="D37" i="10"/>
  <c r="C37" i="10"/>
  <c r="M36" i="10"/>
  <c r="N36" i="10" s="1"/>
  <c r="D36" i="10"/>
  <c r="C36" i="10"/>
  <c r="M35" i="10"/>
  <c r="N35" i="10" s="1"/>
  <c r="D35" i="10"/>
  <c r="C35" i="10"/>
  <c r="M34" i="10"/>
  <c r="N34" i="10" s="1"/>
  <c r="D34" i="10"/>
  <c r="C34" i="10"/>
  <c r="M33" i="10"/>
  <c r="N33" i="10" s="1"/>
  <c r="D33" i="10"/>
  <c r="C33" i="10"/>
  <c r="M32" i="10"/>
  <c r="N32" i="10" s="1"/>
  <c r="D32" i="10"/>
  <c r="C32" i="10"/>
  <c r="M31" i="10"/>
  <c r="N31" i="10" s="1"/>
  <c r="D31" i="10"/>
  <c r="C31" i="10"/>
  <c r="M30" i="10"/>
  <c r="N30" i="10" s="1"/>
  <c r="D30" i="10"/>
  <c r="C30" i="10"/>
  <c r="M29" i="10"/>
  <c r="N29" i="10" s="1"/>
  <c r="D29" i="10"/>
  <c r="C29" i="10"/>
  <c r="M28" i="10"/>
  <c r="N28" i="10" s="1"/>
  <c r="D28" i="10"/>
  <c r="C28" i="10"/>
  <c r="M27" i="10"/>
  <c r="N27" i="10" s="1"/>
  <c r="D27" i="10"/>
  <c r="C27" i="10"/>
  <c r="M26" i="10"/>
  <c r="N26" i="10" s="1"/>
  <c r="D26" i="10"/>
  <c r="C26" i="10"/>
  <c r="M25" i="10"/>
  <c r="N25" i="10" s="1"/>
  <c r="D25" i="10"/>
  <c r="C25" i="10"/>
  <c r="M24" i="10"/>
  <c r="N24" i="10" s="1"/>
  <c r="D24" i="10"/>
  <c r="C24" i="10"/>
  <c r="M23" i="10"/>
  <c r="N23" i="10" s="1"/>
  <c r="D23" i="10"/>
  <c r="C23" i="10"/>
  <c r="M22" i="10"/>
  <c r="N22" i="10" s="1"/>
  <c r="D22" i="10"/>
  <c r="C22" i="10"/>
  <c r="M21" i="10"/>
  <c r="N21" i="10" s="1"/>
  <c r="D21" i="10"/>
  <c r="C21" i="10"/>
  <c r="M20" i="10"/>
  <c r="N20" i="10" s="1"/>
  <c r="D20" i="10"/>
  <c r="C20" i="10"/>
  <c r="M19" i="10"/>
  <c r="N19" i="10" s="1"/>
  <c r="D19" i="10"/>
  <c r="C19" i="10"/>
  <c r="M18" i="10"/>
  <c r="N18" i="10" s="1"/>
  <c r="D18" i="10"/>
  <c r="C18" i="10"/>
  <c r="M17" i="10"/>
  <c r="N17" i="10" s="1"/>
  <c r="D17" i="10"/>
  <c r="C17" i="10"/>
  <c r="M16" i="10"/>
  <c r="N16" i="10" s="1"/>
  <c r="D16" i="10"/>
  <c r="C16" i="10"/>
  <c r="M15" i="10"/>
  <c r="N15" i="10" s="1"/>
  <c r="D15" i="10"/>
  <c r="C15" i="10"/>
  <c r="M14" i="10"/>
  <c r="N14" i="10" s="1"/>
  <c r="D14" i="10"/>
  <c r="C14" i="10"/>
  <c r="M13" i="10"/>
  <c r="N13" i="10" s="1"/>
  <c r="D13" i="10"/>
  <c r="C13" i="10"/>
  <c r="M12" i="10"/>
  <c r="D12" i="10"/>
  <c r="C12" i="10"/>
  <c r="M11" i="10"/>
  <c r="D11" i="10"/>
  <c r="C11" i="10"/>
  <c r="M10" i="10"/>
  <c r="D10" i="10"/>
  <c r="C10" i="10"/>
  <c r="M9" i="10"/>
  <c r="D9" i="10"/>
  <c r="C9" i="10"/>
  <c r="M8" i="10"/>
  <c r="D8" i="10"/>
  <c r="C8" i="10"/>
  <c r="M7" i="10"/>
  <c r="D7" i="10"/>
  <c r="C7" i="10"/>
  <c r="M6" i="10"/>
  <c r="D6" i="10"/>
  <c r="C6" i="10"/>
  <c r="M5" i="10"/>
  <c r="D5" i="10"/>
  <c r="C5" i="10"/>
  <c r="D4" i="10"/>
  <c r="C4" i="10"/>
  <c r="N3" i="10"/>
  <c r="D3" i="10"/>
  <c r="C3" i="10"/>
  <c r="D101" i="9"/>
  <c r="C101" i="9"/>
  <c r="D100" i="9"/>
  <c r="C100" i="9"/>
  <c r="D99" i="9"/>
  <c r="C99" i="9"/>
  <c r="D98" i="9"/>
  <c r="C98" i="9"/>
  <c r="D97" i="9"/>
  <c r="C97" i="9"/>
  <c r="D96" i="9"/>
  <c r="C96" i="9"/>
  <c r="D95" i="9"/>
  <c r="C95" i="9"/>
  <c r="D94" i="9"/>
  <c r="C94" i="9"/>
  <c r="D93" i="9"/>
  <c r="C93" i="9"/>
  <c r="D92" i="9"/>
  <c r="C92" i="9"/>
  <c r="Q85" i="9"/>
  <c r="R85" i="9" s="1"/>
  <c r="D85" i="9"/>
  <c r="C85" i="9"/>
  <c r="Q84" i="9"/>
  <c r="R84" i="9" s="1"/>
  <c r="D84" i="9"/>
  <c r="C84" i="9"/>
  <c r="Q83" i="9"/>
  <c r="R83" i="9" s="1"/>
  <c r="D83" i="9"/>
  <c r="C83" i="9"/>
  <c r="Q82" i="9"/>
  <c r="R82" i="9" s="1"/>
  <c r="D82" i="9"/>
  <c r="C82" i="9"/>
  <c r="Q81" i="9"/>
  <c r="R81" i="9" s="1"/>
  <c r="D81" i="9"/>
  <c r="C81" i="9"/>
  <c r="Q80" i="9"/>
  <c r="R80" i="9" s="1"/>
  <c r="D80" i="9"/>
  <c r="C80" i="9"/>
  <c r="Q79" i="9"/>
  <c r="R79" i="9" s="1"/>
  <c r="D79" i="9"/>
  <c r="C79" i="9"/>
  <c r="Q78" i="9"/>
  <c r="R78" i="9" s="1"/>
  <c r="D78" i="9"/>
  <c r="C78" i="9"/>
  <c r="Q77" i="9"/>
  <c r="R77" i="9" s="1"/>
  <c r="D77" i="9"/>
  <c r="C77" i="9"/>
  <c r="Q76" i="9"/>
  <c r="R76" i="9" s="1"/>
  <c r="D76" i="9"/>
  <c r="C76" i="9"/>
  <c r="Q75" i="9"/>
  <c r="R75" i="9" s="1"/>
  <c r="D75" i="9"/>
  <c r="C75" i="9"/>
  <c r="Q74" i="9"/>
  <c r="R74" i="9" s="1"/>
  <c r="D74" i="9"/>
  <c r="C74" i="9"/>
  <c r="Q73" i="9"/>
  <c r="R73" i="9" s="1"/>
  <c r="D73" i="9"/>
  <c r="C73" i="9"/>
  <c r="Q72" i="9"/>
  <c r="R72" i="9" s="1"/>
  <c r="D72" i="9"/>
  <c r="C72" i="9"/>
  <c r="Q71" i="9"/>
  <c r="R71" i="9" s="1"/>
  <c r="D71" i="9"/>
  <c r="C71" i="9"/>
  <c r="Q70" i="9"/>
  <c r="R70" i="9" s="1"/>
  <c r="D70" i="9"/>
  <c r="C70" i="9"/>
  <c r="Q69" i="9"/>
  <c r="R69" i="9" s="1"/>
  <c r="D69" i="9"/>
  <c r="C69" i="9"/>
  <c r="Q68" i="9"/>
  <c r="R68" i="9" s="1"/>
  <c r="D68" i="9"/>
  <c r="C68" i="9"/>
  <c r="Q67" i="9"/>
  <c r="R67" i="9" s="1"/>
  <c r="D67" i="9"/>
  <c r="C67" i="9"/>
  <c r="Q66" i="9"/>
  <c r="R66" i="9" s="1"/>
  <c r="D66" i="9"/>
  <c r="C66" i="9"/>
  <c r="Q65" i="9"/>
  <c r="R65" i="9" s="1"/>
  <c r="D65" i="9"/>
  <c r="C65" i="9"/>
  <c r="Q64" i="9"/>
  <c r="R64" i="9" s="1"/>
  <c r="D64" i="9"/>
  <c r="C64" i="9"/>
  <c r="Q63" i="9"/>
  <c r="R63" i="9" s="1"/>
  <c r="D63" i="9"/>
  <c r="C63" i="9"/>
  <c r="Q62" i="9"/>
  <c r="R62" i="9" s="1"/>
  <c r="D62" i="9"/>
  <c r="C62" i="9"/>
  <c r="R61" i="9"/>
  <c r="Q61" i="9"/>
  <c r="D61" i="9"/>
  <c r="C61" i="9"/>
  <c r="Q60" i="9"/>
  <c r="R60" i="9" s="1"/>
  <c r="D60" i="9"/>
  <c r="C60" i="9"/>
  <c r="Q59" i="9"/>
  <c r="R59" i="9" s="1"/>
  <c r="D59" i="9"/>
  <c r="C59" i="9"/>
  <c r="Q58" i="9"/>
  <c r="R58" i="9" s="1"/>
  <c r="D58" i="9"/>
  <c r="C58" i="9"/>
  <c r="Q57" i="9"/>
  <c r="R57" i="9" s="1"/>
  <c r="D57" i="9"/>
  <c r="C57" i="9"/>
  <c r="Q56" i="9"/>
  <c r="R56" i="9" s="1"/>
  <c r="D56" i="9"/>
  <c r="C56" i="9"/>
  <c r="Q55" i="9"/>
  <c r="R55" i="9" s="1"/>
  <c r="D55" i="9"/>
  <c r="C55" i="9"/>
  <c r="Q54" i="9"/>
  <c r="R54" i="9" s="1"/>
  <c r="D54" i="9"/>
  <c r="C54" i="9"/>
  <c r="Q53" i="9"/>
  <c r="R53" i="9" s="1"/>
  <c r="D53" i="9"/>
  <c r="C53" i="9"/>
  <c r="Q52" i="9"/>
  <c r="R52" i="9" s="1"/>
  <c r="D52" i="9"/>
  <c r="C52" i="9"/>
  <c r="Q51" i="9"/>
  <c r="R51" i="9" s="1"/>
  <c r="D51" i="9"/>
  <c r="C51" i="9"/>
  <c r="Q50" i="9"/>
  <c r="R50" i="9" s="1"/>
  <c r="D50" i="9"/>
  <c r="C50" i="9"/>
  <c r="Q49" i="9"/>
  <c r="R49" i="9" s="1"/>
  <c r="D49" i="9"/>
  <c r="C49" i="9"/>
  <c r="Q48" i="9"/>
  <c r="R48" i="9" s="1"/>
  <c r="D48" i="9"/>
  <c r="C48" i="9"/>
  <c r="Q47" i="9"/>
  <c r="R47" i="9" s="1"/>
  <c r="D47" i="9"/>
  <c r="C47" i="9"/>
  <c r="Q46" i="9"/>
  <c r="R46" i="9" s="1"/>
  <c r="D46" i="9"/>
  <c r="C46" i="9"/>
  <c r="Q45" i="9"/>
  <c r="R45" i="9" s="1"/>
  <c r="D45" i="9"/>
  <c r="C45" i="9"/>
  <c r="Q44" i="9"/>
  <c r="R44" i="9" s="1"/>
  <c r="D44" i="9"/>
  <c r="C44" i="9"/>
  <c r="Q43" i="9"/>
  <c r="R43" i="9" s="1"/>
  <c r="D43" i="9"/>
  <c r="C43" i="9"/>
  <c r="Q42" i="9"/>
  <c r="R42" i="9" s="1"/>
  <c r="D42" i="9"/>
  <c r="C42" i="9"/>
  <c r="Q41" i="9"/>
  <c r="R41" i="9" s="1"/>
  <c r="D41" i="9"/>
  <c r="C41" i="9"/>
  <c r="Q40" i="9"/>
  <c r="R40" i="9" s="1"/>
  <c r="D40" i="9"/>
  <c r="C40" i="9"/>
  <c r="Q39" i="9"/>
  <c r="R39" i="9" s="1"/>
  <c r="D39" i="9"/>
  <c r="C39" i="9"/>
  <c r="Q38" i="9"/>
  <c r="R38" i="9" s="1"/>
  <c r="D38" i="9"/>
  <c r="C38" i="9"/>
  <c r="Q37" i="9"/>
  <c r="R37" i="9" s="1"/>
  <c r="D37" i="9"/>
  <c r="C37" i="9"/>
  <c r="Q36" i="9"/>
  <c r="R36" i="9" s="1"/>
  <c r="D36" i="9"/>
  <c r="C36" i="9"/>
  <c r="Q35" i="9"/>
  <c r="R35" i="9" s="1"/>
  <c r="D35" i="9"/>
  <c r="C35" i="9"/>
  <c r="Q34" i="9"/>
  <c r="R34" i="9" s="1"/>
  <c r="D34" i="9"/>
  <c r="C34" i="9"/>
  <c r="Q33" i="9"/>
  <c r="R33" i="9" s="1"/>
  <c r="D33" i="9"/>
  <c r="C33" i="9"/>
  <c r="Q32" i="9"/>
  <c r="R32" i="9" s="1"/>
  <c r="D32" i="9"/>
  <c r="C32" i="9"/>
  <c r="Q31" i="9"/>
  <c r="R31" i="9" s="1"/>
  <c r="D31" i="9"/>
  <c r="C31" i="9"/>
  <c r="Q30" i="9"/>
  <c r="R30" i="9" s="1"/>
  <c r="D30" i="9"/>
  <c r="C30" i="9"/>
  <c r="Q29" i="9"/>
  <c r="R29" i="9" s="1"/>
  <c r="D29" i="9"/>
  <c r="C29" i="9"/>
  <c r="Q28" i="9"/>
  <c r="R28" i="9" s="1"/>
  <c r="D28" i="9"/>
  <c r="C28" i="9"/>
  <c r="Q27" i="9"/>
  <c r="R27" i="9" s="1"/>
  <c r="B27" i="9"/>
  <c r="Q26" i="9"/>
  <c r="R26" i="9" s="1"/>
  <c r="D26" i="9"/>
  <c r="C26" i="9"/>
  <c r="Q25" i="9"/>
  <c r="R25" i="9" s="1"/>
  <c r="D25" i="9"/>
  <c r="C25" i="9"/>
  <c r="Q24" i="9"/>
  <c r="R24" i="9" s="1"/>
  <c r="D24" i="9"/>
  <c r="C24" i="9"/>
  <c r="Q23" i="9"/>
  <c r="R23" i="9" s="1"/>
  <c r="D23" i="9"/>
  <c r="C23" i="9"/>
  <c r="Q22" i="9"/>
  <c r="R22" i="9" s="1"/>
  <c r="D22" i="9"/>
  <c r="C22" i="9"/>
  <c r="Q21" i="9"/>
  <c r="R21" i="9" s="1"/>
  <c r="D21" i="9"/>
  <c r="C21" i="9"/>
  <c r="Q20" i="9"/>
  <c r="R20" i="9" s="1"/>
  <c r="D20" i="9"/>
  <c r="C20" i="9"/>
  <c r="Q19" i="9"/>
  <c r="R19" i="9" s="1"/>
  <c r="D19" i="9"/>
  <c r="C19" i="9"/>
  <c r="D18" i="9"/>
  <c r="C18" i="9"/>
  <c r="M17" i="9"/>
  <c r="N17" i="9" s="1"/>
  <c r="D17" i="9"/>
  <c r="C17" i="9"/>
  <c r="M16" i="9"/>
  <c r="N16" i="9" s="1"/>
  <c r="D16" i="9"/>
  <c r="C16" i="9"/>
  <c r="M15" i="9"/>
  <c r="N15" i="9" s="1"/>
  <c r="D15" i="9"/>
  <c r="C15" i="9"/>
  <c r="D14" i="9"/>
  <c r="C14" i="9"/>
  <c r="D13" i="9"/>
  <c r="C13" i="9"/>
  <c r="D12" i="9"/>
  <c r="C12" i="9"/>
  <c r="D11" i="9"/>
  <c r="C11" i="9"/>
  <c r="D10" i="9"/>
  <c r="C10" i="9"/>
  <c r="D9" i="9"/>
  <c r="C9" i="9"/>
  <c r="D8" i="9"/>
  <c r="C8" i="9"/>
  <c r="D7" i="9"/>
  <c r="C7" i="9"/>
  <c r="D6" i="9"/>
  <c r="C6" i="9"/>
  <c r="D5" i="9"/>
  <c r="C5" i="9"/>
  <c r="D4" i="9"/>
  <c r="C4" i="9"/>
  <c r="D3" i="9"/>
  <c r="C3" i="9"/>
  <c r="D104" i="8"/>
  <c r="C104" i="8"/>
  <c r="D103" i="8"/>
  <c r="C103" i="8"/>
  <c r="D102" i="8"/>
  <c r="C102" i="8"/>
  <c r="D101" i="8"/>
  <c r="C101" i="8"/>
  <c r="D100" i="8"/>
  <c r="C100" i="8"/>
  <c r="D99" i="8"/>
  <c r="C99" i="8"/>
  <c r="D98" i="8"/>
  <c r="C98" i="8"/>
  <c r="D97" i="8"/>
  <c r="C97" i="8"/>
  <c r="D96" i="8"/>
  <c r="C96" i="8"/>
  <c r="D95" i="8"/>
  <c r="C95" i="8"/>
  <c r="O88" i="8"/>
  <c r="P88" i="8" s="1"/>
  <c r="D88" i="8"/>
  <c r="C88" i="8"/>
  <c r="O87" i="8"/>
  <c r="P87" i="8" s="1"/>
  <c r="D87" i="8"/>
  <c r="C87" i="8"/>
  <c r="O86" i="8"/>
  <c r="P86" i="8" s="1"/>
  <c r="D86" i="8"/>
  <c r="C86" i="8"/>
  <c r="O85" i="8"/>
  <c r="P85" i="8" s="1"/>
  <c r="D85" i="8"/>
  <c r="C85" i="8"/>
  <c r="O84" i="8"/>
  <c r="P84" i="8" s="1"/>
  <c r="D84" i="8"/>
  <c r="C84" i="8"/>
  <c r="O83" i="8"/>
  <c r="P83" i="8" s="1"/>
  <c r="D83" i="8"/>
  <c r="C83" i="8"/>
  <c r="O82" i="8"/>
  <c r="P82" i="8" s="1"/>
  <c r="D82" i="8"/>
  <c r="C82" i="8"/>
  <c r="O81" i="8"/>
  <c r="P81" i="8" s="1"/>
  <c r="D81" i="8"/>
  <c r="C81" i="8"/>
  <c r="O80" i="8"/>
  <c r="P80" i="8" s="1"/>
  <c r="D80" i="8"/>
  <c r="C80" i="8"/>
  <c r="O79" i="8"/>
  <c r="P79" i="8" s="1"/>
  <c r="D79" i="8"/>
  <c r="C79" i="8"/>
  <c r="O78" i="8"/>
  <c r="P78" i="8" s="1"/>
  <c r="D78" i="8"/>
  <c r="C78" i="8"/>
  <c r="O77" i="8"/>
  <c r="P77" i="8" s="1"/>
  <c r="D77" i="8"/>
  <c r="C77" i="8"/>
  <c r="O76" i="8"/>
  <c r="P76" i="8" s="1"/>
  <c r="D76" i="8"/>
  <c r="C76" i="8"/>
  <c r="O75" i="8"/>
  <c r="P75" i="8" s="1"/>
  <c r="D75" i="8"/>
  <c r="C75" i="8"/>
  <c r="O74" i="8"/>
  <c r="P74" i="8" s="1"/>
  <c r="D74" i="8"/>
  <c r="C74" i="8"/>
  <c r="O73" i="8"/>
  <c r="P73" i="8" s="1"/>
  <c r="D73" i="8"/>
  <c r="C73" i="8"/>
  <c r="O72" i="8"/>
  <c r="P72" i="8" s="1"/>
  <c r="D72" i="8"/>
  <c r="C72" i="8"/>
  <c r="O71" i="8"/>
  <c r="P71" i="8" s="1"/>
  <c r="D71" i="8"/>
  <c r="C71" i="8"/>
  <c r="O70" i="8"/>
  <c r="P70" i="8" s="1"/>
  <c r="D70" i="8"/>
  <c r="C70" i="8"/>
  <c r="O69" i="8"/>
  <c r="P69" i="8" s="1"/>
  <c r="D69" i="8"/>
  <c r="C69" i="8"/>
  <c r="O68" i="8"/>
  <c r="P68" i="8" s="1"/>
  <c r="D68" i="8"/>
  <c r="C68" i="8"/>
  <c r="O67" i="8"/>
  <c r="P67" i="8" s="1"/>
  <c r="D67" i="8"/>
  <c r="C67" i="8"/>
  <c r="O66" i="8"/>
  <c r="P66" i="8" s="1"/>
  <c r="D66" i="8"/>
  <c r="C66" i="8"/>
  <c r="O65" i="8"/>
  <c r="P65" i="8" s="1"/>
  <c r="D65" i="8"/>
  <c r="C65" i="8"/>
  <c r="P64" i="8"/>
  <c r="O64" i="8"/>
  <c r="D64" i="8"/>
  <c r="C64" i="8"/>
  <c r="O63" i="8"/>
  <c r="P63" i="8" s="1"/>
  <c r="D63" i="8"/>
  <c r="C63" i="8"/>
  <c r="O62" i="8"/>
  <c r="P62" i="8" s="1"/>
  <c r="D62" i="8"/>
  <c r="C62" i="8"/>
  <c r="P61" i="8"/>
  <c r="O61" i="8"/>
  <c r="D61" i="8"/>
  <c r="C61" i="8"/>
  <c r="O60" i="8"/>
  <c r="P60" i="8" s="1"/>
  <c r="D60" i="8"/>
  <c r="C60" i="8"/>
  <c r="O59" i="8"/>
  <c r="P59" i="8" s="1"/>
  <c r="D59" i="8"/>
  <c r="C59" i="8"/>
  <c r="P58" i="8"/>
  <c r="O58" i="8"/>
  <c r="D58" i="8"/>
  <c r="C58" i="8"/>
  <c r="O57" i="8"/>
  <c r="P57" i="8" s="1"/>
  <c r="D57" i="8"/>
  <c r="C57" i="8"/>
  <c r="O56" i="8"/>
  <c r="P56" i="8" s="1"/>
  <c r="D56" i="8"/>
  <c r="C56" i="8"/>
  <c r="P55" i="8"/>
  <c r="O55" i="8"/>
  <c r="D55" i="8"/>
  <c r="C55" i="8"/>
  <c r="P54" i="8"/>
  <c r="O54" i="8"/>
  <c r="D54" i="8"/>
  <c r="C54" i="8"/>
  <c r="O53" i="8"/>
  <c r="P53" i="8" s="1"/>
  <c r="D53" i="8"/>
  <c r="C53" i="8"/>
  <c r="P52" i="8"/>
  <c r="O52" i="8"/>
  <c r="D52" i="8"/>
  <c r="C52" i="8"/>
  <c r="O51" i="8"/>
  <c r="P51" i="8" s="1"/>
  <c r="D51" i="8"/>
  <c r="C51" i="8"/>
  <c r="O50" i="8"/>
  <c r="P50" i="8" s="1"/>
  <c r="D50" i="8"/>
  <c r="C50" i="8"/>
  <c r="O49" i="8"/>
  <c r="P49" i="8" s="1"/>
  <c r="D49" i="8"/>
  <c r="C49" i="8"/>
  <c r="O48" i="8"/>
  <c r="P48" i="8" s="1"/>
  <c r="D48" i="8"/>
  <c r="C48" i="8"/>
  <c r="O47" i="8"/>
  <c r="P47" i="8" s="1"/>
  <c r="D47" i="8"/>
  <c r="C47" i="8"/>
  <c r="P46" i="8"/>
  <c r="O46" i="8"/>
  <c r="D46" i="8"/>
  <c r="C46" i="8"/>
  <c r="O45" i="8"/>
  <c r="P45" i="8" s="1"/>
  <c r="D45" i="8"/>
  <c r="C45" i="8"/>
  <c r="P44" i="8"/>
  <c r="O44" i="8"/>
  <c r="D44" i="8"/>
  <c r="C44" i="8"/>
  <c r="O43" i="8"/>
  <c r="P43" i="8" s="1"/>
  <c r="D43" i="8"/>
  <c r="C43" i="8"/>
  <c r="O42" i="8"/>
  <c r="P42" i="8" s="1"/>
  <c r="D42" i="8"/>
  <c r="C42" i="8"/>
  <c r="O41" i="8"/>
  <c r="P41" i="8" s="1"/>
  <c r="D41" i="8"/>
  <c r="C41" i="8"/>
  <c r="P40" i="8"/>
  <c r="O40" i="8"/>
  <c r="D40" i="8"/>
  <c r="C40" i="8"/>
  <c r="P39" i="8"/>
  <c r="O39" i="8"/>
  <c r="D39" i="8"/>
  <c r="C39" i="8"/>
  <c r="P38" i="8"/>
  <c r="O38" i="8"/>
  <c r="D38" i="8"/>
  <c r="C38" i="8"/>
  <c r="O37" i="8"/>
  <c r="P37" i="8" s="1"/>
  <c r="D37" i="8"/>
  <c r="C37" i="8"/>
  <c r="O36" i="8"/>
  <c r="P36" i="8" s="1"/>
  <c r="D36" i="8"/>
  <c r="C36" i="8"/>
  <c r="O35" i="8"/>
  <c r="P35" i="8" s="1"/>
  <c r="D35" i="8"/>
  <c r="C35" i="8"/>
  <c r="P34" i="8"/>
  <c r="O34" i="8"/>
  <c r="D34" i="8"/>
  <c r="C34" i="8"/>
  <c r="O33" i="8"/>
  <c r="P33" i="8" s="1"/>
  <c r="D33" i="8"/>
  <c r="C33" i="8"/>
  <c r="P32" i="8"/>
  <c r="O32" i="8"/>
  <c r="D32" i="8"/>
  <c r="C32" i="8"/>
  <c r="O31" i="8"/>
  <c r="P31" i="8" s="1"/>
  <c r="D31" i="8"/>
  <c r="C31" i="8"/>
  <c r="O30" i="8"/>
  <c r="P30" i="8" s="1"/>
  <c r="D30" i="8"/>
  <c r="C30" i="8"/>
  <c r="O29" i="8"/>
  <c r="P29" i="8" s="1"/>
  <c r="D29" i="8"/>
  <c r="C29" i="8"/>
  <c r="O28" i="8"/>
  <c r="P28" i="8" s="1"/>
  <c r="D28" i="8"/>
  <c r="C28" i="8"/>
  <c r="P27" i="8"/>
  <c r="O27" i="8"/>
  <c r="D27" i="8"/>
  <c r="C27" i="8"/>
  <c r="O26" i="8"/>
  <c r="P26" i="8" s="1"/>
  <c r="D26" i="8"/>
  <c r="C26" i="8"/>
  <c r="O25" i="8"/>
  <c r="P25" i="8" s="1"/>
  <c r="D25" i="8"/>
  <c r="C25" i="8"/>
  <c r="O24" i="8"/>
  <c r="P24" i="8" s="1"/>
  <c r="D24" i="8"/>
  <c r="C24" i="8"/>
  <c r="O23" i="8"/>
  <c r="P23" i="8" s="1"/>
  <c r="D23" i="8"/>
  <c r="C23" i="8"/>
  <c r="O22" i="8"/>
  <c r="P22" i="8" s="1"/>
  <c r="D22" i="8"/>
  <c r="C22" i="8"/>
  <c r="D21" i="8"/>
  <c r="C21" i="8"/>
  <c r="P20" i="8"/>
  <c r="D20" i="8"/>
  <c r="C20" i="8"/>
  <c r="P19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D8" i="8"/>
  <c r="C8" i="8"/>
  <c r="D7" i="8"/>
  <c r="C7" i="8"/>
  <c r="D6" i="8"/>
  <c r="C6" i="8"/>
  <c r="D5" i="8"/>
  <c r="C5" i="8"/>
  <c r="D4" i="8"/>
  <c r="C4" i="8"/>
  <c r="D3" i="8"/>
  <c r="C3" i="8"/>
  <c r="D126" i="7"/>
  <c r="C126" i="7"/>
  <c r="D125" i="7"/>
  <c r="C125" i="7"/>
  <c r="D124" i="7"/>
  <c r="C124" i="7"/>
  <c r="D123" i="7"/>
  <c r="C123" i="7"/>
  <c r="D122" i="7"/>
  <c r="C122" i="7"/>
  <c r="D121" i="7"/>
  <c r="C121" i="7"/>
  <c r="D120" i="7"/>
  <c r="C120" i="7"/>
  <c r="D119" i="7"/>
  <c r="C119" i="7"/>
  <c r="D118" i="7"/>
  <c r="C118" i="7"/>
  <c r="D117" i="7"/>
  <c r="C117" i="7"/>
  <c r="O110" i="7"/>
  <c r="P110" i="7" s="1"/>
  <c r="D110" i="7"/>
  <c r="C110" i="7"/>
  <c r="O109" i="7"/>
  <c r="P109" i="7" s="1"/>
  <c r="D109" i="7"/>
  <c r="C109" i="7"/>
  <c r="O108" i="7"/>
  <c r="P108" i="7" s="1"/>
  <c r="D108" i="7"/>
  <c r="C108" i="7"/>
  <c r="O107" i="7"/>
  <c r="P107" i="7" s="1"/>
  <c r="D107" i="7"/>
  <c r="C107" i="7"/>
  <c r="O106" i="7"/>
  <c r="P106" i="7" s="1"/>
  <c r="D106" i="7"/>
  <c r="C106" i="7"/>
  <c r="O105" i="7"/>
  <c r="P105" i="7" s="1"/>
  <c r="D105" i="7"/>
  <c r="C105" i="7"/>
  <c r="O104" i="7"/>
  <c r="P104" i="7" s="1"/>
  <c r="D104" i="7"/>
  <c r="C104" i="7"/>
  <c r="O103" i="7"/>
  <c r="P103" i="7" s="1"/>
  <c r="D103" i="7"/>
  <c r="C103" i="7"/>
  <c r="O102" i="7"/>
  <c r="P102" i="7" s="1"/>
  <c r="D102" i="7"/>
  <c r="C102" i="7"/>
  <c r="O101" i="7"/>
  <c r="P101" i="7" s="1"/>
  <c r="D101" i="7"/>
  <c r="C101" i="7"/>
  <c r="O100" i="7"/>
  <c r="P100" i="7" s="1"/>
  <c r="D100" i="7"/>
  <c r="C100" i="7"/>
  <c r="O99" i="7"/>
  <c r="P99" i="7" s="1"/>
  <c r="D99" i="7"/>
  <c r="C99" i="7"/>
  <c r="O98" i="7"/>
  <c r="P98" i="7" s="1"/>
  <c r="D98" i="7"/>
  <c r="C98" i="7"/>
  <c r="O97" i="7"/>
  <c r="P97" i="7" s="1"/>
  <c r="D97" i="7"/>
  <c r="C97" i="7"/>
  <c r="O96" i="7"/>
  <c r="P96" i="7" s="1"/>
  <c r="D96" i="7"/>
  <c r="C96" i="7"/>
  <c r="P95" i="7"/>
  <c r="O95" i="7"/>
  <c r="D95" i="7"/>
  <c r="C95" i="7"/>
  <c r="O94" i="7"/>
  <c r="P94" i="7" s="1"/>
  <c r="D94" i="7"/>
  <c r="C94" i="7"/>
  <c r="O93" i="7"/>
  <c r="P93" i="7" s="1"/>
  <c r="D93" i="7"/>
  <c r="C93" i="7"/>
  <c r="O92" i="7"/>
  <c r="P92" i="7" s="1"/>
  <c r="D92" i="7"/>
  <c r="C92" i="7"/>
  <c r="P91" i="7"/>
  <c r="O91" i="7"/>
  <c r="D91" i="7"/>
  <c r="C91" i="7"/>
  <c r="O90" i="7"/>
  <c r="P90" i="7" s="1"/>
  <c r="D90" i="7"/>
  <c r="C90" i="7"/>
  <c r="O89" i="7"/>
  <c r="P89" i="7" s="1"/>
  <c r="D89" i="7"/>
  <c r="C89" i="7"/>
  <c r="O88" i="7"/>
  <c r="P88" i="7" s="1"/>
  <c r="D88" i="7"/>
  <c r="C88" i="7"/>
  <c r="O87" i="7"/>
  <c r="P87" i="7" s="1"/>
  <c r="D87" i="7"/>
  <c r="C87" i="7"/>
  <c r="O86" i="7"/>
  <c r="P86" i="7" s="1"/>
  <c r="D86" i="7"/>
  <c r="C86" i="7"/>
  <c r="P85" i="7"/>
  <c r="O85" i="7"/>
  <c r="D85" i="7"/>
  <c r="C85" i="7"/>
  <c r="O84" i="7"/>
  <c r="P84" i="7" s="1"/>
  <c r="D84" i="7"/>
  <c r="C84" i="7"/>
  <c r="P83" i="7"/>
  <c r="O83" i="7"/>
  <c r="D83" i="7"/>
  <c r="C83" i="7"/>
  <c r="O82" i="7"/>
  <c r="P82" i="7" s="1"/>
  <c r="D82" i="7"/>
  <c r="C82" i="7"/>
  <c r="O81" i="7"/>
  <c r="P81" i="7" s="1"/>
  <c r="D81" i="7"/>
  <c r="C81" i="7"/>
  <c r="O80" i="7"/>
  <c r="P80" i="7" s="1"/>
  <c r="D80" i="7"/>
  <c r="C80" i="7"/>
  <c r="O79" i="7"/>
  <c r="P79" i="7" s="1"/>
  <c r="D79" i="7"/>
  <c r="C79" i="7"/>
  <c r="O78" i="7"/>
  <c r="P78" i="7" s="1"/>
  <c r="D78" i="7"/>
  <c r="C78" i="7"/>
  <c r="O77" i="7"/>
  <c r="P77" i="7" s="1"/>
  <c r="D77" i="7"/>
  <c r="C77" i="7"/>
  <c r="O76" i="7"/>
  <c r="P76" i="7" s="1"/>
  <c r="D76" i="7"/>
  <c r="C76" i="7"/>
  <c r="O75" i="7"/>
  <c r="P75" i="7" s="1"/>
  <c r="D75" i="7"/>
  <c r="C75" i="7"/>
  <c r="O74" i="7"/>
  <c r="P74" i="7" s="1"/>
  <c r="D74" i="7"/>
  <c r="C74" i="7"/>
  <c r="P73" i="7"/>
  <c r="O73" i="7"/>
  <c r="D73" i="7"/>
  <c r="C73" i="7"/>
  <c r="O72" i="7"/>
  <c r="P72" i="7" s="1"/>
  <c r="D72" i="7"/>
  <c r="C72" i="7"/>
  <c r="P71" i="7"/>
  <c r="O71" i="7"/>
  <c r="D71" i="7"/>
  <c r="C71" i="7"/>
  <c r="O70" i="7"/>
  <c r="P70" i="7" s="1"/>
  <c r="D70" i="7"/>
  <c r="C70" i="7"/>
  <c r="O69" i="7"/>
  <c r="P69" i="7" s="1"/>
  <c r="D69" i="7"/>
  <c r="C69" i="7"/>
  <c r="O68" i="7"/>
  <c r="P68" i="7" s="1"/>
  <c r="D68" i="7"/>
  <c r="C68" i="7"/>
  <c r="O67" i="7"/>
  <c r="P67" i="7" s="1"/>
  <c r="D67" i="7"/>
  <c r="C67" i="7"/>
  <c r="O66" i="7"/>
  <c r="P66" i="7" s="1"/>
  <c r="D66" i="7"/>
  <c r="C66" i="7"/>
  <c r="O65" i="7"/>
  <c r="P65" i="7" s="1"/>
  <c r="D65" i="7"/>
  <c r="C65" i="7"/>
  <c r="P64" i="7"/>
  <c r="O64" i="7"/>
  <c r="D64" i="7"/>
  <c r="C64" i="7"/>
  <c r="O63" i="7"/>
  <c r="P63" i="7" s="1"/>
  <c r="D63" i="7"/>
  <c r="C63" i="7"/>
  <c r="O62" i="7"/>
  <c r="P62" i="7" s="1"/>
  <c r="D62" i="7"/>
  <c r="C62" i="7"/>
  <c r="O61" i="7"/>
  <c r="P61" i="7" s="1"/>
  <c r="D61" i="7"/>
  <c r="C61" i="7"/>
  <c r="O60" i="7"/>
  <c r="P60" i="7" s="1"/>
  <c r="D60" i="7"/>
  <c r="C60" i="7"/>
  <c r="O59" i="7"/>
  <c r="P59" i="7" s="1"/>
  <c r="D59" i="7"/>
  <c r="C59" i="7"/>
  <c r="O58" i="7"/>
  <c r="P58" i="7" s="1"/>
  <c r="D58" i="7"/>
  <c r="C58" i="7"/>
  <c r="O57" i="7"/>
  <c r="P57" i="7" s="1"/>
  <c r="D57" i="7"/>
  <c r="C57" i="7"/>
  <c r="O56" i="7"/>
  <c r="P56" i="7" s="1"/>
  <c r="D56" i="7"/>
  <c r="C56" i="7"/>
  <c r="O55" i="7"/>
  <c r="P55" i="7" s="1"/>
  <c r="D55" i="7"/>
  <c r="C55" i="7"/>
  <c r="O54" i="7"/>
  <c r="P54" i="7" s="1"/>
  <c r="D54" i="7"/>
  <c r="C54" i="7"/>
  <c r="O53" i="7"/>
  <c r="P53" i="7" s="1"/>
  <c r="D53" i="7"/>
  <c r="C53" i="7"/>
  <c r="D52" i="7"/>
  <c r="C52" i="7"/>
  <c r="O51" i="7"/>
  <c r="P51" i="7" s="1"/>
  <c r="D51" i="7"/>
  <c r="C51" i="7"/>
  <c r="D50" i="7"/>
  <c r="C50" i="7"/>
  <c r="O49" i="7"/>
  <c r="P49" i="7" s="1"/>
  <c r="D49" i="7"/>
  <c r="C49" i="7"/>
  <c r="O48" i="7"/>
  <c r="P48" i="7" s="1"/>
  <c r="D48" i="7"/>
  <c r="C48" i="7"/>
  <c r="O47" i="7"/>
  <c r="P47" i="7" s="1"/>
  <c r="D47" i="7"/>
  <c r="C47" i="7"/>
  <c r="D46" i="7"/>
  <c r="C46" i="7"/>
  <c r="O45" i="7"/>
  <c r="P45" i="7" s="1"/>
  <c r="D45" i="7"/>
  <c r="C45" i="7"/>
  <c r="D44" i="7"/>
  <c r="C44" i="7"/>
  <c r="O43" i="7"/>
  <c r="P43" i="7" s="1"/>
  <c r="D43" i="7"/>
  <c r="C43" i="7"/>
  <c r="D42" i="7"/>
  <c r="C42" i="7"/>
  <c r="O41" i="7"/>
  <c r="P41" i="7" s="1"/>
  <c r="D41" i="7"/>
  <c r="C41" i="7"/>
  <c r="D40" i="7"/>
  <c r="C40" i="7"/>
  <c r="O39" i="7"/>
  <c r="P39" i="7" s="1"/>
  <c r="D39" i="7"/>
  <c r="C39" i="7"/>
  <c r="D38" i="7"/>
  <c r="C38" i="7"/>
  <c r="O37" i="7"/>
  <c r="P37" i="7" s="1"/>
  <c r="D37" i="7"/>
  <c r="C37" i="7"/>
  <c r="D36" i="7"/>
  <c r="C36" i="7"/>
  <c r="O35" i="7"/>
  <c r="P35" i="7" s="1"/>
  <c r="D35" i="7"/>
  <c r="C35" i="7"/>
  <c r="D34" i="7"/>
  <c r="C34" i="7"/>
  <c r="O33" i="7"/>
  <c r="P33" i="7" s="1"/>
  <c r="D33" i="7"/>
  <c r="C33" i="7"/>
  <c r="P32" i="7"/>
  <c r="D32" i="7"/>
  <c r="C32" i="7"/>
  <c r="O31" i="7"/>
  <c r="P31" i="7" s="1"/>
  <c r="D31" i="7"/>
  <c r="C31" i="7"/>
  <c r="D30" i="7"/>
  <c r="C30" i="7"/>
  <c r="O29" i="7"/>
  <c r="P29" i="7" s="1"/>
  <c r="D29" i="7"/>
  <c r="C29" i="7"/>
  <c r="D28" i="7"/>
  <c r="C28" i="7"/>
  <c r="O27" i="7"/>
  <c r="P27" i="7" s="1"/>
  <c r="D27" i="7"/>
  <c r="C27" i="7"/>
  <c r="D26" i="7"/>
  <c r="C26" i="7"/>
  <c r="L25" i="7"/>
  <c r="O25" i="7" s="1"/>
  <c r="P25" i="7" s="1"/>
  <c r="D25" i="7"/>
  <c r="C25" i="7"/>
  <c r="D24" i="7"/>
  <c r="C24" i="7"/>
  <c r="L23" i="7"/>
  <c r="O23" i="7" s="1"/>
  <c r="P23" i="7" s="1"/>
  <c r="D23" i="7"/>
  <c r="C23" i="7"/>
  <c r="D22" i="7"/>
  <c r="C22" i="7"/>
  <c r="O21" i="7"/>
  <c r="P21" i="7" s="1"/>
  <c r="D21" i="7"/>
  <c r="C21" i="7"/>
  <c r="D20" i="7"/>
  <c r="C20" i="7"/>
  <c r="D19" i="7"/>
  <c r="C19" i="7"/>
  <c r="D18" i="7"/>
  <c r="C18" i="7"/>
  <c r="D17" i="7"/>
  <c r="C17" i="7"/>
  <c r="D16" i="7"/>
  <c r="C16" i="7"/>
  <c r="D15" i="7"/>
  <c r="C15" i="7"/>
  <c r="D14" i="7"/>
  <c r="C14" i="7"/>
  <c r="D13" i="7"/>
  <c r="C13" i="7"/>
  <c r="D12" i="7"/>
  <c r="C12" i="7"/>
  <c r="D11" i="7"/>
  <c r="C11" i="7"/>
  <c r="D10" i="7"/>
  <c r="C10" i="7"/>
  <c r="D9" i="7"/>
  <c r="C9" i="7"/>
  <c r="D8" i="7"/>
  <c r="C8" i="7"/>
  <c r="D7" i="7"/>
  <c r="C7" i="7"/>
  <c r="D6" i="7"/>
  <c r="C6" i="7"/>
  <c r="D5" i="7"/>
  <c r="C5" i="7"/>
  <c r="D4" i="7"/>
  <c r="C4" i="7"/>
  <c r="D3" i="7"/>
  <c r="C3" i="7"/>
  <c r="D160" i="6"/>
  <c r="C160" i="6"/>
  <c r="D159" i="6"/>
  <c r="C159" i="6"/>
  <c r="D158" i="6"/>
  <c r="C158" i="6"/>
  <c r="D157" i="6"/>
  <c r="C157" i="6"/>
  <c r="D156" i="6"/>
  <c r="C156" i="6"/>
  <c r="D155" i="6"/>
  <c r="C155" i="6"/>
  <c r="D154" i="6"/>
  <c r="C154" i="6"/>
  <c r="D153" i="6"/>
  <c r="C153" i="6"/>
  <c r="D152" i="6"/>
  <c r="C152" i="6"/>
  <c r="D151" i="6"/>
  <c r="C151" i="6"/>
  <c r="M144" i="6"/>
  <c r="N144" i="6" s="1"/>
  <c r="D144" i="6"/>
  <c r="C144" i="6"/>
  <c r="M143" i="6"/>
  <c r="N143" i="6" s="1"/>
  <c r="D143" i="6"/>
  <c r="C143" i="6"/>
  <c r="M142" i="6"/>
  <c r="N142" i="6" s="1"/>
  <c r="D142" i="6"/>
  <c r="C142" i="6"/>
  <c r="M141" i="6"/>
  <c r="N141" i="6" s="1"/>
  <c r="D141" i="6"/>
  <c r="C141" i="6"/>
  <c r="M140" i="6"/>
  <c r="N140" i="6" s="1"/>
  <c r="D140" i="6"/>
  <c r="C140" i="6"/>
  <c r="M139" i="6"/>
  <c r="N139" i="6" s="1"/>
  <c r="D139" i="6"/>
  <c r="C139" i="6"/>
  <c r="M138" i="6"/>
  <c r="N138" i="6" s="1"/>
  <c r="D138" i="6"/>
  <c r="C138" i="6"/>
  <c r="M137" i="6"/>
  <c r="N137" i="6" s="1"/>
  <c r="D137" i="6"/>
  <c r="C137" i="6"/>
  <c r="M136" i="6"/>
  <c r="N136" i="6" s="1"/>
  <c r="D136" i="6"/>
  <c r="C136" i="6"/>
  <c r="M135" i="6"/>
  <c r="N135" i="6" s="1"/>
  <c r="D135" i="6"/>
  <c r="C135" i="6"/>
  <c r="M134" i="6"/>
  <c r="N134" i="6" s="1"/>
  <c r="D134" i="6"/>
  <c r="C134" i="6"/>
  <c r="M133" i="6"/>
  <c r="N133" i="6" s="1"/>
  <c r="D133" i="6"/>
  <c r="C133" i="6"/>
  <c r="M132" i="6"/>
  <c r="N132" i="6" s="1"/>
  <c r="D132" i="6"/>
  <c r="C132" i="6"/>
  <c r="M131" i="6"/>
  <c r="N131" i="6" s="1"/>
  <c r="D131" i="6"/>
  <c r="C131" i="6"/>
  <c r="M130" i="6"/>
  <c r="N130" i="6" s="1"/>
  <c r="D130" i="6"/>
  <c r="C130" i="6"/>
  <c r="M129" i="6"/>
  <c r="N129" i="6" s="1"/>
  <c r="D129" i="6"/>
  <c r="C129" i="6"/>
  <c r="M128" i="6"/>
  <c r="N128" i="6" s="1"/>
  <c r="D128" i="6"/>
  <c r="C128" i="6"/>
  <c r="M127" i="6"/>
  <c r="N127" i="6" s="1"/>
  <c r="D127" i="6"/>
  <c r="C127" i="6"/>
  <c r="M126" i="6"/>
  <c r="N126" i="6" s="1"/>
  <c r="D126" i="6"/>
  <c r="C126" i="6"/>
  <c r="M125" i="6"/>
  <c r="N125" i="6" s="1"/>
  <c r="D125" i="6"/>
  <c r="C125" i="6"/>
  <c r="M124" i="6"/>
  <c r="N124" i="6" s="1"/>
  <c r="D124" i="6"/>
  <c r="C124" i="6"/>
  <c r="M123" i="6"/>
  <c r="N123" i="6" s="1"/>
  <c r="D123" i="6"/>
  <c r="C123" i="6"/>
  <c r="M122" i="6"/>
  <c r="N122" i="6" s="1"/>
  <c r="D122" i="6"/>
  <c r="C122" i="6"/>
  <c r="M121" i="6"/>
  <c r="N121" i="6" s="1"/>
  <c r="D121" i="6"/>
  <c r="C121" i="6"/>
  <c r="M120" i="6"/>
  <c r="N120" i="6" s="1"/>
  <c r="D120" i="6"/>
  <c r="C120" i="6"/>
  <c r="M119" i="6"/>
  <c r="N119" i="6" s="1"/>
  <c r="D119" i="6"/>
  <c r="C119" i="6"/>
  <c r="M118" i="6"/>
  <c r="N118" i="6" s="1"/>
  <c r="D118" i="6"/>
  <c r="C118" i="6"/>
  <c r="M117" i="6"/>
  <c r="N117" i="6" s="1"/>
  <c r="D117" i="6"/>
  <c r="C117" i="6"/>
  <c r="M116" i="6"/>
  <c r="N116" i="6" s="1"/>
  <c r="D116" i="6"/>
  <c r="C116" i="6"/>
  <c r="M115" i="6"/>
  <c r="N115" i="6" s="1"/>
  <c r="D115" i="6"/>
  <c r="C115" i="6"/>
  <c r="M114" i="6"/>
  <c r="N114" i="6" s="1"/>
  <c r="D114" i="6"/>
  <c r="C114" i="6"/>
  <c r="M113" i="6"/>
  <c r="N113" i="6" s="1"/>
  <c r="D113" i="6"/>
  <c r="C113" i="6"/>
  <c r="M112" i="6"/>
  <c r="N112" i="6" s="1"/>
  <c r="D112" i="6"/>
  <c r="C112" i="6"/>
  <c r="M111" i="6"/>
  <c r="N111" i="6" s="1"/>
  <c r="D111" i="6"/>
  <c r="C111" i="6"/>
  <c r="M110" i="6"/>
  <c r="N110" i="6" s="1"/>
  <c r="D110" i="6"/>
  <c r="C110" i="6"/>
  <c r="M109" i="6"/>
  <c r="N109" i="6" s="1"/>
  <c r="D109" i="6"/>
  <c r="C109" i="6"/>
  <c r="M108" i="6"/>
  <c r="N108" i="6" s="1"/>
  <c r="D108" i="6"/>
  <c r="C108" i="6"/>
  <c r="M107" i="6"/>
  <c r="N107" i="6" s="1"/>
  <c r="D107" i="6"/>
  <c r="C107" i="6"/>
  <c r="M106" i="6"/>
  <c r="N106" i="6" s="1"/>
  <c r="D106" i="6"/>
  <c r="C106" i="6"/>
  <c r="M105" i="6"/>
  <c r="N105" i="6" s="1"/>
  <c r="D105" i="6"/>
  <c r="C105" i="6"/>
  <c r="M104" i="6"/>
  <c r="N104" i="6" s="1"/>
  <c r="D104" i="6"/>
  <c r="C104" i="6"/>
  <c r="M103" i="6"/>
  <c r="N103" i="6" s="1"/>
  <c r="D103" i="6"/>
  <c r="C103" i="6"/>
  <c r="M102" i="6"/>
  <c r="N102" i="6" s="1"/>
  <c r="D102" i="6"/>
  <c r="C102" i="6"/>
  <c r="M101" i="6"/>
  <c r="N101" i="6" s="1"/>
  <c r="D101" i="6"/>
  <c r="C101" i="6"/>
  <c r="M100" i="6"/>
  <c r="N100" i="6" s="1"/>
  <c r="D100" i="6"/>
  <c r="C100" i="6"/>
  <c r="M99" i="6"/>
  <c r="N99" i="6" s="1"/>
  <c r="D99" i="6"/>
  <c r="C99" i="6"/>
  <c r="M98" i="6"/>
  <c r="N98" i="6" s="1"/>
  <c r="D98" i="6"/>
  <c r="C98" i="6"/>
  <c r="M97" i="6"/>
  <c r="N97" i="6" s="1"/>
  <c r="D97" i="6"/>
  <c r="C97" i="6"/>
  <c r="M96" i="6"/>
  <c r="N96" i="6" s="1"/>
  <c r="D96" i="6"/>
  <c r="C96" i="6"/>
  <c r="M95" i="6"/>
  <c r="N95" i="6" s="1"/>
  <c r="D95" i="6"/>
  <c r="C95" i="6"/>
  <c r="M94" i="6"/>
  <c r="N94" i="6" s="1"/>
  <c r="D94" i="6"/>
  <c r="C94" i="6"/>
  <c r="M93" i="6"/>
  <c r="N93" i="6" s="1"/>
  <c r="D93" i="6"/>
  <c r="C93" i="6"/>
  <c r="M92" i="6"/>
  <c r="N92" i="6" s="1"/>
  <c r="D92" i="6"/>
  <c r="C92" i="6"/>
  <c r="M91" i="6"/>
  <c r="N91" i="6" s="1"/>
  <c r="D91" i="6"/>
  <c r="C91" i="6"/>
  <c r="M90" i="6"/>
  <c r="N90" i="6" s="1"/>
  <c r="D90" i="6"/>
  <c r="C90" i="6"/>
  <c r="M89" i="6"/>
  <c r="N89" i="6" s="1"/>
  <c r="D89" i="6"/>
  <c r="C89" i="6"/>
  <c r="M88" i="6"/>
  <c r="N88" i="6" s="1"/>
  <c r="D88" i="6"/>
  <c r="C88" i="6"/>
  <c r="M87" i="6"/>
  <c r="N87" i="6" s="1"/>
  <c r="D87" i="6"/>
  <c r="C87" i="6"/>
  <c r="M85" i="6"/>
  <c r="N85" i="6" s="1"/>
  <c r="D85" i="6"/>
  <c r="C85" i="6"/>
  <c r="M83" i="6"/>
  <c r="N83" i="6" s="1"/>
  <c r="D83" i="6"/>
  <c r="C83" i="6"/>
  <c r="M81" i="6"/>
  <c r="N81" i="6" s="1"/>
  <c r="D81" i="6"/>
  <c r="C81" i="6"/>
  <c r="M79" i="6"/>
  <c r="N79" i="6" s="1"/>
  <c r="D79" i="6"/>
  <c r="C79" i="6"/>
  <c r="M77" i="6"/>
  <c r="N77" i="6" s="1"/>
  <c r="D77" i="6"/>
  <c r="C77" i="6"/>
  <c r="D76" i="6"/>
  <c r="C76" i="6"/>
  <c r="M75" i="6"/>
  <c r="N75" i="6" s="1"/>
  <c r="D75" i="6"/>
  <c r="C75" i="6"/>
  <c r="M73" i="6"/>
  <c r="N73" i="6" s="1"/>
  <c r="D73" i="6"/>
  <c r="C73" i="6"/>
  <c r="M71" i="6"/>
  <c r="N71" i="6" s="1"/>
  <c r="D71" i="6"/>
  <c r="C71" i="6"/>
  <c r="M69" i="6"/>
  <c r="N69" i="6" s="1"/>
  <c r="D69" i="6"/>
  <c r="C69" i="6"/>
  <c r="M67" i="6"/>
  <c r="N67" i="6" s="1"/>
  <c r="D67" i="6"/>
  <c r="C67" i="6"/>
  <c r="M65" i="6"/>
  <c r="N65" i="6" s="1"/>
  <c r="D65" i="6"/>
  <c r="C65" i="6"/>
  <c r="M63" i="6"/>
  <c r="N63" i="6" s="1"/>
  <c r="D63" i="6"/>
  <c r="C63" i="6"/>
  <c r="L61" i="6"/>
  <c r="M61" i="6" s="1"/>
  <c r="N61" i="6" s="1"/>
  <c r="D61" i="6"/>
  <c r="C61" i="6"/>
  <c r="L59" i="6"/>
  <c r="M59" i="6" s="1"/>
  <c r="N59" i="6" s="1"/>
  <c r="D59" i="6"/>
  <c r="C59" i="6"/>
  <c r="L57" i="6"/>
  <c r="M57" i="6" s="1"/>
  <c r="N57" i="6" s="1"/>
  <c r="D57" i="6"/>
  <c r="C57" i="6"/>
  <c r="L55" i="6"/>
  <c r="M55" i="6" s="1"/>
  <c r="N55" i="6" s="1"/>
  <c r="D55" i="6"/>
  <c r="C55" i="6"/>
  <c r="D54" i="6"/>
  <c r="C54" i="6"/>
  <c r="D53" i="6"/>
  <c r="C53" i="6"/>
  <c r="D52" i="6"/>
  <c r="C52" i="6"/>
  <c r="D51" i="6"/>
  <c r="C51" i="6"/>
  <c r="D50" i="6"/>
  <c r="C50" i="6"/>
  <c r="D49" i="6"/>
  <c r="C49" i="6"/>
  <c r="D48" i="6"/>
  <c r="C48" i="6"/>
  <c r="D47" i="6"/>
  <c r="C47" i="6"/>
  <c r="D46" i="6"/>
  <c r="C46" i="6"/>
  <c r="D45" i="6"/>
  <c r="C45" i="6"/>
  <c r="D44" i="6"/>
  <c r="C44" i="6"/>
  <c r="D43" i="6"/>
  <c r="C43" i="6"/>
  <c r="D42" i="6"/>
  <c r="C42" i="6"/>
  <c r="D41" i="6"/>
  <c r="C41" i="6"/>
  <c r="D40" i="6"/>
  <c r="C40" i="6"/>
  <c r="D39" i="6"/>
  <c r="C39" i="6"/>
  <c r="D38" i="6"/>
  <c r="C38" i="6"/>
  <c r="D37" i="6"/>
  <c r="C37" i="6"/>
  <c r="D36" i="6"/>
  <c r="C36" i="6"/>
  <c r="D35" i="6"/>
  <c r="C35" i="6"/>
  <c r="D34" i="6"/>
  <c r="C34" i="6"/>
  <c r="D33" i="6"/>
  <c r="C33" i="6"/>
  <c r="D32" i="6"/>
  <c r="C32" i="6"/>
  <c r="B31" i="6"/>
  <c r="D30" i="6"/>
  <c r="C30" i="6"/>
  <c r="D29" i="6"/>
  <c r="C29" i="6"/>
  <c r="D28" i="6"/>
  <c r="C28" i="6"/>
  <c r="D27" i="6"/>
  <c r="C27" i="6"/>
  <c r="D26" i="6"/>
  <c r="C26" i="6"/>
  <c r="D25" i="6"/>
  <c r="C25" i="6"/>
  <c r="D24" i="6"/>
  <c r="C24" i="6"/>
  <c r="D23" i="6"/>
  <c r="C23" i="6"/>
  <c r="D22" i="6"/>
  <c r="C22" i="6"/>
  <c r="D21" i="6"/>
  <c r="C21" i="6"/>
  <c r="D20" i="6"/>
  <c r="C20" i="6"/>
  <c r="D19" i="6"/>
  <c r="C19" i="6"/>
  <c r="D18" i="6"/>
  <c r="C18" i="6"/>
  <c r="D17" i="6"/>
  <c r="C17" i="6"/>
  <c r="D16" i="6"/>
  <c r="C16" i="6"/>
  <c r="D15" i="6"/>
  <c r="C15" i="6"/>
  <c r="D14" i="6"/>
  <c r="C14" i="6"/>
  <c r="D13" i="6"/>
  <c r="C13" i="6"/>
  <c r="D12" i="6"/>
  <c r="C12" i="6"/>
  <c r="D11" i="6"/>
  <c r="C11" i="6"/>
  <c r="D10" i="6"/>
  <c r="C10" i="6"/>
  <c r="D9" i="6"/>
  <c r="C9" i="6"/>
  <c r="D8" i="6"/>
  <c r="C8" i="6"/>
  <c r="D7" i="6"/>
  <c r="C7" i="6"/>
  <c r="D6" i="6"/>
  <c r="C6" i="6"/>
  <c r="D5" i="6"/>
  <c r="C5" i="6"/>
  <c r="D4" i="6"/>
  <c r="C4" i="6"/>
  <c r="D3" i="6"/>
  <c r="C3" i="6"/>
  <c r="P143" i="5"/>
  <c r="Q143" i="5" s="1"/>
  <c r="P142" i="5"/>
  <c r="Q142" i="5" s="1"/>
  <c r="P141" i="5"/>
  <c r="Q141" i="5" s="1"/>
  <c r="P140" i="5"/>
  <c r="Q140" i="5" s="1"/>
  <c r="P139" i="5"/>
  <c r="Q139" i="5" s="1"/>
  <c r="P138" i="5"/>
  <c r="Q138" i="5" s="1"/>
  <c r="P137" i="5"/>
  <c r="Q137" i="5" s="1"/>
  <c r="P136" i="5"/>
  <c r="Q136" i="5" s="1"/>
  <c r="P135" i="5"/>
  <c r="Q135" i="5" s="1"/>
  <c r="P134" i="5"/>
  <c r="Q134" i="5" s="1"/>
  <c r="P133" i="5"/>
  <c r="Q133" i="5" s="1"/>
  <c r="P132" i="5"/>
  <c r="Q132" i="5" s="1"/>
  <c r="P131" i="5"/>
  <c r="Q131" i="5" s="1"/>
  <c r="P130" i="5"/>
  <c r="Q130" i="5" s="1"/>
  <c r="P129" i="5"/>
  <c r="Q129" i="5" s="1"/>
  <c r="P128" i="5"/>
  <c r="Q128" i="5" s="1"/>
  <c r="P127" i="5"/>
  <c r="Q127" i="5" s="1"/>
  <c r="P126" i="5"/>
  <c r="Q126" i="5" s="1"/>
  <c r="P125" i="5"/>
  <c r="Q125" i="5" s="1"/>
  <c r="P124" i="5"/>
  <c r="Q124" i="5" s="1"/>
  <c r="P123" i="5"/>
  <c r="Q123" i="5" s="1"/>
  <c r="P122" i="5"/>
  <c r="Q122" i="5" s="1"/>
  <c r="P121" i="5"/>
  <c r="Q121" i="5" s="1"/>
  <c r="P120" i="5"/>
  <c r="Q120" i="5" s="1"/>
  <c r="P119" i="5"/>
  <c r="Q119" i="5" s="1"/>
  <c r="P118" i="5"/>
  <c r="Q118" i="5" s="1"/>
  <c r="P117" i="5"/>
  <c r="Q117" i="5" s="1"/>
  <c r="P116" i="5"/>
  <c r="Q116" i="5" s="1"/>
  <c r="P115" i="5"/>
  <c r="Q115" i="5" s="1"/>
  <c r="P114" i="5"/>
  <c r="Q114" i="5" s="1"/>
  <c r="P113" i="5"/>
  <c r="Q113" i="5" s="1"/>
  <c r="P112" i="5"/>
  <c r="Q112" i="5" s="1"/>
  <c r="P111" i="5"/>
  <c r="Q111" i="5" s="1"/>
  <c r="P110" i="5"/>
  <c r="Q110" i="5" s="1"/>
  <c r="P109" i="5"/>
  <c r="Q109" i="5" s="1"/>
  <c r="P108" i="5"/>
  <c r="Q108" i="5" s="1"/>
  <c r="P107" i="5"/>
  <c r="Q107" i="5" s="1"/>
  <c r="P106" i="5"/>
  <c r="Q106" i="5" s="1"/>
  <c r="P105" i="5"/>
  <c r="Q105" i="5" s="1"/>
  <c r="P104" i="5"/>
  <c r="Q104" i="5" s="1"/>
  <c r="P103" i="5"/>
  <c r="Q103" i="5" s="1"/>
  <c r="P102" i="5"/>
  <c r="Q102" i="5" s="1"/>
  <c r="P101" i="5"/>
  <c r="Q101" i="5" s="1"/>
  <c r="P100" i="5"/>
  <c r="Q100" i="5" s="1"/>
  <c r="P99" i="5"/>
  <c r="Q99" i="5" s="1"/>
  <c r="P98" i="5"/>
  <c r="Q98" i="5" s="1"/>
  <c r="P97" i="5"/>
  <c r="Q97" i="5" s="1"/>
  <c r="P96" i="5"/>
  <c r="Q96" i="5" s="1"/>
  <c r="P95" i="5"/>
  <c r="Q95" i="5" s="1"/>
  <c r="P94" i="5"/>
  <c r="Q94" i="5" s="1"/>
  <c r="P93" i="5"/>
  <c r="Q93" i="5" s="1"/>
  <c r="P92" i="5"/>
  <c r="Q92" i="5" s="1"/>
  <c r="P91" i="5"/>
  <c r="Q91" i="5" s="1"/>
  <c r="P90" i="5"/>
  <c r="Q90" i="5" s="1"/>
  <c r="P89" i="5"/>
  <c r="Q89" i="5" s="1"/>
  <c r="P88" i="5"/>
  <c r="Q88" i="5" s="1"/>
  <c r="P87" i="5"/>
  <c r="Q87" i="5" s="1"/>
  <c r="P86" i="5"/>
  <c r="Q86" i="5" s="1"/>
  <c r="P85" i="5"/>
  <c r="Q85" i="5" s="1"/>
  <c r="P84" i="5"/>
  <c r="Q84" i="5" s="1"/>
  <c r="P83" i="5"/>
  <c r="Q83" i="5" s="1"/>
  <c r="P82" i="5"/>
  <c r="Q82" i="5" s="1"/>
  <c r="F72" i="5"/>
  <c r="F71" i="5"/>
  <c r="L157" i="4"/>
  <c r="M157" i="4" s="1"/>
  <c r="L156" i="4"/>
  <c r="M156" i="4" s="1"/>
  <c r="L155" i="4"/>
  <c r="M155" i="4" s="1"/>
  <c r="L154" i="4"/>
  <c r="M154" i="4" s="1"/>
  <c r="L153" i="4"/>
  <c r="M153" i="4" s="1"/>
  <c r="L152" i="4"/>
  <c r="M152" i="4" s="1"/>
  <c r="L151" i="4"/>
  <c r="M151" i="4" s="1"/>
  <c r="L150" i="4"/>
  <c r="M150" i="4" s="1"/>
  <c r="L149" i="4"/>
  <c r="M149" i="4" s="1"/>
  <c r="L148" i="4"/>
  <c r="M148" i="4" s="1"/>
  <c r="L147" i="4"/>
  <c r="M147" i="4" s="1"/>
  <c r="L146" i="4"/>
  <c r="M146" i="4" s="1"/>
  <c r="L145" i="4"/>
  <c r="M145" i="4" s="1"/>
  <c r="L144" i="4"/>
  <c r="M144" i="4" s="1"/>
  <c r="L143" i="4"/>
  <c r="M143" i="4" s="1"/>
  <c r="L142" i="4"/>
  <c r="M142" i="4" s="1"/>
  <c r="L141" i="4"/>
  <c r="M141" i="4" s="1"/>
  <c r="L140" i="4"/>
  <c r="M140" i="4" s="1"/>
  <c r="L139" i="4"/>
  <c r="M139" i="4" s="1"/>
  <c r="L138" i="4"/>
  <c r="M138" i="4" s="1"/>
  <c r="L137" i="4"/>
  <c r="M137" i="4" s="1"/>
  <c r="L136" i="4"/>
  <c r="M136" i="4" s="1"/>
  <c r="L135" i="4"/>
  <c r="M135" i="4" s="1"/>
  <c r="L134" i="4"/>
  <c r="M134" i="4" s="1"/>
  <c r="L133" i="4"/>
  <c r="M133" i="4" s="1"/>
  <c r="L132" i="4"/>
  <c r="M132" i="4" s="1"/>
  <c r="L131" i="4"/>
  <c r="M131" i="4" s="1"/>
  <c r="L130" i="4"/>
  <c r="M130" i="4" s="1"/>
  <c r="L129" i="4"/>
  <c r="M129" i="4" s="1"/>
  <c r="L128" i="4"/>
  <c r="M128" i="4" s="1"/>
  <c r="L127" i="4"/>
  <c r="M127" i="4" s="1"/>
  <c r="L126" i="4"/>
  <c r="M126" i="4" s="1"/>
  <c r="L125" i="4"/>
  <c r="M125" i="4" s="1"/>
  <c r="L124" i="4"/>
  <c r="M124" i="4" s="1"/>
  <c r="L123" i="4"/>
  <c r="M123" i="4" s="1"/>
  <c r="L122" i="4"/>
  <c r="M122" i="4" s="1"/>
  <c r="L121" i="4"/>
  <c r="M121" i="4" s="1"/>
  <c r="L120" i="4"/>
  <c r="M120" i="4" s="1"/>
  <c r="L119" i="4"/>
  <c r="M119" i="4" s="1"/>
  <c r="L118" i="4"/>
  <c r="M118" i="4" s="1"/>
  <c r="L117" i="4"/>
  <c r="M117" i="4" s="1"/>
  <c r="L116" i="4"/>
  <c r="M116" i="4" s="1"/>
  <c r="L115" i="4"/>
  <c r="M115" i="4" s="1"/>
  <c r="L114" i="4"/>
  <c r="M114" i="4" s="1"/>
  <c r="L113" i="4"/>
  <c r="M113" i="4" s="1"/>
  <c r="L112" i="4"/>
  <c r="M112" i="4" s="1"/>
  <c r="L111" i="4"/>
  <c r="M111" i="4" s="1"/>
  <c r="L110" i="4"/>
  <c r="M110" i="4" s="1"/>
  <c r="L109" i="4"/>
  <c r="M109" i="4" s="1"/>
  <c r="L108" i="4"/>
  <c r="M108" i="4" s="1"/>
  <c r="L107" i="4"/>
  <c r="M107" i="4" s="1"/>
  <c r="L106" i="4"/>
  <c r="M106" i="4" s="1"/>
  <c r="L105" i="4"/>
  <c r="M105" i="4" s="1"/>
  <c r="L104" i="4"/>
  <c r="M104" i="4" s="1"/>
  <c r="L103" i="4"/>
  <c r="M103" i="4" s="1"/>
  <c r="L102" i="4"/>
  <c r="M102" i="4" s="1"/>
  <c r="L101" i="4"/>
  <c r="M101" i="4" s="1"/>
  <c r="L100" i="4"/>
  <c r="M100" i="4" s="1"/>
  <c r="L99" i="4"/>
  <c r="M99" i="4" s="1"/>
  <c r="L98" i="4"/>
  <c r="M98" i="4" s="1"/>
  <c r="L97" i="4"/>
  <c r="M97" i="4" s="1"/>
  <c r="L96" i="4"/>
  <c r="M96" i="4" s="1"/>
  <c r="L95" i="4"/>
  <c r="M95" i="4" s="1"/>
  <c r="L94" i="4"/>
  <c r="M94" i="4" s="1"/>
  <c r="C79" i="4"/>
  <c r="N143" i="3"/>
  <c r="O143" i="3" s="1"/>
  <c r="N142" i="3"/>
  <c r="O142" i="3" s="1"/>
  <c r="N141" i="3"/>
  <c r="O141" i="3" s="1"/>
  <c r="N140" i="3"/>
  <c r="O140" i="3" s="1"/>
  <c r="N138" i="3"/>
  <c r="O138" i="3" s="1"/>
  <c r="N137" i="3"/>
  <c r="O137" i="3" s="1"/>
  <c r="N136" i="3"/>
  <c r="O136" i="3" s="1"/>
  <c r="N135" i="3"/>
  <c r="O135" i="3" s="1"/>
  <c r="N134" i="3"/>
  <c r="O134" i="3" s="1"/>
  <c r="N133" i="3"/>
  <c r="O133" i="3" s="1"/>
  <c r="N132" i="3"/>
  <c r="O132" i="3" s="1"/>
  <c r="N131" i="3"/>
  <c r="O131" i="3" s="1"/>
  <c r="N130" i="3"/>
  <c r="O130" i="3" s="1"/>
  <c r="N129" i="3"/>
  <c r="O129" i="3" s="1"/>
  <c r="N128" i="3"/>
  <c r="O128" i="3" s="1"/>
  <c r="N127" i="3"/>
  <c r="O127" i="3" s="1"/>
  <c r="N126" i="3"/>
  <c r="O126" i="3" s="1"/>
  <c r="N125" i="3"/>
  <c r="O125" i="3" s="1"/>
  <c r="N124" i="3"/>
  <c r="O124" i="3" s="1"/>
  <c r="N123" i="3"/>
  <c r="O123" i="3" s="1"/>
  <c r="N122" i="3"/>
  <c r="O122" i="3" s="1"/>
  <c r="N121" i="3"/>
  <c r="O121" i="3" s="1"/>
  <c r="N120" i="3"/>
  <c r="O120" i="3" s="1"/>
  <c r="N119" i="3"/>
  <c r="O119" i="3" s="1"/>
  <c r="N118" i="3"/>
  <c r="O118" i="3" s="1"/>
  <c r="N117" i="3"/>
  <c r="O117" i="3" s="1"/>
  <c r="N116" i="3"/>
  <c r="O116" i="3" s="1"/>
  <c r="N115" i="3"/>
  <c r="O115" i="3" s="1"/>
  <c r="N114" i="3"/>
  <c r="O114" i="3" s="1"/>
  <c r="N113" i="3"/>
  <c r="O113" i="3" s="1"/>
  <c r="N112" i="3"/>
  <c r="O112" i="3" s="1"/>
  <c r="N111" i="3"/>
  <c r="O111" i="3" s="1"/>
  <c r="N110" i="3"/>
  <c r="O110" i="3" s="1"/>
  <c r="N109" i="3"/>
  <c r="O109" i="3" s="1"/>
  <c r="N108" i="3"/>
  <c r="O108" i="3" s="1"/>
  <c r="N107" i="3"/>
  <c r="O107" i="3" s="1"/>
  <c r="N106" i="3"/>
  <c r="O106" i="3" s="1"/>
  <c r="N105" i="3"/>
  <c r="O105" i="3" s="1"/>
  <c r="N104" i="3"/>
  <c r="O104" i="3" s="1"/>
  <c r="N103" i="3"/>
  <c r="O103" i="3" s="1"/>
  <c r="N102" i="3"/>
  <c r="O102" i="3" s="1"/>
  <c r="N101" i="3"/>
  <c r="O101" i="3" s="1"/>
  <c r="N100" i="3"/>
  <c r="O100" i="3" s="1"/>
  <c r="N99" i="3"/>
  <c r="O99" i="3" s="1"/>
  <c r="N98" i="3"/>
  <c r="O98" i="3" s="1"/>
  <c r="N97" i="3"/>
  <c r="O97" i="3" s="1"/>
  <c r="N96" i="3"/>
  <c r="O96" i="3" s="1"/>
  <c r="N95" i="3"/>
  <c r="O95" i="3" s="1"/>
  <c r="N94" i="3"/>
  <c r="O94" i="3" s="1"/>
  <c r="N93" i="3"/>
  <c r="O93" i="3" s="1"/>
  <c r="N92" i="3"/>
  <c r="O92" i="3" s="1"/>
  <c r="N91" i="3"/>
  <c r="O91" i="3" s="1"/>
  <c r="N90" i="3"/>
  <c r="O90" i="3" s="1"/>
  <c r="N89" i="3"/>
  <c r="O89" i="3" s="1"/>
  <c r="N88" i="3"/>
  <c r="O88" i="3" s="1"/>
  <c r="N87" i="3"/>
  <c r="O87" i="3" s="1"/>
  <c r="N86" i="3"/>
  <c r="O86" i="3" s="1"/>
  <c r="N85" i="3"/>
  <c r="O85" i="3" s="1"/>
  <c r="N84" i="3"/>
  <c r="O84" i="3" s="1"/>
  <c r="N83" i="3"/>
  <c r="O83" i="3" s="1"/>
  <c r="N82" i="3"/>
  <c r="O82" i="3" s="1"/>
  <c r="N81" i="3"/>
  <c r="O81" i="3" s="1"/>
  <c r="N80" i="3"/>
  <c r="O80" i="3" s="1"/>
  <c r="C65" i="3"/>
  <c r="N144" i="2"/>
  <c r="C144" i="2"/>
  <c r="N143" i="2"/>
  <c r="C143" i="2"/>
  <c r="N142" i="2"/>
  <c r="C142" i="2" s="1"/>
  <c r="N141" i="2"/>
  <c r="C141" i="2"/>
  <c r="C140" i="2"/>
  <c r="N139" i="2"/>
  <c r="C139" i="2" s="1"/>
  <c r="N138" i="2"/>
  <c r="C138" i="2"/>
  <c r="N137" i="2"/>
  <c r="C137" i="2"/>
  <c r="N136" i="2"/>
  <c r="C136" i="2" s="1"/>
  <c r="N135" i="2"/>
  <c r="C135" i="2"/>
  <c r="N134" i="2"/>
  <c r="C134" i="2"/>
  <c r="N133" i="2"/>
  <c r="C133" i="2" s="1"/>
  <c r="N132" i="2"/>
  <c r="C132" i="2"/>
  <c r="N131" i="2"/>
  <c r="C131" i="2"/>
  <c r="N130" i="2"/>
  <c r="C130" i="2"/>
  <c r="N129" i="2"/>
  <c r="C129" i="2"/>
  <c r="N128" i="2"/>
  <c r="C128" i="2"/>
  <c r="N127" i="2"/>
  <c r="C127" i="2"/>
  <c r="N126" i="2"/>
  <c r="C126" i="2"/>
  <c r="N125" i="2"/>
  <c r="C125" i="2"/>
  <c r="N124" i="2"/>
  <c r="C124" i="2"/>
  <c r="N123" i="2"/>
  <c r="C123" i="2"/>
  <c r="N122" i="2"/>
  <c r="C122" i="2" s="1"/>
  <c r="N121" i="2"/>
  <c r="C121" i="2"/>
  <c r="N120" i="2"/>
  <c r="C120" i="2" s="1"/>
  <c r="N119" i="2"/>
  <c r="C119" i="2"/>
  <c r="N118" i="2"/>
  <c r="C118" i="2"/>
  <c r="N117" i="2"/>
  <c r="C117" i="2"/>
  <c r="N116" i="2"/>
  <c r="C116" i="2" s="1"/>
  <c r="N115" i="2"/>
  <c r="C115" i="2"/>
  <c r="N114" i="2"/>
  <c r="C114" i="2" s="1"/>
  <c r="N113" i="2"/>
  <c r="C113" i="2"/>
  <c r="N112" i="2"/>
  <c r="C112" i="2"/>
  <c r="N111" i="2"/>
  <c r="C111" i="2"/>
  <c r="N110" i="2"/>
  <c r="C110" i="2"/>
  <c r="N109" i="2"/>
  <c r="C109" i="2" s="1"/>
  <c r="N108" i="2"/>
  <c r="C108" i="2"/>
  <c r="N107" i="2"/>
  <c r="C107" i="2" s="1"/>
  <c r="N106" i="2"/>
  <c r="C106" i="2"/>
  <c r="N105" i="2"/>
  <c r="C105" i="2"/>
  <c r="N104" i="2"/>
  <c r="C104" i="2"/>
  <c r="N103" i="2"/>
  <c r="C103" i="2"/>
  <c r="N102" i="2"/>
  <c r="C102" i="2"/>
  <c r="N101" i="2"/>
  <c r="C101" i="2" s="1"/>
  <c r="N100" i="2"/>
  <c r="C100" i="2" s="1"/>
  <c r="N99" i="2"/>
  <c r="C99" i="2"/>
  <c r="N98" i="2"/>
  <c r="C98" i="2" s="1"/>
  <c r="N97" i="2"/>
  <c r="C97" i="2"/>
  <c r="N96" i="2"/>
  <c r="C96" i="2" s="1"/>
  <c r="N95" i="2"/>
  <c r="C95" i="2"/>
  <c r="N94" i="2"/>
  <c r="C94" i="2"/>
  <c r="N93" i="2"/>
  <c r="C93" i="2"/>
  <c r="N92" i="2"/>
  <c r="C92" i="2"/>
  <c r="N91" i="2"/>
  <c r="C91" i="2"/>
  <c r="N90" i="2"/>
  <c r="C90" i="2"/>
  <c r="N89" i="2"/>
  <c r="C89" i="2" s="1"/>
  <c r="N88" i="2"/>
  <c r="C88" i="2"/>
  <c r="N87" i="2"/>
  <c r="C87" i="2"/>
  <c r="N86" i="2"/>
  <c r="C86" i="2"/>
  <c r="N85" i="2"/>
  <c r="C85" i="2"/>
  <c r="N84" i="2"/>
  <c r="C84" i="2"/>
  <c r="N83" i="2"/>
  <c r="C83" i="2"/>
  <c r="N82" i="2"/>
  <c r="C82" i="2"/>
  <c r="N81" i="2"/>
  <c r="C81" i="2"/>
  <c r="N80" i="2"/>
  <c r="C80" i="2"/>
  <c r="N79" i="2"/>
  <c r="C79" i="2"/>
  <c r="N78" i="2"/>
  <c r="C78" i="2"/>
  <c r="N77" i="2"/>
  <c r="C77" i="2"/>
  <c r="N76" i="2"/>
  <c r="C76" i="2"/>
  <c r="N75" i="2"/>
  <c r="C75" i="2"/>
  <c r="C49" i="2"/>
  <c r="N144" i="1"/>
  <c r="O144" i="1" s="1"/>
  <c r="N143" i="1"/>
  <c r="O143" i="1" s="1"/>
  <c r="N142" i="1"/>
  <c r="O142" i="1" s="1"/>
  <c r="N141" i="1"/>
  <c r="O141" i="1" s="1"/>
  <c r="N139" i="1"/>
  <c r="O139" i="1" s="1"/>
  <c r="N138" i="1"/>
  <c r="O138" i="1" s="1"/>
  <c r="N137" i="1"/>
  <c r="O137" i="1" s="1"/>
  <c r="N136" i="1"/>
  <c r="O136" i="1" s="1"/>
  <c r="N135" i="1"/>
  <c r="O135" i="1" s="1"/>
  <c r="N134" i="1"/>
  <c r="O134" i="1" s="1"/>
  <c r="N133" i="1"/>
  <c r="O133" i="1" s="1"/>
  <c r="N132" i="1"/>
  <c r="O132" i="1" s="1"/>
  <c r="N131" i="1"/>
  <c r="O131" i="1" s="1"/>
  <c r="N130" i="1"/>
  <c r="O130" i="1" s="1"/>
  <c r="N129" i="1"/>
  <c r="O129" i="1" s="1"/>
  <c r="N128" i="1"/>
  <c r="O128" i="1" s="1"/>
  <c r="N127" i="1"/>
  <c r="O127" i="1" s="1"/>
  <c r="N126" i="1"/>
  <c r="O126" i="1" s="1"/>
  <c r="N125" i="1"/>
  <c r="O125" i="1" s="1"/>
  <c r="N124" i="1"/>
  <c r="O124" i="1" s="1"/>
  <c r="O123" i="1"/>
  <c r="N123" i="1"/>
  <c r="N122" i="1"/>
  <c r="O122" i="1" s="1"/>
  <c r="N121" i="1"/>
  <c r="O121" i="1" s="1"/>
  <c r="N120" i="1"/>
  <c r="O120" i="1" s="1"/>
  <c r="N119" i="1"/>
  <c r="O119" i="1" s="1"/>
  <c r="N118" i="1"/>
  <c r="O118" i="1" s="1"/>
  <c r="N117" i="1"/>
  <c r="O117" i="1" s="1"/>
  <c r="N116" i="1"/>
  <c r="O116" i="1" s="1"/>
  <c r="N115" i="1"/>
  <c r="O115" i="1" s="1"/>
  <c r="O114" i="1"/>
  <c r="N114" i="1"/>
  <c r="N113" i="1"/>
  <c r="O113" i="1" s="1"/>
  <c r="O112" i="1"/>
  <c r="N112" i="1"/>
  <c r="N111" i="1"/>
  <c r="O111" i="1" s="1"/>
  <c r="N110" i="1"/>
  <c r="O110" i="1" s="1"/>
  <c r="N109" i="1"/>
  <c r="O109" i="1" s="1"/>
  <c r="N108" i="1"/>
  <c r="O108" i="1" s="1"/>
  <c r="N107" i="1"/>
  <c r="O107" i="1" s="1"/>
  <c r="N106" i="1"/>
  <c r="O106" i="1" s="1"/>
  <c r="O105" i="1"/>
  <c r="N105" i="1"/>
  <c r="N104" i="1"/>
  <c r="O104" i="1" s="1"/>
  <c r="N103" i="1"/>
  <c r="O103" i="1" s="1"/>
  <c r="N102" i="1"/>
  <c r="O102" i="1" s="1"/>
  <c r="N101" i="1"/>
  <c r="O101" i="1" s="1"/>
  <c r="N100" i="1"/>
  <c r="O100" i="1" s="1"/>
  <c r="N99" i="1"/>
  <c r="O99" i="1" s="1"/>
  <c r="N98" i="1"/>
  <c r="O98" i="1" s="1"/>
  <c r="N97" i="1"/>
  <c r="O97" i="1" s="1"/>
  <c r="N96" i="1"/>
  <c r="O96" i="1" s="1"/>
  <c r="N95" i="1"/>
  <c r="O95" i="1" s="1"/>
  <c r="N94" i="1"/>
  <c r="O94" i="1" s="1"/>
  <c r="N93" i="1"/>
  <c r="O93" i="1" s="1"/>
  <c r="N92" i="1"/>
  <c r="O92" i="1" s="1"/>
  <c r="N91" i="1"/>
  <c r="O91" i="1" s="1"/>
  <c r="N90" i="1"/>
  <c r="O90" i="1" s="1"/>
  <c r="N89" i="1"/>
  <c r="O89" i="1" s="1"/>
  <c r="N88" i="1"/>
  <c r="O88" i="1" s="1"/>
  <c r="N87" i="1"/>
  <c r="O87" i="1" s="1"/>
  <c r="N86" i="1"/>
  <c r="O86" i="1" s="1"/>
  <c r="N85" i="1"/>
  <c r="O85" i="1" s="1"/>
  <c r="N84" i="1"/>
  <c r="O84" i="1" s="1"/>
  <c r="N83" i="1"/>
  <c r="O83" i="1" s="1"/>
  <c r="N82" i="1"/>
  <c r="O82" i="1" s="1"/>
  <c r="J80" i="1"/>
  <c r="K80" i="1" s="1"/>
  <c r="J79" i="1"/>
  <c r="K79" i="1" s="1"/>
  <c r="J78" i="1"/>
  <c r="K78" i="1" s="1"/>
  <c r="J77" i="1"/>
  <c r="K77" i="1" s="1"/>
  <c r="J76" i="1"/>
  <c r="K76" i="1" s="1"/>
  <c r="J75" i="1"/>
  <c r="K75" i="1" s="1"/>
  <c r="K74" i="1"/>
  <c r="F72" i="1"/>
  <c r="M71" i="1"/>
  <c r="F71" i="1"/>
  <c r="M70" i="1"/>
  <c r="M69" i="1"/>
  <c r="C27" i="9" l="1"/>
  <c r="D27" i="9"/>
  <c r="D31" i="6"/>
  <c r="C31" i="6"/>
</calcChain>
</file>

<file path=xl/sharedStrings.xml><?xml version="1.0" encoding="utf-8"?>
<sst xmlns="http://schemas.openxmlformats.org/spreadsheetml/2006/main" count="2203" uniqueCount="486">
  <si>
    <t>Statement For Selected Period</t>
  </si>
  <si>
    <t>Total Revenue</t>
  </si>
  <si>
    <t>August 28 2023 - September 3 2023</t>
  </si>
  <si>
    <t>January</t>
  </si>
  <si>
    <t>September 4 2023 - September 10 2023</t>
  </si>
  <si>
    <t>February</t>
  </si>
  <si>
    <t>September 11 2023 - September 17 2023</t>
  </si>
  <si>
    <t>March</t>
  </si>
  <si>
    <t>September 18 2023 - September 24 2023</t>
  </si>
  <si>
    <t>April</t>
  </si>
  <si>
    <t>September 25 2023 - October 1 2023</t>
  </si>
  <si>
    <t>May</t>
  </si>
  <si>
    <t>October 2 2023 - October 8 2023</t>
  </si>
  <si>
    <t>June</t>
  </si>
  <si>
    <t>October 9 2023 - October 15 2023</t>
  </si>
  <si>
    <t>July</t>
  </si>
  <si>
    <t>October 16 2023 - October 22 2023</t>
  </si>
  <si>
    <t>August</t>
  </si>
  <si>
    <t>October 23 2023 - October 29 2023</t>
  </si>
  <si>
    <t>September</t>
  </si>
  <si>
    <t>October 30 2023 - November 5 2023</t>
  </si>
  <si>
    <t>October</t>
  </si>
  <si>
    <t>November 6 2023 - November 12 2023</t>
  </si>
  <si>
    <t>November</t>
  </si>
  <si>
    <t>November 13 2023 - November 19 2023</t>
  </si>
  <si>
    <t>December</t>
  </si>
  <si>
    <t>November 20 2023 - November 26 2023</t>
  </si>
  <si>
    <t>November 27 2023 - December 03 2024</t>
  </si>
  <si>
    <t>December 04 2023 - December 10 2024</t>
  </si>
  <si>
    <t>December 11 2023 - December 17 2024</t>
  </si>
  <si>
    <t>December 18 2023 - December 24 2024</t>
  </si>
  <si>
    <t>December 25 2023 - December 31 2024</t>
  </si>
  <si>
    <t>Jan 1 - Jan 07 2024</t>
  </si>
  <si>
    <t>Jan 8 - Jan 14 2024</t>
  </si>
  <si>
    <t>Jan 15 - Jan 21 2024</t>
  </si>
  <si>
    <t>Jan 22 - Jan 28 2025</t>
  </si>
  <si>
    <t>Jan 29 - Feb 04 2026</t>
  </si>
  <si>
    <t>Feb 05 - Feb 11 2026</t>
  </si>
  <si>
    <t>Feb 12 - Feb 18 2024</t>
  </si>
  <si>
    <t>Feb 19 - Feb 25 2024</t>
  </si>
  <si>
    <t>Feb 26 - Mar 03, 2024</t>
  </si>
  <si>
    <t>Mar 04 - Mar 10, 2024</t>
  </si>
  <si>
    <t>Mar 11 - Mar 17, 2024</t>
  </si>
  <si>
    <t>Mar 18 - Mar 25, 2024</t>
  </si>
  <si>
    <t>Mar 25 - Mar 31, 2024</t>
  </si>
  <si>
    <t>Apr 1 - Apr 07 2024</t>
  </si>
  <si>
    <t>Apr 8 - Apr 14 2024</t>
  </si>
  <si>
    <t>Apr 15 - Apr 21 2024</t>
  </si>
  <si>
    <t>Apr 22 - Apr 28 2024</t>
  </si>
  <si>
    <t>Apr 29 - May 5 2024</t>
  </si>
  <si>
    <t>May 6 - May 12 2024</t>
  </si>
  <si>
    <t>May 13 - May 19 2024</t>
  </si>
  <si>
    <t>May 20 - May 26 2024</t>
  </si>
  <si>
    <t>May 27 - Jun 02 2024</t>
  </si>
  <si>
    <t>Jun 03 - Jun 09 2024</t>
  </si>
  <si>
    <t>Jun 10 - Jun 16 2024</t>
  </si>
  <si>
    <t>Jun 17 - Jun 23 2024</t>
  </si>
  <si>
    <t>Jun 24 - Jun 30 2024</t>
  </si>
  <si>
    <t>Jul 1 - Jul 7 2024</t>
  </si>
  <si>
    <t>Jul 8 - Jul 14 2024</t>
  </si>
  <si>
    <t>Jul 15 - Jul 21 2024</t>
  </si>
  <si>
    <t>Jul 22 - Jul 28 2024</t>
  </si>
  <si>
    <t>Jul 29 - Aug 04 2024</t>
  </si>
  <si>
    <t>Aug 05 - Aug 11 2024</t>
  </si>
  <si>
    <t>Aug 12 - Aug 18 2024</t>
  </si>
  <si>
    <t>Aug 19 - Aug 25 2024</t>
  </si>
  <si>
    <t>Aug 26 - Sep 01 2024</t>
  </si>
  <si>
    <t>Sep 02 - Sep 08 2024</t>
  </si>
  <si>
    <t>Sep 09 - Sep 15 2024</t>
  </si>
  <si>
    <t>Sep 16 - Sep 22 2024</t>
  </si>
  <si>
    <t>Sep 23 - Sep 29 2024</t>
  </si>
  <si>
    <t>Sep 30 - Oct 06 2024</t>
  </si>
  <si>
    <t>Oct 07 - Oct 13 2024</t>
  </si>
  <si>
    <t>Oct 14 - Oct 20 2024</t>
  </si>
  <si>
    <t>Oct 21 - Oct 27 2024</t>
  </si>
  <si>
    <t>Oct 28 - Nov 03 2024</t>
  </si>
  <si>
    <t>Nov 4 - Nov 10 2024</t>
  </si>
  <si>
    <t>Nov 11 - Nov 17 2024</t>
  </si>
  <si>
    <t>Nov 18 - Nov 24 2024</t>
  </si>
  <si>
    <t>Nov 25 - Dec 01 2024</t>
  </si>
  <si>
    <t>In-Store</t>
  </si>
  <si>
    <t>Skip</t>
  </si>
  <si>
    <t>DD</t>
  </si>
  <si>
    <t>Uber (TB)</t>
  </si>
  <si>
    <t>Uber Website</t>
  </si>
  <si>
    <t>Dec 02 - Dec 08 2024</t>
  </si>
  <si>
    <t>Dec 09 - Dec 15 2024</t>
  </si>
  <si>
    <t>Dec 16 - Dec 22 2024</t>
  </si>
  <si>
    <t>Dec 23 - Dec 29 2024</t>
  </si>
  <si>
    <t>Dec 30 - Jan 05 2025</t>
  </si>
  <si>
    <t>Jan 06 - Jan 12 2025</t>
  </si>
  <si>
    <t>Highway Uber</t>
  </si>
  <si>
    <t>Pizza Highway Uber</t>
  </si>
  <si>
    <t>Jan 13 - Jan 19 2025</t>
  </si>
  <si>
    <t>Jan 20 - Jan 26 2025</t>
  </si>
  <si>
    <t>Jan 27 - Feb 02 2025</t>
  </si>
  <si>
    <t>Feb 03 - Feb 09 2025</t>
  </si>
  <si>
    <t>Feb 10 - Feb 16 2025</t>
  </si>
  <si>
    <t>Feb 17 - Feb 23 2025</t>
  </si>
  <si>
    <t>Feb 24 - Mar 02 2025</t>
  </si>
  <si>
    <t>Bill Count</t>
  </si>
  <si>
    <t>TB Total</t>
  </si>
  <si>
    <t>PK Uber (Rev)</t>
  </si>
  <si>
    <t>PK Uber (Marketing)</t>
  </si>
  <si>
    <t>Karahi Uber (Rev)</t>
  </si>
  <si>
    <t>Karahi Uber (Marketing)</t>
  </si>
  <si>
    <t>Final Uber</t>
  </si>
  <si>
    <t>Total</t>
  </si>
  <si>
    <t>Mar 03 - Mar 09 2025</t>
  </si>
  <si>
    <t>Mar 10 - Mar 16 2025</t>
  </si>
  <si>
    <t>Mar 17 - Mar 23 2025</t>
  </si>
  <si>
    <t>Mar 24 - Mar 30 2025</t>
  </si>
  <si>
    <t>Mar 31 - Apr 6 2025</t>
  </si>
  <si>
    <t>Apr 7 - Apr 13 2025</t>
  </si>
  <si>
    <t>Apr 14 - Apr 20 2025</t>
  </si>
  <si>
    <t>Apr 21 - Apr 27 2025</t>
  </si>
  <si>
    <t>Apr 28 - May 04 2025</t>
  </si>
  <si>
    <t>May 05 - May 11 2025</t>
  </si>
  <si>
    <t>May 12 - May 18 2025</t>
  </si>
  <si>
    <t>May 19 - May 25 2025</t>
  </si>
  <si>
    <t>May 26 - June 01 2025</t>
  </si>
  <si>
    <t>June 02 - June 08 2025</t>
  </si>
  <si>
    <t>June 09 - June 15 2025</t>
  </si>
  <si>
    <t>June 16 - June 22 2025</t>
  </si>
  <si>
    <t>June 23 - June 29 2025</t>
  </si>
  <si>
    <t>June 30 - July 06 2025</t>
  </si>
  <si>
    <t>July 07 - July 13 2025</t>
  </si>
  <si>
    <t>July 14 - July 20 2025</t>
  </si>
  <si>
    <t>July 21 - July 27 2025</t>
  </si>
  <si>
    <t>July 28 - Aug 03 2025</t>
  </si>
  <si>
    <t>Aug 04 - Aug 10 2025</t>
  </si>
  <si>
    <t>Aug 11 - Aug 17 2025</t>
  </si>
  <si>
    <t>Aug 18 - Aug 24 2025</t>
  </si>
  <si>
    <t>Aug 25 - Aug 31 2025</t>
  </si>
  <si>
    <t>Sep 01 - Sep 07 2025</t>
  </si>
  <si>
    <t>Sep 08 - Sep 14 2025</t>
  </si>
  <si>
    <t>Sep 15 - Sep 21 2025</t>
  </si>
  <si>
    <t>Sep 22 - Sep 28 2025</t>
  </si>
  <si>
    <t>Sep 29 - Oct 05 2025</t>
  </si>
  <si>
    <t>Oct 6 - Oct 12 2025</t>
  </si>
  <si>
    <t>Oct 13 - Oct 19 2025</t>
  </si>
  <si>
    <t>Oct 20 - Oct 26 2025</t>
  </si>
  <si>
    <t>Oct 27 - Nov 02 2025</t>
  </si>
  <si>
    <t>Nov 03 - Nov 09 2025</t>
  </si>
  <si>
    <t>213</t>
  </si>
  <si>
    <t>Nov 10 - Nov 16 2025</t>
  </si>
  <si>
    <t>231</t>
  </si>
  <si>
    <t>Nov 17 - Nov 23 2025</t>
  </si>
  <si>
    <t>247</t>
  </si>
  <si>
    <t>Nov 24 - Nov 30 2025</t>
  </si>
  <si>
    <t>Dec 01 - Dec 07 2025</t>
  </si>
  <si>
    <t>Dec 08 - Dec 14 2025</t>
  </si>
  <si>
    <t>232</t>
  </si>
  <si>
    <t>Dec 15 - Dec 21 2025</t>
  </si>
  <si>
    <t>Dec 22 - Dec 28 2025</t>
  </si>
  <si>
    <t>Dec 29 - Jan 04 2026</t>
  </si>
  <si>
    <t>266</t>
  </si>
  <si>
    <t>Jan 05 - Jan 11 2026</t>
  </si>
  <si>
    <t>228</t>
  </si>
  <si>
    <t>Jan 12 - Jan 18 2026</t>
  </si>
  <si>
    <t>233</t>
  </si>
  <si>
    <t>Jan 19 - Jan 25 2026</t>
  </si>
  <si>
    <t>169</t>
  </si>
  <si>
    <t>Jan 26 - Feb 01 2026</t>
  </si>
  <si>
    <t>258</t>
  </si>
  <si>
    <t>Feb 02 - Feb 08 2026</t>
  </si>
  <si>
    <t>Feb 09 - Feb 15 2026</t>
  </si>
  <si>
    <t>254</t>
  </si>
  <si>
    <t>Feb 16 - Feb 22 2026</t>
  </si>
  <si>
    <t>243</t>
  </si>
  <si>
    <t>Feb 23 - Mar 1 2026</t>
  </si>
  <si>
    <t>227</t>
  </si>
  <si>
    <t>Mar 02 - Mar 08 2026</t>
  </si>
  <si>
    <t>281</t>
  </si>
  <si>
    <t>Mar 09 - Mar 15 2026</t>
  </si>
  <si>
    <t>306</t>
  </si>
  <si>
    <t>Mar 16 - Mar 22 2026</t>
  </si>
  <si>
    <t>357</t>
  </si>
  <si>
    <t>Mar 23 - Mar 29 2026</t>
  </si>
  <si>
    <t>272</t>
  </si>
  <si>
    <t>Mar 30 - Apr 05 2026</t>
  </si>
  <si>
    <t>267</t>
  </si>
  <si>
    <t>Apr 06 - Apr 12</t>
  </si>
  <si>
    <t>240</t>
  </si>
  <si>
    <t>Apr 13 - Apr 19</t>
  </si>
  <si>
    <t>234</t>
  </si>
  <si>
    <t>Apr 20 - Apr 26</t>
  </si>
  <si>
    <t>263</t>
  </si>
  <si>
    <t>Apr 27 - May 03</t>
  </si>
  <si>
    <t>242</t>
  </si>
  <si>
    <t>$1,493.39</t>
  </si>
  <si>
    <t>$134.16</t>
  </si>
  <si>
    <t>May 4 - May 10</t>
  </si>
  <si>
    <t>May 11 - May 17</t>
  </si>
  <si>
    <t>May 18 - May 24</t>
  </si>
  <si>
    <t>Karachi Highway Karahi</t>
  </si>
  <si>
    <t>$13,235.24 + $2,003.04 = 15,238.28</t>
  </si>
  <si>
    <t>KKW Earnings</t>
  </si>
  <si>
    <t>KKW Marketing</t>
  </si>
  <si>
    <t>Smash Earnings</t>
  </si>
  <si>
    <t>Smash Marketing</t>
  </si>
  <si>
    <t>Uber Total</t>
  </si>
  <si>
    <t>424</t>
  </si>
  <si>
    <t>405</t>
  </si>
  <si>
    <t>409</t>
  </si>
  <si>
    <t>381</t>
  </si>
  <si>
    <t>412</t>
  </si>
  <si>
    <t>520</t>
  </si>
  <si>
    <t>392</t>
  </si>
  <si>
    <t>391</t>
  </si>
  <si>
    <t>318</t>
  </si>
  <si>
    <t>403</t>
  </si>
  <si>
    <t>388</t>
  </si>
  <si>
    <t>457</t>
  </si>
  <si>
    <t>425</t>
  </si>
  <si>
    <t>362</t>
  </si>
  <si>
    <t>355</t>
  </si>
  <si>
    <t>340</t>
  </si>
  <si>
    <t>473</t>
  </si>
  <si>
    <t>456</t>
  </si>
  <si>
    <t>422</t>
  </si>
  <si>
    <t>421</t>
  </si>
  <si>
    <t>$1,516.35</t>
  </si>
  <si>
    <t>426</t>
  </si>
  <si>
    <t>$1,703.70</t>
  </si>
  <si>
    <t>$146.72</t>
  </si>
  <si>
    <t>Karachi Kababwala</t>
  </si>
  <si>
    <t xml:space="preserve">21,423.57	</t>
  </si>
  <si>
    <t>In Store</t>
  </si>
  <si>
    <t>Uber TB</t>
  </si>
  <si>
    <t>PK Uber Rev</t>
  </si>
  <si>
    <t>PK Uber Disc</t>
  </si>
  <si>
    <t>Chick Uber Rev</t>
  </si>
  <si>
    <t>Chick Uber Disc</t>
  </si>
  <si>
    <t>Uber (After Discount)</t>
  </si>
  <si>
    <t>539</t>
  </si>
  <si>
    <t>566</t>
  </si>
  <si>
    <t>589</t>
  </si>
  <si>
    <t>598</t>
  </si>
  <si>
    <t>641</t>
  </si>
  <si>
    <t>780</t>
  </si>
  <si>
    <t>519</t>
  </si>
  <si>
    <t>543</t>
  </si>
  <si>
    <t>507</t>
  </si>
  <si>
    <t>588</t>
  </si>
  <si>
    <t>556</t>
  </si>
  <si>
    <t>606</t>
  </si>
  <si>
    <t>431</t>
  </si>
  <si>
    <t>510</t>
  </si>
  <si>
    <t>561</t>
  </si>
  <si>
    <t>580</t>
  </si>
  <si>
    <t>734</t>
  </si>
  <si>
    <t>545</t>
  </si>
  <si>
    <t>618</t>
  </si>
  <si>
    <t>600</t>
  </si>
  <si>
    <t>$7,550.29</t>
  </si>
  <si>
    <t>$762.91</t>
  </si>
  <si>
    <t>609</t>
  </si>
  <si>
    <t>570</t>
  </si>
  <si>
    <t>$5,515.54</t>
  </si>
  <si>
    <t>$113.29</t>
  </si>
  <si>
    <t>Pizza K Heartland</t>
  </si>
  <si>
    <t>July 3 2023 - Jul 9 2023</t>
  </si>
  <si>
    <t>July 10 2023 - Jul 16 2023</t>
  </si>
  <si>
    <t>July 17 2023 - Jul 23 2023</t>
  </si>
  <si>
    <t>July 24 2023 - Jul 30 2023</t>
  </si>
  <si>
    <t>July 31 2023 - Aug 6 2023</t>
  </si>
  <si>
    <t>Aug 7 2023 - Aug 13 2023</t>
  </si>
  <si>
    <t>Aug 14 2023 - Aug 20 2023</t>
  </si>
  <si>
    <t>Aug 21 2023 - Aug 27 2023</t>
  </si>
  <si>
    <t>Food ordering review</t>
  </si>
  <si>
    <t>scheduling</t>
  </si>
  <si>
    <t>store 1 hr both stores</t>
  </si>
  <si>
    <t>Marketing/Discount</t>
  </si>
  <si>
    <t>879</t>
  </si>
  <si>
    <t>937</t>
  </si>
  <si>
    <t>989</t>
  </si>
  <si>
    <t>1,018</t>
  </si>
  <si>
    <t>1,078</t>
  </si>
  <si>
    <t>1,402</t>
  </si>
  <si>
    <t>1,049</t>
  </si>
  <si>
    <t>996</t>
  </si>
  <si>
    <t>829</t>
  </si>
  <si>
    <t>1,040</t>
  </si>
  <si>
    <t>956</t>
  </si>
  <si>
    <t>1,178</t>
  </si>
  <si>
    <t>980</t>
  </si>
  <si>
    <t>912</t>
  </si>
  <si>
    <t>1,022</t>
  </si>
  <si>
    <t>1,086</t>
  </si>
  <si>
    <t>1,522</t>
  </si>
  <si>
    <t>1,090</t>
  </si>
  <si>
    <t>1,291</t>
  </si>
  <si>
    <t>1,047</t>
  </si>
  <si>
    <t>1,033</t>
  </si>
  <si>
    <t>$10,632.28</t>
  </si>
  <si>
    <t>$708.16</t>
  </si>
  <si>
    <t>1,104</t>
  </si>
  <si>
    <t>1,106</t>
  </si>
  <si>
    <t>$10,290.91</t>
  </si>
  <si>
    <t>$441.87</t>
  </si>
  <si>
    <t>Pizza K Eglinton</t>
  </si>
  <si>
    <t>FC Rev</t>
  </si>
  <si>
    <t>FC Marketing</t>
  </si>
  <si>
    <t>Chickentarian Rev</t>
  </si>
  <si>
    <t>Chickentarian Marketing</t>
  </si>
  <si>
    <t>Smash Rev</t>
  </si>
  <si>
    <t>1,519</t>
  </si>
  <si>
    <t>1,488</t>
  </si>
  <si>
    <t>1,448</t>
  </si>
  <si>
    <t>1,138</t>
  </si>
  <si>
    <t>1,603</t>
  </si>
  <si>
    <t>2,080</t>
  </si>
  <si>
    <t>1,228</t>
  </si>
  <si>
    <t>1,494</t>
  </si>
  <si>
    <t>943</t>
  </si>
  <si>
    <t>1,362</t>
  </si>
  <si>
    <t>1,269</t>
  </si>
  <si>
    <t>1,646</t>
  </si>
  <si>
    <t>1,303</t>
  </si>
  <si>
    <t>1,572</t>
  </si>
  <si>
    <t>1,577</t>
  </si>
  <si>
    <t>2,170</t>
  </si>
  <si>
    <t>1,662</t>
  </si>
  <si>
    <t>2,038</t>
  </si>
  <si>
    <t>1,724</t>
  </si>
  <si>
    <t>1,854</t>
  </si>
  <si>
    <t>$3,491.18</t>
  </si>
  <si>
    <t>$172.69</t>
  </si>
  <si>
    <t>$61.52</t>
  </si>
  <si>
    <t>1,690</t>
  </si>
  <si>
    <t>1,703</t>
  </si>
  <si>
    <t>$2,786.66</t>
  </si>
  <si>
    <t>$140.30</t>
  </si>
  <si>
    <t>$45.34</t>
  </si>
  <si>
    <t>Karachi Food Court</t>
  </si>
  <si>
    <t>Markham</t>
  </si>
  <si>
    <t>Total Revenue (Net Sales)</t>
  </si>
  <si>
    <t>Royalties
(6%)</t>
  </si>
  <si>
    <t>Marketing
(2%)</t>
  </si>
  <si>
    <t>Jan 22 - Jan 28 2024</t>
  </si>
  <si>
    <t>Jan 29 - Feb 04 2024</t>
  </si>
  <si>
    <t>Feb 05 - Feb 11 2024</t>
  </si>
  <si>
    <t>Marketing</t>
  </si>
  <si>
    <t>244</t>
  </si>
  <si>
    <t>257</t>
  </si>
  <si>
    <t>294</t>
  </si>
  <si>
    <t>366</t>
  </si>
  <si>
    <t>250</t>
  </si>
  <si>
    <t>275</t>
  </si>
  <si>
    <t>271</t>
  </si>
  <si>
    <t>308</t>
  </si>
  <si>
    <t>343</t>
  </si>
  <si>
    <t>268</t>
  </si>
  <si>
    <t>322</t>
  </si>
  <si>
    <t>283</t>
  </si>
  <si>
    <t>304</t>
  </si>
  <si>
    <t>$2,894.45</t>
  </si>
  <si>
    <t>$80.10</t>
  </si>
  <si>
    <t>Royalties
(6%) +HST</t>
  </si>
  <si>
    <t>Marketing
(2%) +HST</t>
  </si>
  <si>
    <t>Wonderland</t>
  </si>
  <si>
    <t>Smash Ox Rev</t>
  </si>
  <si>
    <t>Smash Ox Marketing</t>
  </si>
  <si>
    <t>65 orders</t>
  </si>
  <si>
    <t>98 orders</t>
  </si>
  <si>
    <t>91 orders</t>
  </si>
  <si>
    <t>92 orders</t>
  </si>
  <si>
    <t>336</t>
  </si>
  <si>
    <t>368</t>
  </si>
  <si>
    <t>338</t>
  </si>
  <si>
    <t>385</t>
  </si>
  <si>
    <t>400</t>
  </si>
  <si>
    <t>301</t>
  </si>
  <si>
    <t>323</t>
  </si>
  <si>
    <t>291</t>
  </si>
  <si>
    <t>350</t>
  </si>
  <si>
    <t>401</t>
  </si>
  <si>
    <t>264</t>
  </si>
  <si>
    <t>331</t>
  </si>
  <si>
    <t>290</t>
  </si>
  <si>
    <t>278</t>
  </si>
  <si>
    <t>317</t>
  </si>
  <si>
    <t>360</t>
  </si>
  <si>
    <t>386</t>
  </si>
  <si>
    <t>339</t>
  </si>
  <si>
    <t>398</t>
  </si>
  <si>
    <t>417</t>
  </si>
  <si>
    <t>$3,590.74</t>
  </si>
  <si>
    <t>$191.13</t>
  </si>
  <si>
    <t>$133.90</t>
  </si>
  <si>
    <t>$46.94</t>
  </si>
  <si>
    <t>$18.99</t>
  </si>
  <si>
    <t>Ajax</t>
  </si>
  <si>
    <t>TB Revenue</t>
  </si>
  <si>
    <t>Uber</t>
  </si>
  <si>
    <t>Uber Earnings</t>
  </si>
  <si>
    <t>Uber Marketing</t>
  </si>
  <si>
    <t>Uber (Total)</t>
  </si>
  <si>
    <t>332</t>
  </si>
  <si>
    <t>364</t>
  </si>
  <si>
    <t>342</t>
  </si>
  <si>
    <t>310</t>
  </si>
  <si>
    <t>319</t>
  </si>
  <si>
    <t>280</t>
  </si>
  <si>
    <t>325</t>
  </si>
  <si>
    <t>285</t>
  </si>
  <si>
    <t>302</t>
  </si>
  <si>
    <t>316</t>
  </si>
  <si>
    <t>349</t>
  </si>
  <si>
    <t>315</t>
  </si>
  <si>
    <t>346</t>
  </si>
  <si>
    <t>330</t>
  </si>
  <si>
    <t>$2,474.69</t>
  </si>
  <si>
    <t>$132.24</t>
  </si>
  <si>
    <t>PK Queen St.</t>
  </si>
  <si>
    <t>Uber (Website)</t>
  </si>
  <si>
    <t>Subtract</t>
  </si>
  <si>
    <t>Final uber</t>
  </si>
  <si>
    <t>Ox Uber (Rev)</t>
  </si>
  <si>
    <t>Ox Uber (Marketing)</t>
  </si>
  <si>
    <t>Chickentarian Uber (Rev)</t>
  </si>
  <si>
    <t>Chickentarian Uber (Marketing)</t>
  </si>
  <si>
    <t>583</t>
  </si>
  <si>
    <t>551</t>
  </si>
  <si>
    <t>503</t>
  </si>
  <si>
    <t>603</t>
  </si>
  <si>
    <t>673</t>
  </si>
  <si>
    <t>535</t>
  </si>
  <si>
    <t>523</t>
  </si>
  <si>
    <t>552</t>
  </si>
  <si>
    <t>524</t>
  </si>
  <si>
    <t>567</t>
  </si>
  <si>
    <t>502</t>
  </si>
  <si>
    <t>516</t>
  </si>
  <si>
    <t>501</t>
  </si>
  <si>
    <t>511</t>
  </si>
  <si>
    <t>562</t>
  </si>
  <si>
    <t>560</t>
  </si>
  <si>
    <t>554</t>
  </si>
  <si>
    <t>558</t>
  </si>
  <si>
    <t>$8,660.02</t>
  </si>
  <si>
    <t>$659.24</t>
  </si>
  <si>
    <t>Queen KKW</t>
  </si>
  <si>
    <t>POS Total</t>
  </si>
  <si>
    <t>Uber (Rev)</t>
  </si>
  <si>
    <t>Uber (Marketing)</t>
  </si>
  <si>
    <t>305</t>
  </si>
  <si>
    <t>273</t>
  </si>
  <si>
    <t>279</t>
  </si>
  <si>
    <t>253</t>
  </si>
  <si>
    <t>329</t>
  </si>
  <si>
    <t>314</t>
  </si>
  <si>
    <t>393</t>
  </si>
  <si>
    <t>404</t>
  </si>
  <si>
    <t>389</t>
  </si>
  <si>
    <t>359</t>
  </si>
  <si>
    <t>394</t>
  </si>
  <si>
    <t>411</t>
  </si>
  <si>
    <t>$5,420.59</t>
  </si>
  <si>
    <t>$1,423.35</t>
  </si>
  <si>
    <t>Lebovic</t>
  </si>
  <si>
    <t>Mar 07 - Mar 09 2025</t>
  </si>
  <si>
    <t>378</t>
  </si>
  <si>
    <t>450</t>
  </si>
  <si>
    <t>354</t>
  </si>
  <si>
    <t>509</t>
  </si>
  <si>
    <t>326</t>
  </si>
  <si>
    <t>374</t>
  </si>
  <si>
    <t>298</t>
  </si>
  <si>
    <t>372</t>
  </si>
  <si>
    <t>397</t>
  </si>
  <si>
    <t>448</t>
  </si>
  <si>
    <t>433</t>
  </si>
  <si>
    <t>$2,403.59</t>
  </si>
  <si>
    <t>$32.97</t>
  </si>
  <si>
    <t>396</t>
  </si>
  <si>
    <t>$2,211.54</t>
  </si>
  <si>
    <t>Karachi Tawa Icecream</t>
  </si>
  <si>
    <t>Uber Help</t>
  </si>
  <si>
    <t>Smash Ox Dixie</t>
  </si>
  <si>
    <t>Chickentarian Britannia</t>
  </si>
  <si>
    <t>May 25 - May 31</t>
  </si>
  <si>
    <t>$1,804.57</t>
  </si>
  <si>
    <t>$182.19</t>
  </si>
  <si>
    <t>$313.60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</si>
</sst>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164" formatCode="&quot;$&quot;#,##0.00"/>
  </numFmts>
  <fonts count="51">
    <font>
      <sz val="11"/>
      <color theme="1"/>
      <name val="Calibri"/>
      <family val="2"/>
      <scheme val="minor"/>
    </font>
    <font>
      <b/>
      <sz val="12"/>
      <color rgb="FF333333"/>
      <name val="Verdana"/>
      <family val="2"/>
    </font>
    <font>
      <sz val="11"/>
      <color rgb="FF333333"/>
      <name val="Verdana"/>
      <family val="2"/>
    </font>
    <font>
      <b/>
      <sz val="11"/>
      <color theme="1"/>
      <name val="Verdana"/>
      <family val="2"/>
    </font>
    <font>
      <sz val="11"/>
      <color theme="1"/>
      <name val="Verdana"/>
      <family val="2"/>
    </font>
    <font>
      <b/>
      <sz val="10"/>
      <color rgb="FF333333"/>
      <name val="Lato-regular"/>
    </font>
    <font>
      <b/>
      <sz val="11"/>
      <color theme="1"/>
      <name val="Calibri"/>
      <family val="2"/>
      <scheme val="minor"/>
    </font>
    <font>
      <sz val="10"/>
      <color rgb="FF3F4254"/>
      <name val="Roboto"/>
    </font>
    <font>
      <sz val="11"/>
      <color theme="9"/>
      <name val="Verdana"/>
      <family val="2"/>
    </font>
    <font>
      <sz val="11"/>
      <color theme="9"/>
      <name val="Calibri"/>
      <family val="2"/>
      <scheme val="minor"/>
    </font>
    <font>
      <sz val="11"/>
      <name val="Calibri"/>
      <family val="2"/>
    </font>
    <font>
      <sz val="11"/>
      <name val="Verdana"/>
      <family val="2"/>
    </font>
    <font>
      <sz val="11"/>
      <name val="Calibri"/>
      <family val="2"/>
      <scheme val="minor"/>
    </font>
    <font>
      <b/>
      <sz val="10"/>
      <name val="Lato-regular"/>
    </font>
    <font>
      <b/>
      <sz val="11"/>
      <name val="Verdana"/>
      <family val="2"/>
    </font>
    <font>
      <b/>
      <sz val="11"/>
      <color rgb="FF333333"/>
      <name val="Lato-regular"/>
    </font>
    <font>
      <sz val="11"/>
      <color rgb="FF3F4254"/>
      <name val="Roboto"/>
    </font>
    <font>
      <sz val="11"/>
      <color theme="9"/>
      <name val="Roboto"/>
    </font>
    <font>
      <sz val="10"/>
      <name val="Roboto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11"/>
      <color rgb="FF333333"/>
      <name val="Arial"/>
      <family val="2"/>
    </font>
    <font>
      <sz val="11"/>
      <name val="Arial"/>
      <family val="2"/>
    </font>
    <font>
      <sz val="14"/>
      <color rgb="FF333333"/>
      <name val="Arial"/>
      <family val="2"/>
    </font>
    <font>
      <b/>
      <sz val="14"/>
      <color rgb="FF333333"/>
      <name val="Arial"/>
      <family val="2"/>
    </font>
    <font>
      <sz val="14"/>
      <name val="Arial"/>
      <family val="2"/>
    </font>
    <font>
      <b/>
      <sz val="14"/>
      <color theme="1"/>
      <name val="Arial"/>
      <family val="2"/>
    </font>
    <font>
      <sz val="14"/>
      <color rgb="FF333333"/>
      <name val="Verdana"/>
      <family val="2"/>
    </font>
    <font>
      <b/>
      <sz val="11"/>
      <color theme="1"/>
      <name val="Arial"/>
      <family val="2"/>
    </font>
    <font>
      <b/>
      <sz val="11"/>
      <color rgb="FF333333"/>
      <name val="Arial"/>
      <family val="2"/>
    </font>
    <font>
      <sz val="11"/>
      <color rgb="FF3F4254"/>
      <name val="Arial"/>
      <family val="2"/>
    </font>
    <font>
      <sz val="11"/>
      <color theme="9"/>
      <name val="Arial"/>
      <family val="2"/>
    </font>
    <font>
      <b/>
      <sz val="11"/>
      <name val="Arial"/>
      <family val="2"/>
    </font>
    <font>
      <b/>
      <sz val="11"/>
      <color theme="9"/>
      <name val="Arial"/>
      <family val="2"/>
    </font>
    <font>
      <b/>
      <sz val="11"/>
      <color rgb="FF333333"/>
      <name val="Verdana"/>
      <family val="2"/>
    </font>
    <font>
      <sz val="11"/>
      <color rgb="FF3F4254"/>
      <name val="Verdana"/>
      <family val="2"/>
    </font>
    <font>
      <sz val="11"/>
      <color rgb="FF000000"/>
      <name val="Verdana"/>
      <family val="2"/>
    </font>
    <font>
      <b/>
      <sz val="11"/>
      <color rgb="FF000000"/>
      <name val="Verdana"/>
      <family val="2"/>
    </font>
    <font>
      <sz val="11"/>
      <color rgb="FF000000"/>
      <name val="Verdana"/>
      <family val="2"/>
    </font>
    <font>
      <sz val="11"/>
      <color rgb="FF000000"/>
      <name val="Verdana"/>
      <family val="2"/>
    </font>
    <font>
      <sz val="11"/>
      <color rgb="FF000000"/>
      <name val="Verdana"/>
      <family val="2"/>
    </font>
    <font>
      <sz val="11"/>
      <color rgb="FF000000"/>
      <name val="Verdana"/>
      <family val="2"/>
    </font>
    <font>
      <sz val="11"/>
      <color rgb="FF000000"/>
      <name val="Verdana"/>
      <family val="2"/>
    </font>
    <font>
      <sz val="11"/>
      <color rgb="FF000000"/>
      <name val="Verdana"/>
      <family val="2"/>
    </font>
    <font>
      <sz val="11"/>
      <color rgb="FF000000"/>
      <name val="Verdana"/>
      <family val="2"/>
    </font>
    <font>
      <sz val="11"/>
      <color rgb="FF000000"/>
      <name val="Verdana"/>
      <family val="2"/>
    </font>
    <font>
      <sz val="11"/>
      <color rgb="FF000000"/>
      <name val="Verdana"/>
      <family val="2"/>
    </font>
    <font>
      <sz val="11"/>
      <color theme="1"/>
      <name val="Verdana"/>
      <family val="2"/>
    </font>
    <font>
      <sz val="11"/>
      <color rgb="FF000000"/>
      <name val="Verdana"/>
      <family val="2"/>
    </font>
    <font>
      <sz val="11"/>
      <color rgb="FF000000"/>
      <name val="Verdana"/>
      <family val="2"/>
    </font>
    <font>
      <u/>
      <sz val="11"/>
      <color theme="1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EBEDF3"/>
      </left>
      <right style="medium">
        <color rgb="FFEBEDF3"/>
      </right>
      <top/>
      <bottom style="medium">
        <color rgb="FFEBEDF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rgb="FFEBEDF3"/>
      </right>
      <top/>
      <bottom style="medium">
        <color rgb="FFEBEDF3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rgb="FFE0E0E0"/>
      </bottom>
      <diagonal/>
    </border>
    <border>
      <left style="medium">
        <color rgb="FFE5E5E5"/>
      </left>
      <right/>
      <top style="medium">
        <color rgb="FFE5E5E5"/>
      </top>
      <bottom style="medium">
        <color rgb="FFE5E5E5"/>
      </bottom>
      <diagonal/>
    </border>
    <border>
      <left/>
      <right style="medium">
        <color rgb="FFE5E5E5"/>
      </right>
      <top style="medium">
        <color rgb="FFE5E5E5"/>
      </top>
      <bottom style="medium">
        <color rgb="FFE5E5E5"/>
      </bottom>
      <diagonal/>
    </border>
    <border>
      <left style="medium">
        <color rgb="FFE5E5E5"/>
      </left>
      <right/>
      <top style="medium">
        <color rgb="FFE5E5E5"/>
      </top>
      <bottom style="medium">
        <color rgb="FFE0E0E0"/>
      </bottom>
      <diagonal/>
    </border>
    <border>
      <left/>
      <right/>
      <top style="medium">
        <color rgb="FFE5E5E5"/>
      </top>
      <bottom style="medium">
        <color rgb="FFE0E0E0"/>
      </bottom>
      <diagonal/>
    </border>
    <border>
      <left style="medium">
        <color rgb="FFE5E5E5"/>
      </left>
      <right/>
      <top/>
      <bottom style="medium">
        <color rgb="FFE5E5E5"/>
      </bottom>
      <diagonal/>
    </border>
    <border>
      <left/>
      <right/>
      <top/>
      <bottom style="medium">
        <color rgb="FFE5E5E5"/>
      </bottom>
      <diagonal/>
    </border>
    <border>
      <left/>
      <right/>
      <top style="medium">
        <color rgb="FFE5E5E5"/>
      </top>
      <bottom style="medium">
        <color rgb="FFE5E5E5"/>
      </bottom>
      <diagonal/>
    </border>
    <border>
      <left style="medium">
        <color rgb="FFE5E5E5"/>
      </left>
      <right/>
      <top style="medium">
        <color rgb="FFE5E5E5"/>
      </top>
      <bottom/>
      <diagonal/>
    </border>
    <border>
      <left/>
      <right style="medium">
        <color rgb="FFE5E5E5"/>
      </right>
      <top style="medium">
        <color rgb="FFE5E5E5"/>
      </top>
      <bottom/>
      <diagonal/>
    </border>
    <border>
      <left/>
      <right/>
      <top style="medium">
        <color rgb="FFE5E5E5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10" fillId="0" borderId="0"/>
  </cellStyleXfs>
  <cellXfs count="375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8" fontId="2" fillId="0" borderId="1" xfId="0" applyNumberFormat="1" applyFont="1" applyBorder="1" applyAlignment="1">
      <alignment horizontal="right" vertical="top" wrapText="1"/>
    </xf>
    <xf numFmtId="0" fontId="2" fillId="0" borderId="0" xfId="0" applyFont="1" applyAlignment="1">
      <alignment horizontal="center" vertical="center" wrapText="1"/>
    </xf>
    <xf numFmtId="8" fontId="2" fillId="0" borderId="0" xfId="0" applyNumberFormat="1" applyFont="1" applyAlignment="1">
      <alignment horizontal="right" vertical="top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2" borderId="2" xfId="0" applyFill="1" applyBorder="1"/>
    <xf numFmtId="0" fontId="4" fillId="0" borderId="1" xfId="0" applyFont="1" applyBorder="1" applyAlignment="1">
      <alignment horizontal="center" vertical="center" wrapText="1"/>
    </xf>
    <xf numFmtId="8" fontId="7" fillId="0" borderId="1" xfId="0" applyNumberFormat="1" applyFont="1" applyBorder="1" applyAlignment="1">
      <alignment horizontal="center" vertical="top" wrapText="1"/>
    </xf>
    <xf numFmtId="8" fontId="0" fillId="0" borderId="0" xfId="0" applyNumberFormat="1"/>
    <xf numFmtId="0" fontId="0" fillId="0" borderId="0" xfId="0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/>
    </xf>
    <xf numFmtId="4" fontId="5" fillId="0" borderId="1" xfId="0" applyNumberFormat="1" applyFont="1" applyBorder="1" applyAlignment="1">
      <alignment horizontal="center" vertical="top" wrapText="1"/>
    </xf>
    <xf numFmtId="8" fontId="7" fillId="0" borderId="3" xfId="0" applyNumberFormat="1" applyFont="1" applyBorder="1" applyAlignment="1">
      <alignment horizontal="center" vertical="top" wrapText="1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4" fillId="0" borderId="1" xfId="0" applyFont="1" applyBorder="1" applyAlignment="1">
      <alignment vertical="center" wrapText="1"/>
    </xf>
    <xf numFmtId="4" fontId="6" fillId="0" borderId="1" xfId="0" applyNumberFormat="1" applyFont="1" applyBorder="1" applyAlignment="1">
      <alignment horizontal="center" vertical="center"/>
    </xf>
    <xf numFmtId="4" fontId="5" fillId="0" borderId="1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4" fontId="5" fillId="0" borderId="3" xfId="0" applyNumberFormat="1" applyFont="1" applyBorder="1" applyAlignment="1">
      <alignment horizontal="center" vertical="top" wrapText="1"/>
    </xf>
    <xf numFmtId="0" fontId="0" fillId="0" borderId="3" xfId="0" applyBorder="1"/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/>
    <xf numFmtId="4" fontId="15" fillId="0" borderId="1" xfId="0" applyNumberFormat="1" applyFont="1" applyBorder="1" applyAlignment="1">
      <alignment horizontal="center"/>
    </xf>
    <xf numFmtId="8" fontId="16" fillId="0" borderId="1" xfId="0" applyNumberFormat="1" applyFont="1" applyBorder="1" applyAlignment="1">
      <alignment horizontal="center"/>
    </xf>
    <xf numFmtId="8" fontId="16" fillId="0" borderId="1" xfId="0" applyNumberFormat="1" applyFont="1" applyBorder="1" applyAlignment="1">
      <alignment horizontal="center" vertical="top" wrapText="1"/>
    </xf>
    <xf numFmtId="8" fontId="17" fillId="0" borderId="1" xfId="0" applyNumberFormat="1" applyFont="1" applyBorder="1" applyAlignment="1">
      <alignment horizontal="center"/>
    </xf>
    <xf numFmtId="8" fontId="16" fillId="0" borderId="3" xfId="0" applyNumberFormat="1" applyFont="1" applyBorder="1" applyAlignment="1">
      <alignment horizontal="center"/>
    </xf>
    <xf numFmtId="8" fontId="16" fillId="0" borderId="1" xfId="0" applyNumberFormat="1" applyFont="1" applyBorder="1" applyAlignment="1">
      <alignment horizontal="center" vertical="center" wrapText="1"/>
    </xf>
    <xf numFmtId="8" fontId="2" fillId="0" borderId="3" xfId="0" applyNumberFormat="1" applyFont="1" applyBorder="1" applyAlignment="1">
      <alignment horizontal="center" vertical="top" wrapText="1"/>
    </xf>
    <xf numFmtId="0" fontId="0" fillId="0" borderId="4" xfId="0" applyBorder="1"/>
    <xf numFmtId="8" fontId="16" fillId="0" borderId="3" xfId="0" applyNumberFormat="1" applyFont="1" applyBorder="1" applyAlignment="1">
      <alignment horizontal="center" vertical="top" wrapText="1"/>
    </xf>
    <xf numFmtId="8" fontId="16" fillId="0" borderId="3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4" fontId="13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8" fontId="7" fillId="2" borderId="3" xfId="0" applyNumberFormat="1" applyFont="1" applyFill="1" applyBorder="1" applyAlignment="1">
      <alignment horizontal="center" vertical="top" wrapText="1"/>
    </xf>
    <xf numFmtId="0" fontId="0" fillId="0" borderId="7" xfId="0" applyBorder="1"/>
    <xf numFmtId="0" fontId="4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8" fontId="2" fillId="0" borderId="1" xfId="0" applyNumberFormat="1" applyFont="1" applyBorder="1" applyAlignment="1">
      <alignment horizontal="center" vertical="top" wrapText="1"/>
    </xf>
    <xf numFmtId="0" fontId="21" fillId="0" borderId="1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0" fillId="0" borderId="0" xfId="0" applyFont="1"/>
    <xf numFmtId="0" fontId="21" fillId="0" borderId="0" xfId="0" applyFont="1" applyAlignment="1">
      <alignment horizontal="center" vertical="center" wrapText="1"/>
    </xf>
    <xf numFmtId="8" fontId="22" fillId="0" borderId="1" xfId="0" applyNumberFormat="1" applyFont="1" applyBorder="1" applyAlignment="1">
      <alignment horizontal="center" vertical="center"/>
    </xf>
    <xf numFmtId="8" fontId="19" fillId="0" borderId="1" xfId="0" applyNumberFormat="1" applyFont="1" applyBorder="1" applyAlignment="1">
      <alignment horizontal="center" vertical="center"/>
    </xf>
    <xf numFmtId="8" fontId="20" fillId="2" borderId="1" xfId="0" applyNumberFormat="1" applyFont="1" applyFill="1" applyBorder="1" applyAlignment="1">
      <alignment horizontal="center" vertical="center"/>
    </xf>
    <xf numFmtId="8" fontId="2" fillId="0" borderId="1" xfId="0" applyNumberFormat="1" applyFont="1" applyBorder="1" applyAlignment="1">
      <alignment horizontal="center"/>
    </xf>
    <xf numFmtId="8" fontId="11" fillId="0" borderId="1" xfId="0" applyNumberFormat="1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0" fillId="0" borderId="0" xfId="0" applyFont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8" fontId="30" fillId="0" borderId="1" xfId="0" applyNumberFormat="1" applyFont="1" applyBorder="1" applyAlignment="1">
      <alignment horizontal="center" vertical="center"/>
    </xf>
    <xf numFmtId="8" fontId="20" fillId="0" borderId="1" xfId="0" applyNumberFormat="1" applyFont="1" applyBorder="1" applyAlignment="1">
      <alignment horizontal="center" vertical="center"/>
    </xf>
    <xf numFmtId="8" fontId="30" fillId="0" borderId="1" xfId="0" applyNumberFormat="1" applyFont="1" applyBorder="1" applyAlignment="1">
      <alignment horizontal="center" vertical="center" wrapText="1"/>
    </xf>
    <xf numFmtId="8" fontId="30" fillId="0" borderId="3" xfId="0" applyNumberFormat="1" applyFont="1" applyBorder="1" applyAlignment="1">
      <alignment horizontal="center" vertical="center" wrapText="1"/>
    </xf>
    <xf numFmtId="0" fontId="20" fillId="2" borderId="5" xfId="0" applyFont="1" applyFill="1" applyBorder="1" applyAlignment="1">
      <alignment horizontal="center" vertical="center"/>
    </xf>
    <xf numFmtId="8" fontId="30" fillId="0" borderId="3" xfId="0" applyNumberFormat="1" applyFont="1" applyBorder="1" applyAlignment="1">
      <alignment horizontal="center" vertical="top" wrapText="1"/>
    </xf>
    <xf numFmtId="8" fontId="20" fillId="0" borderId="6" xfId="0" applyNumberFormat="1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8" fontId="20" fillId="0" borderId="8" xfId="0" applyNumberFormat="1" applyFont="1" applyBorder="1" applyAlignment="1">
      <alignment horizontal="center" vertical="center"/>
    </xf>
    <xf numFmtId="8" fontId="20" fillId="0" borderId="3" xfId="0" applyNumberFormat="1" applyFont="1" applyBorder="1" applyAlignment="1">
      <alignment horizontal="center" vertical="center"/>
    </xf>
    <xf numFmtId="8" fontId="31" fillId="0" borderId="3" xfId="0" applyNumberFormat="1" applyFont="1" applyBorder="1" applyAlignment="1">
      <alignment horizontal="center" vertical="top" wrapText="1"/>
    </xf>
    <xf numFmtId="8" fontId="30" fillId="0" borderId="1" xfId="0" applyNumberFormat="1" applyFont="1" applyBorder="1" applyAlignment="1">
      <alignment horizontal="center" vertical="top" wrapText="1"/>
    </xf>
    <xf numFmtId="0" fontId="22" fillId="0" borderId="1" xfId="0" applyFont="1" applyBorder="1" applyAlignment="1">
      <alignment horizontal="center" vertical="center" wrapText="1"/>
    </xf>
    <xf numFmtId="8" fontId="22" fillId="0" borderId="1" xfId="0" applyNumberFormat="1" applyFont="1" applyBorder="1" applyAlignment="1">
      <alignment horizontal="center" vertical="top" wrapText="1"/>
    </xf>
    <xf numFmtId="0" fontId="22" fillId="0" borderId="1" xfId="0" applyFont="1" applyBorder="1" applyAlignment="1">
      <alignment horizontal="center" vertical="center"/>
    </xf>
    <xf numFmtId="8" fontId="22" fillId="0" borderId="3" xfId="0" applyNumberFormat="1" applyFont="1" applyBorder="1" applyAlignment="1">
      <alignment horizontal="center" vertical="top" wrapText="1"/>
    </xf>
    <xf numFmtId="0" fontId="22" fillId="0" borderId="4" xfId="0" applyFont="1" applyBorder="1" applyAlignment="1">
      <alignment horizontal="center" vertical="center"/>
    </xf>
    <xf numFmtId="8" fontId="22" fillId="0" borderId="6" xfId="0" applyNumberFormat="1" applyFont="1" applyBorder="1" applyAlignment="1">
      <alignment horizontal="center" vertical="center"/>
    </xf>
    <xf numFmtId="8" fontId="20" fillId="2" borderId="3" xfId="0" applyNumberFormat="1" applyFont="1" applyFill="1" applyBorder="1" applyAlignment="1">
      <alignment horizontal="center" vertical="center"/>
    </xf>
    <xf numFmtId="8" fontId="22" fillId="0" borderId="3" xfId="0" applyNumberFormat="1" applyFont="1" applyBorder="1" applyAlignment="1">
      <alignment horizontal="center" vertical="center"/>
    </xf>
    <xf numFmtId="8" fontId="22" fillId="0" borderId="8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8" fontId="20" fillId="0" borderId="1" xfId="0" applyNumberFormat="1" applyFont="1" applyBorder="1" applyAlignment="1">
      <alignment horizontal="right" vertical="center" indent="1"/>
    </xf>
    <xf numFmtId="0" fontId="21" fillId="0" borderId="9" xfId="0" applyFont="1" applyBorder="1" applyAlignment="1">
      <alignment horizontal="center" vertical="center" wrapText="1"/>
    </xf>
    <xf numFmtId="0" fontId="32" fillId="0" borderId="0" xfId="1" applyFont="1" applyAlignment="1">
      <alignment horizontal="center"/>
    </xf>
    <xf numFmtId="0" fontId="33" fillId="0" borderId="0" xfId="1" applyFont="1" applyAlignment="1">
      <alignment horizontal="center"/>
    </xf>
    <xf numFmtId="0" fontId="12" fillId="0" borderId="1" xfId="0" applyFont="1" applyBorder="1" applyAlignment="1">
      <alignment horizontal="center"/>
    </xf>
    <xf numFmtId="8" fontId="18" fillId="0" borderId="1" xfId="0" applyNumberFormat="1" applyFont="1" applyBorder="1" applyAlignment="1">
      <alignment horizontal="center" vertical="top" wrapText="1"/>
    </xf>
    <xf numFmtId="8" fontId="20" fillId="2" borderId="1" xfId="0" applyNumberFormat="1" applyFont="1" applyFill="1" applyBorder="1" applyAlignment="1">
      <alignment horizontal="right" vertical="center" indent="1"/>
    </xf>
    <xf numFmtId="4" fontId="5" fillId="0" borderId="1" xfId="0" applyNumberFormat="1" applyFont="1" applyBorder="1" applyAlignment="1">
      <alignment horizontal="center"/>
    </xf>
    <xf numFmtId="0" fontId="34" fillId="0" borderId="1" xfId="0" applyFont="1" applyBorder="1" applyAlignment="1">
      <alignment horizontal="center" vertical="center" wrapText="1"/>
    </xf>
    <xf numFmtId="8" fontId="4" fillId="0" borderId="1" xfId="0" applyNumberFormat="1" applyFont="1" applyBorder="1" applyAlignment="1">
      <alignment horizontal="right" vertical="center" indent="1"/>
    </xf>
    <xf numFmtId="8" fontId="11" fillId="0" borderId="1" xfId="0" applyNumberFormat="1" applyFont="1" applyBorder="1" applyAlignment="1">
      <alignment horizontal="center" vertical="center"/>
    </xf>
    <xf numFmtId="8" fontId="4" fillId="0" borderId="1" xfId="0" applyNumberFormat="1" applyFont="1" applyBorder="1" applyAlignment="1">
      <alignment horizontal="center" vertical="center"/>
    </xf>
    <xf numFmtId="8" fontId="20" fillId="0" borderId="3" xfId="0" applyNumberFormat="1" applyFont="1" applyBorder="1" applyAlignment="1">
      <alignment horizontal="right" vertical="center" indent="1"/>
    </xf>
    <xf numFmtId="8" fontId="11" fillId="0" borderId="3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8" fontId="35" fillId="0" borderId="1" xfId="0" applyNumberFormat="1" applyFont="1" applyBorder="1" applyAlignment="1">
      <alignment horizontal="center" vertical="top" wrapText="1"/>
    </xf>
    <xf numFmtId="8" fontId="35" fillId="0" borderId="3" xfId="0" applyNumberFormat="1" applyFont="1" applyBorder="1" applyAlignment="1">
      <alignment horizontal="center" vertical="top" wrapText="1"/>
    </xf>
    <xf numFmtId="8" fontId="4" fillId="0" borderId="3" xfId="0" applyNumberFormat="1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4" fillId="0" borderId="1" xfId="0" applyFont="1" applyBorder="1"/>
    <xf numFmtId="4" fontId="34" fillId="0" borderId="1" xfId="0" applyNumberFormat="1" applyFont="1" applyBorder="1" applyAlignment="1">
      <alignment horizontal="center" vertical="top" wrapText="1"/>
    </xf>
    <xf numFmtId="4" fontId="3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top" wrapText="1"/>
    </xf>
    <xf numFmtId="8" fontId="19" fillId="2" borderId="10" xfId="0" applyNumberFormat="1" applyFont="1" applyFill="1" applyBorder="1" applyAlignment="1">
      <alignment horizontal="right" vertical="center" indent="1"/>
    </xf>
    <xf numFmtId="0" fontId="19" fillId="2" borderId="13" xfId="0" applyFont="1" applyFill="1" applyBorder="1" applyAlignment="1">
      <alignment horizontal="left" vertical="center" indent="1"/>
    </xf>
    <xf numFmtId="0" fontId="19" fillId="2" borderId="14" xfId="0" applyFont="1" applyFill="1" applyBorder="1" applyAlignment="1">
      <alignment horizontal="right" vertical="center" indent="1"/>
    </xf>
    <xf numFmtId="8" fontId="19" fillId="2" borderId="14" xfId="0" applyNumberFormat="1" applyFont="1" applyFill="1" applyBorder="1" applyAlignment="1">
      <alignment horizontal="right" vertical="center" indent="1"/>
    </xf>
    <xf numFmtId="8" fontId="19" fillId="4" borderId="16" xfId="0" applyNumberFormat="1" applyFont="1" applyFill="1" applyBorder="1" applyAlignment="1">
      <alignment horizontal="right" vertical="center" indent="1"/>
    </xf>
    <xf numFmtId="0" fontId="6" fillId="0" borderId="0" xfId="0" applyFont="1"/>
    <xf numFmtId="0" fontId="19" fillId="2" borderId="15" xfId="0" applyFont="1" applyFill="1" applyBorder="1" applyAlignment="1">
      <alignment horizontal="left" vertical="center" indent="1"/>
    </xf>
    <xf numFmtId="0" fontId="19" fillId="2" borderId="16" xfId="0" applyFont="1" applyFill="1" applyBorder="1" applyAlignment="1">
      <alignment horizontal="right" vertical="center" indent="1"/>
    </xf>
    <xf numFmtId="8" fontId="19" fillId="2" borderId="16" xfId="0" applyNumberFormat="1" applyFont="1" applyFill="1" applyBorder="1" applyAlignment="1">
      <alignment horizontal="right" vertical="center" indent="1"/>
    </xf>
    <xf numFmtId="0" fontId="19" fillId="4" borderId="11" xfId="0" applyFont="1" applyFill="1" applyBorder="1" applyAlignment="1">
      <alignment horizontal="left" vertical="center" indent="1"/>
    </xf>
    <xf numFmtId="0" fontId="19" fillId="4" borderId="17" xfId="0" applyFont="1" applyFill="1" applyBorder="1" applyAlignment="1">
      <alignment horizontal="right" vertical="center" indent="1"/>
    </xf>
    <xf numFmtId="8" fontId="19" fillId="4" borderId="17" xfId="0" applyNumberFormat="1" applyFont="1" applyFill="1" applyBorder="1" applyAlignment="1">
      <alignment horizontal="right" vertical="center" indent="1"/>
    </xf>
    <xf numFmtId="8" fontId="19" fillId="4" borderId="12" xfId="0" applyNumberFormat="1" applyFont="1" applyFill="1" applyBorder="1" applyAlignment="1">
      <alignment horizontal="right" vertical="center" indent="1"/>
    </xf>
    <xf numFmtId="0" fontId="19" fillId="4" borderId="11" xfId="0" applyFont="1" applyFill="1" applyBorder="1" applyAlignment="1">
      <alignment horizontal="right" vertical="center" indent="1"/>
    </xf>
    <xf numFmtId="0" fontId="19" fillId="2" borderId="11" xfId="0" applyFont="1" applyFill="1" applyBorder="1" applyAlignment="1">
      <alignment horizontal="right" vertical="center" indent="1"/>
    </xf>
    <xf numFmtId="8" fontId="19" fillId="2" borderId="12" xfId="0" applyNumberFormat="1" applyFont="1" applyFill="1" applyBorder="1" applyAlignment="1">
      <alignment horizontal="right" vertical="center" indent="1"/>
    </xf>
    <xf numFmtId="0" fontId="19" fillId="2" borderId="14" xfId="0" applyFont="1" applyFill="1" applyBorder="1" applyAlignment="1">
      <alignment horizontal="left" vertical="center" indent="1"/>
    </xf>
    <xf numFmtId="0" fontId="19" fillId="2" borderId="16" xfId="0" applyFont="1" applyFill="1" applyBorder="1" applyAlignment="1">
      <alignment horizontal="left" vertical="center" indent="1"/>
    </xf>
    <xf numFmtId="0" fontId="19" fillId="4" borderId="17" xfId="0" applyFont="1" applyFill="1" applyBorder="1" applyAlignment="1">
      <alignment horizontal="left" vertical="center" indent="1"/>
    </xf>
    <xf numFmtId="8" fontId="19" fillId="0" borderId="0" xfId="0" applyNumberFormat="1" applyFont="1"/>
    <xf numFmtId="8" fontId="4" fillId="0" borderId="1" xfId="0" applyNumberFormat="1" applyFont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8" fontId="4" fillId="0" borderId="1" xfId="0" applyNumberFormat="1" applyFont="1" applyBorder="1" applyAlignment="1">
      <alignment horizontal="center" vertical="center" wrapText="1"/>
    </xf>
    <xf numFmtId="8" fontId="36" fillId="0" borderId="1" xfId="0" applyNumberFormat="1" applyFont="1" applyBorder="1" applyAlignment="1">
      <alignment horizontal="center" vertical="center" wrapText="1"/>
    </xf>
    <xf numFmtId="8" fontId="4" fillId="0" borderId="0" xfId="0" applyNumberFormat="1" applyFont="1" applyAlignment="1">
      <alignment horizontal="center" vertical="center"/>
    </xf>
    <xf numFmtId="8" fontId="36" fillId="0" borderId="1" xfId="0" applyNumberFormat="1" applyFont="1" applyBorder="1" applyAlignment="1">
      <alignment horizontal="center"/>
    </xf>
    <xf numFmtId="0" fontId="28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/>
    </xf>
    <xf numFmtId="8" fontId="2" fillId="0" borderId="1" xfId="0" applyNumberFormat="1" applyFont="1" applyBorder="1" applyAlignment="1">
      <alignment horizontal="center" vertical="center" wrapText="1"/>
    </xf>
    <xf numFmtId="8" fontId="2" fillId="0" borderId="1" xfId="0" applyNumberFormat="1" applyFont="1" applyBorder="1" applyAlignment="1">
      <alignment horizontal="center" vertical="center"/>
    </xf>
    <xf numFmtId="0" fontId="19" fillId="0" borderId="14" xfId="0" applyFont="1" applyBorder="1" applyAlignment="1">
      <alignment horizontal="left" vertical="center" indent="1"/>
    </xf>
    <xf numFmtId="0" fontId="19" fillId="0" borderId="11" xfId="0" applyFont="1" applyBorder="1" applyAlignment="1">
      <alignment horizontal="right" vertical="center" indent="1"/>
    </xf>
    <xf numFmtId="8" fontId="19" fillId="0" borderId="12" xfId="0" applyNumberFormat="1" applyFont="1" applyBorder="1" applyAlignment="1">
      <alignment horizontal="right" vertical="center" indent="1"/>
    </xf>
    <xf numFmtId="0" fontId="19" fillId="0" borderId="16" xfId="0" applyFont="1" applyBorder="1" applyAlignment="1">
      <alignment horizontal="left" vertical="center" indent="1"/>
    </xf>
    <xf numFmtId="0" fontId="19" fillId="0" borderId="20" xfId="0" applyFont="1" applyBorder="1" applyAlignment="1">
      <alignment horizontal="left" vertical="center" indent="1"/>
    </xf>
    <xf numFmtId="0" fontId="19" fillId="0" borderId="18" xfId="0" applyFont="1" applyBorder="1" applyAlignment="1">
      <alignment horizontal="right" vertical="center" indent="1"/>
    </xf>
    <xf numFmtId="8" fontId="19" fillId="0" borderId="19" xfId="0" applyNumberFormat="1" applyFont="1" applyBorder="1" applyAlignment="1">
      <alignment horizontal="right" vertical="center" indent="1"/>
    </xf>
    <xf numFmtId="8" fontId="11" fillId="0" borderId="0" xfId="0" applyNumberFormat="1" applyFont="1" applyAlignment="1">
      <alignment horizontal="center" vertical="center"/>
    </xf>
    <xf numFmtId="8" fontId="38" fillId="0" borderId="1" xfId="0" applyNumberFormat="1" applyFont="1" applyBorder="1" applyAlignment="1">
      <alignment horizontal="center" vertical="center" wrapText="1"/>
    </xf>
    <xf numFmtId="0" fontId="38" fillId="0" borderId="1" xfId="0" applyFont="1" applyBorder="1" applyAlignment="1">
      <alignment horizontal="center"/>
    </xf>
    <xf numFmtId="8" fontId="38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9" fillId="0" borderId="13" xfId="0" applyFont="1" applyBorder="1" applyAlignment="1">
      <alignment horizontal="left" vertical="center" indent="1"/>
    </xf>
    <xf numFmtId="8" fontId="19" fillId="0" borderId="0" xfId="0" applyNumberFormat="1" applyFont="1" applyAlignment="1">
      <alignment horizontal="right" vertical="center" indent="1"/>
    </xf>
    <xf numFmtId="0" fontId="19" fillId="0" borderId="15" xfId="0" applyFont="1" applyBorder="1" applyAlignment="1">
      <alignment horizontal="left" vertical="center" indent="1"/>
    </xf>
    <xf numFmtId="0" fontId="19" fillId="0" borderId="11" xfId="0" applyFont="1" applyBorder="1" applyAlignment="1">
      <alignment horizontal="left" vertical="center" indent="1"/>
    </xf>
    <xf numFmtId="0" fontId="4" fillId="0" borderId="0" xfId="0" applyFont="1" applyAlignment="1">
      <alignment horizontal="center"/>
    </xf>
    <xf numFmtId="8" fontId="4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/>
    </xf>
    <xf numFmtId="0" fontId="37" fillId="0" borderId="1" xfId="0" applyFont="1" applyBorder="1" applyAlignment="1">
      <alignment horizontal="center" vertical="center" wrapText="1"/>
    </xf>
    <xf numFmtId="8" fontId="4" fillId="0" borderId="3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8" fontId="4" fillId="0" borderId="3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164" fontId="0" fillId="0" borderId="0" xfId="0" applyNumberFormat="1"/>
    <xf numFmtId="164" fontId="4" fillId="0" borderId="3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 indent="1"/>
    </xf>
    <xf numFmtId="8" fontId="36" fillId="0" borderId="1" xfId="0" applyNumberFormat="1" applyFont="1" applyBorder="1"/>
    <xf numFmtId="164" fontId="3" fillId="0" borderId="1" xfId="0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6" xfId="0" applyFont="1" applyBorder="1" applyAlignment="1">
      <alignment horizontal="center"/>
    </xf>
    <xf numFmtId="0" fontId="4" fillId="0" borderId="6" xfId="0" applyFont="1" applyBorder="1"/>
    <xf numFmtId="164" fontId="4" fillId="0" borderId="1" xfId="0" applyNumberFormat="1" applyFont="1" applyBorder="1" applyAlignment="1">
      <alignment horizontal="center" vertical="center"/>
    </xf>
    <xf numFmtId="164" fontId="36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right" vertical="center" indent="1"/>
    </xf>
    <xf numFmtId="164" fontId="11" fillId="0" borderId="1" xfId="0" applyNumberFormat="1" applyFont="1" applyBorder="1" applyAlignment="1">
      <alignment horizontal="center"/>
    </xf>
    <xf numFmtId="164" fontId="11" fillId="0" borderId="1" xfId="0" applyNumberFormat="1" applyFont="1" applyBorder="1" applyAlignment="1">
      <alignment horizontal="center" vertical="center"/>
    </xf>
    <xf numFmtId="164" fontId="36" fillId="0" borderId="1" xfId="0" applyNumberFormat="1" applyFont="1" applyBorder="1" applyAlignment="1">
      <alignment horizontal="center"/>
    </xf>
    <xf numFmtId="0" fontId="28" fillId="0" borderId="6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34" fillId="0" borderId="1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8" fontId="14" fillId="0" borderId="1" xfId="0" applyNumberFormat="1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164" fontId="4" fillId="0" borderId="0" xfId="0" applyNumberFormat="1" applyFont="1" applyAlignment="1">
      <alignment horizontal="center"/>
    </xf>
    <xf numFmtId="164" fontId="36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164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wrapText="1"/>
    </xf>
    <xf numFmtId="8" fontId="2" fillId="0" borderId="1" xfId="0" applyNumberFormat="1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164" fontId="0" fillId="0" borderId="0" xfId="0" applyNumberFormat="1" applyAlignment="1">
      <alignment horizontal="center" wrapText="1"/>
    </xf>
    <xf numFmtId="8" fontId="2" fillId="0" borderId="3" xfId="0" applyNumberFormat="1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8" fontId="2" fillId="3" borderId="1" xfId="0" applyNumberFormat="1" applyFont="1" applyFill="1" applyBorder="1" applyAlignment="1">
      <alignment horizontal="center" wrapText="1"/>
    </xf>
    <xf numFmtId="164" fontId="19" fillId="2" borderId="14" xfId="0" applyNumberFormat="1" applyFont="1" applyFill="1" applyBorder="1" applyAlignment="1">
      <alignment horizontal="center"/>
    </xf>
    <xf numFmtId="0" fontId="19" fillId="4" borderId="11" xfId="0" applyFont="1" applyFill="1" applyBorder="1" applyAlignment="1">
      <alignment horizontal="center"/>
    </xf>
    <xf numFmtId="8" fontId="19" fillId="4" borderId="12" xfId="0" applyNumberFormat="1" applyFont="1" applyFill="1" applyBorder="1" applyAlignment="1">
      <alignment horizontal="center"/>
    </xf>
    <xf numFmtId="164" fontId="19" fillId="2" borderId="0" xfId="0" applyNumberFormat="1" applyFont="1" applyFill="1" applyAlignment="1">
      <alignment horizontal="center"/>
    </xf>
    <xf numFmtId="0" fontId="19" fillId="4" borderId="18" xfId="0" applyFont="1" applyFill="1" applyBorder="1" applyAlignment="1">
      <alignment horizontal="center"/>
    </xf>
    <xf numFmtId="8" fontId="19" fillId="4" borderId="19" xfId="0" applyNumberFormat="1" applyFont="1" applyFill="1" applyBorder="1" applyAlignment="1">
      <alignment horizontal="center"/>
    </xf>
    <xf numFmtId="164" fontId="4" fillId="4" borderId="3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8" fontId="4" fillId="2" borderId="3" xfId="0" applyNumberFormat="1" applyFont="1" applyFill="1" applyBorder="1" applyAlignment="1">
      <alignment horizontal="center"/>
    </xf>
    <xf numFmtId="8" fontId="36" fillId="0" borderId="1" xfId="0" applyNumberFormat="1" applyFont="1" applyBorder="1" applyAlignment="1">
      <alignment horizontal="center" wrapText="1"/>
    </xf>
    <xf numFmtId="8" fontId="4" fillId="0" borderId="1" xfId="0" applyNumberFormat="1" applyFont="1" applyBorder="1" applyAlignment="1">
      <alignment horizontal="center" wrapText="1"/>
    </xf>
    <xf numFmtId="8" fontId="36" fillId="0" borderId="1" xfId="0" applyNumberFormat="1" applyFont="1" applyBorder="1" applyAlignment="1">
      <alignment horizontal="center" vertical="center"/>
    </xf>
    <xf numFmtId="8" fontId="36" fillId="5" borderId="1" xfId="0" applyNumberFormat="1" applyFont="1" applyFill="1" applyBorder="1" applyAlignment="1">
      <alignment horizontal="center" vertical="center" wrapText="1"/>
    </xf>
    <xf numFmtId="164" fontId="4" fillId="0" borderId="6" xfId="0" applyNumberFormat="1" applyFont="1" applyBorder="1" applyAlignment="1">
      <alignment horizontal="center"/>
    </xf>
    <xf numFmtId="164" fontId="14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wrapText="1"/>
    </xf>
    <xf numFmtId="8" fontId="2" fillId="0" borderId="0" xfId="0" applyNumberFormat="1" applyFont="1" applyAlignment="1">
      <alignment horizontal="center" wrapText="1"/>
    </xf>
    <xf numFmtId="8" fontId="2" fillId="3" borderId="0" xfId="0" applyNumberFormat="1" applyFont="1" applyFill="1" applyAlignment="1">
      <alignment horizontal="center" wrapText="1"/>
    </xf>
    <xf numFmtId="8" fontId="3" fillId="0" borderId="1" xfId="0" applyNumberFormat="1" applyFont="1" applyBorder="1" applyAlignment="1">
      <alignment horizontal="center" wrapText="1"/>
    </xf>
    <xf numFmtId="4" fontId="5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horizontal="center" vertical="center"/>
    </xf>
    <xf numFmtId="4" fontId="5" fillId="0" borderId="0" xfId="0" applyNumberFormat="1" applyFont="1" applyAlignment="1">
      <alignment horizontal="center" vertical="center" wrapText="1"/>
    </xf>
    <xf numFmtId="4" fontId="5" fillId="0" borderId="0" xfId="0" applyNumberFormat="1" applyFont="1" applyAlignment="1">
      <alignment horizontal="center" vertical="top" wrapText="1"/>
    </xf>
    <xf numFmtId="4" fontId="2" fillId="0" borderId="0" xfId="0" applyNumberFormat="1" applyFont="1" applyAlignment="1">
      <alignment horizontal="center" vertical="top" wrapText="1"/>
    </xf>
    <xf numFmtId="8" fontId="4" fillId="0" borderId="0" xfId="0" applyNumberFormat="1" applyFont="1" applyAlignment="1">
      <alignment horizontal="center" vertical="center" wrapText="1"/>
    </xf>
    <xf numFmtId="8" fontId="3" fillId="0" borderId="1" xfId="0" applyNumberFormat="1" applyFont="1" applyBorder="1" applyAlignment="1">
      <alignment horizontal="center"/>
    </xf>
    <xf numFmtId="4" fontId="13" fillId="0" borderId="0" xfId="0" applyNumberFormat="1" applyFont="1" applyAlignment="1">
      <alignment horizontal="center" vertical="center" wrapText="1"/>
    </xf>
    <xf numFmtId="4" fontId="34" fillId="0" borderId="0" xfId="0" applyNumberFormat="1" applyFont="1" applyAlignment="1">
      <alignment horizontal="center" vertical="top" wrapText="1"/>
    </xf>
    <xf numFmtId="4" fontId="34" fillId="0" borderId="0" xfId="0" applyNumberFormat="1" applyFont="1" applyAlignment="1">
      <alignment horizontal="center"/>
    </xf>
    <xf numFmtId="4" fontId="15" fillId="0" borderId="0" xfId="0" applyNumberFormat="1" applyFont="1" applyAlignment="1">
      <alignment horizontal="center"/>
    </xf>
    <xf numFmtId="8" fontId="16" fillId="0" borderId="0" xfId="0" applyNumberFormat="1" applyFont="1" applyAlignment="1">
      <alignment horizontal="center"/>
    </xf>
    <xf numFmtId="8" fontId="16" fillId="0" borderId="0" xfId="0" applyNumberFormat="1" applyFont="1" applyAlignment="1">
      <alignment horizontal="center" vertical="top" wrapText="1"/>
    </xf>
    <xf numFmtId="8" fontId="17" fillId="0" borderId="0" xfId="0" applyNumberFormat="1" applyFont="1" applyAlignment="1">
      <alignment horizontal="center"/>
    </xf>
    <xf numFmtId="8" fontId="16" fillId="0" borderId="0" xfId="0" applyNumberFormat="1" applyFont="1" applyAlignment="1">
      <alignment horizontal="center" vertical="center" wrapText="1"/>
    </xf>
    <xf numFmtId="8" fontId="2" fillId="0" borderId="0" xfId="0" applyNumberFormat="1" applyFont="1" applyAlignment="1">
      <alignment horizontal="center" vertical="top" wrapText="1"/>
    </xf>
    <xf numFmtId="8" fontId="7" fillId="0" borderId="0" xfId="0" applyNumberFormat="1" applyFont="1" applyAlignment="1">
      <alignment horizontal="center" vertical="top" wrapText="1"/>
    </xf>
    <xf numFmtId="8" fontId="7" fillId="2" borderId="0" xfId="0" applyNumberFormat="1" applyFont="1" applyFill="1" applyAlignment="1">
      <alignment horizontal="center" vertical="top" wrapText="1"/>
    </xf>
    <xf numFmtId="8" fontId="18" fillId="0" borderId="0" xfId="0" applyNumberFormat="1" applyFont="1" applyAlignment="1">
      <alignment horizontal="center" vertical="top" wrapText="1"/>
    </xf>
    <xf numFmtId="8" fontId="35" fillId="0" borderId="0" xfId="0" applyNumberFormat="1" applyFont="1" applyAlignment="1">
      <alignment horizontal="center" vertical="top" wrapText="1"/>
    </xf>
    <xf numFmtId="8" fontId="3" fillId="0" borderId="1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8" fontId="20" fillId="0" borderId="0" xfId="0" applyNumberFormat="1" applyFont="1" applyAlignment="1">
      <alignment horizontal="center" vertical="center"/>
    </xf>
    <xf numFmtId="8" fontId="22" fillId="0" borderId="0" xfId="0" applyNumberFormat="1" applyFont="1" applyAlignment="1">
      <alignment horizontal="center" vertical="center"/>
    </xf>
    <xf numFmtId="8" fontId="11" fillId="0" borderId="6" xfId="0" applyNumberFormat="1" applyFont="1" applyBorder="1" applyAlignment="1">
      <alignment horizontal="center" vertical="center"/>
    </xf>
    <xf numFmtId="8" fontId="39" fillId="0" borderId="1" xfId="0" applyNumberFormat="1" applyFont="1" applyBorder="1" applyAlignment="1">
      <alignment horizontal="center"/>
    </xf>
    <xf numFmtId="8" fontId="4" fillId="0" borderId="6" xfId="0" applyNumberFormat="1" applyFont="1" applyBorder="1" applyAlignment="1">
      <alignment horizontal="center" vertical="center" wrapText="1"/>
    </xf>
    <xf numFmtId="164" fontId="24" fillId="0" borderId="1" xfId="0" applyNumberFormat="1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164" fontId="26" fillId="0" borderId="1" xfId="0" applyNumberFormat="1" applyFont="1" applyBorder="1" applyAlignment="1">
      <alignment horizontal="center" vertical="center" wrapText="1"/>
    </xf>
    <xf numFmtId="164" fontId="26" fillId="0" borderId="0" xfId="0" applyNumberFormat="1" applyFont="1" applyAlignment="1">
      <alignment horizontal="center" vertical="center" wrapText="1"/>
    </xf>
    <xf numFmtId="164" fontId="0" fillId="0" borderId="1" xfId="0" applyNumberFormat="1" applyBorder="1"/>
    <xf numFmtId="164" fontId="0" fillId="0" borderId="1" xfId="0" applyNumberFormat="1" applyBorder="1" applyAlignment="1">
      <alignment horizontal="center"/>
    </xf>
    <xf numFmtId="164" fontId="23" fillId="0" borderId="1" xfId="0" applyNumberFormat="1" applyFont="1" applyBorder="1" applyAlignment="1">
      <alignment horizontal="center" vertical="center" wrapText="1"/>
    </xf>
    <xf numFmtId="164" fontId="23" fillId="0" borderId="0" xfId="0" applyNumberFormat="1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right" vertical="top" wrapText="1"/>
    </xf>
    <xf numFmtId="164" fontId="23" fillId="0" borderId="1" xfId="0" applyNumberFormat="1" applyFont="1" applyBorder="1" applyAlignment="1">
      <alignment horizontal="center" vertical="top" wrapText="1"/>
    </xf>
    <xf numFmtId="164" fontId="23" fillId="0" borderId="0" xfId="0" applyNumberFormat="1" applyFont="1" applyAlignment="1">
      <alignment horizontal="center" vertical="top" wrapText="1"/>
    </xf>
    <xf numFmtId="164" fontId="23" fillId="0" borderId="3" xfId="0" applyNumberFormat="1" applyFont="1" applyBorder="1" applyAlignment="1">
      <alignment horizontal="center" vertical="center" wrapText="1"/>
    </xf>
    <xf numFmtId="164" fontId="25" fillId="0" borderId="1" xfId="0" applyNumberFormat="1" applyFon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23" fillId="0" borderId="3" xfId="0" applyNumberFormat="1" applyFont="1" applyBorder="1" applyAlignment="1">
      <alignment horizontal="center" vertical="top" wrapText="1"/>
    </xf>
    <xf numFmtId="164" fontId="23" fillId="0" borderId="1" xfId="0" applyNumberFormat="1" applyFont="1" applyBorder="1" applyAlignment="1">
      <alignment horizontal="right" vertical="top" wrapText="1"/>
    </xf>
    <xf numFmtId="164" fontId="23" fillId="0" borderId="0" xfId="0" applyNumberFormat="1" applyFont="1" applyAlignment="1">
      <alignment horizontal="right" vertical="top" wrapText="1"/>
    </xf>
    <xf numFmtId="164" fontId="19" fillId="0" borderId="3" xfId="0" applyNumberFormat="1" applyFont="1" applyBorder="1" applyAlignment="1">
      <alignment horizontal="center" vertical="center"/>
    </xf>
    <xf numFmtId="164" fontId="19" fillId="0" borderId="0" xfId="0" applyNumberFormat="1" applyFont="1" applyAlignment="1">
      <alignment horizontal="center" vertical="center"/>
    </xf>
    <xf numFmtId="164" fontId="0" fillId="0" borderId="4" xfId="0" applyNumberFormat="1" applyBorder="1"/>
    <xf numFmtId="164" fontId="19" fillId="0" borderId="1" xfId="0" applyNumberFormat="1" applyFont="1" applyBorder="1" applyAlignment="1">
      <alignment horizontal="center" vertical="center"/>
    </xf>
    <xf numFmtId="164" fontId="0" fillId="0" borderId="7" xfId="0" applyNumberFormat="1" applyBorder="1"/>
    <xf numFmtId="164" fontId="27" fillId="0" borderId="3" xfId="0" applyNumberFormat="1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19" fillId="2" borderId="13" xfId="0" applyNumberFormat="1" applyFont="1" applyFill="1" applyBorder="1" applyAlignment="1">
      <alignment horizontal="left" vertical="center" indent="1"/>
    </xf>
    <xf numFmtId="164" fontId="19" fillId="4" borderId="11" xfId="0" applyNumberFormat="1" applyFont="1" applyFill="1" applyBorder="1" applyAlignment="1">
      <alignment horizontal="right" vertical="center" indent="1"/>
    </xf>
    <xf numFmtId="164" fontId="19" fillId="2" borderId="15" xfId="0" applyNumberFormat="1" applyFont="1" applyFill="1" applyBorder="1" applyAlignment="1">
      <alignment horizontal="left" vertical="center" indent="1"/>
    </xf>
    <xf numFmtId="164" fontId="19" fillId="4" borderId="18" xfId="0" applyNumberFormat="1" applyFont="1" applyFill="1" applyBorder="1" applyAlignment="1">
      <alignment horizontal="left" vertical="center" indent="1"/>
    </xf>
    <xf numFmtId="164" fontId="19" fillId="4" borderId="18" xfId="0" applyNumberFormat="1" applyFont="1" applyFill="1" applyBorder="1" applyAlignment="1">
      <alignment horizontal="right" vertical="center" indent="1"/>
    </xf>
    <xf numFmtId="164" fontId="19" fillId="0" borderId="0" xfId="0" applyNumberFormat="1" applyFont="1"/>
    <xf numFmtId="8" fontId="40" fillId="0" borderId="1" xfId="0" applyNumberFormat="1" applyFont="1" applyBorder="1" applyAlignment="1">
      <alignment horizontal="center" vertical="center" wrapText="1"/>
    </xf>
    <xf numFmtId="8" fontId="40" fillId="0" borderId="1" xfId="0" applyNumberFormat="1" applyFont="1" applyBorder="1" applyAlignment="1">
      <alignment horizontal="center"/>
    </xf>
    <xf numFmtId="164" fontId="11" fillId="0" borderId="6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8" fontId="41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8" fontId="42" fillId="0" borderId="1" xfId="0" applyNumberFormat="1" applyFont="1" applyBorder="1" applyAlignment="1">
      <alignment horizontal="center" vertical="center" wrapText="1"/>
    </xf>
    <xf numFmtId="8" fontId="42" fillId="0" borderId="1" xfId="0" applyNumberFormat="1" applyFont="1" applyBorder="1" applyAlignment="1">
      <alignment horizontal="center"/>
    </xf>
    <xf numFmtId="8" fontId="43" fillId="0" borderId="1" xfId="0" applyNumberFormat="1" applyFont="1" applyBorder="1" applyAlignment="1">
      <alignment horizontal="center" vertical="center" wrapText="1"/>
    </xf>
    <xf numFmtId="8" fontId="43" fillId="0" borderId="1" xfId="0" applyNumberFormat="1" applyFont="1" applyBorder="1" applyAlignment="1">
      <alignment horizontal="center"/>
    </xf>
    <xf numFmtId="8" fontId="44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8" fontId="45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/>
    </xf>
    <xf numFmtId="8" fontId="47" fillId="0" borderId="1" xfId="0" applyNumberFormat="1" applyFont="1" applyBorder="1" applyAlignment="1">
      <alignment horizontal="center"/>
    </xf>
    <xf numFmtId="8" fontId="46" fillId="0" borderId="1" xfId="0" applyNumberFormat="1" applyFont="1" applyBorder="1" applyAlignment="1">
      <alignment horizontal="center"/>
    </xf>
    <xf numFmtId="8" fontId="48" fillId="0" borderId="1" xfId="0" applyNumberFormat="1" applyFont="1" applyBorder="1" applyAlignment="1">
      <alignment horizontal="center"/>
    </xf>
    <xf numFmtId="2" fontId="11" fillId="0" borderId="1" xfId="0" applyNumberFormat="1" applyFont="1" applyBorder="1" applyAlignment="1">
      <alignment horizontal="center" vertical="center"/>
    </xf>
    <xf numFmtId="8" fontId="11" fillId="0" borderId="1" xfId="0" applyNumberFormat="1" applyFont="1" applyBorder="1" applyAlignment="1">
      <alignment horizontal="center"/>
    </xf>
    <xf numFmtId="8" fontId="11" fillId="0" borderId="1" xfId="0" applyNumberFormat="1" applyFont="1" applyBorder="1" applyAlignment="1">
      <alignment horizontal="center" vertical="center" wrapText="1"/>
    </xf>
    <xf numFmtId="8" fontId="49" fillId="0" borderId="1" xfId="0" applyNumberFormat="1" applyFont="1" applyBorder="1" applyAlignment="1">
      <alignment horizontal="center"/>
    </xf>
    <xf numFmtId="4" fontId="4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wrapText="1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8" fontId="4" fillId="0" borderId="21" xfId="0" applyNumberFormat="1" applyFont="1" applyBorder="1" applyAlignment="1">
      <alignment horizontal="center" vertical="center"/>
    </xf>
    <xf numFmtId="164" fontId="20" fillId="4" borderId="1" xfId="0" applyNumberFormat="1" applyFont="1" applyFill="1" applyBorder="1" applyAlignment="1">
      <alignment horizontal="center" vertical="center"/>
    </xf>
    <xf numFmtId="2" fontId="20" fillId="4" borderId="1" xfId="0" applyNumberFormat="1" applyFont="1" applyFill="1" applyBorder="1" applyAlignment="1">
      <alignment horizontal="center" vertical="center"/>
    </xf>
    <xf numFmtId="8" fontId="50" fillId="0" borderId="1" xfId="0" applyNumberFormat="1" applyFont="1" applyBorder="1" applyAlignment="1">
      <alignment horizontal="center" vertical="center"/>
    </xf>
    <xf numFmtId="164" fontId="20" fillId="4" borderId="1" xfId="0" applyNumberFormat="1" applyFont="1" applyFill="1" applyBorder="1" applyAlignment="1">
      <alignment vertical="center"/>
    </xf>
    <xf numFmtId="2" fontId="20" fillId="4" borderId="1" xfId="0" applyNumberFormat="1" applyFont="1" applyFill="1" applyBorder="1" applyAlignment="1">
      <alignment vertical="center"/>
    </xf>
    <xf numFmtId="2" fontId="20" fillId="4" borderId="1" xfId="0" applyNumberFormat="1" applyFont="1" applyFill="1" applyBorder="1" applyAlignment="1">
      <alignment horizontal="right" vertical="center" indent="1"/>
    </xf>
    <xf numFmtId="164" fontId="20" fillId="4" borderId="1" xfId="0" applyNumberFormat="1" applyFont="1" applyFill="1" applyBorder="1" applyAlignment="1">
      <alignment horizontal="right" vertical="center" indent="1"/>
    </xf>
    <xf numFmtId="0" fontId="4" fillId="0" borderId="9" xfId="0" applyFont="1" applyBorder="1" applyAlignment="1">
      <alignment horizontal="center" vertical="center" wrapText="1"/>
    </xf>
    <xf numFmtId="0" fontId="0" fillId="0" borderId="6" xfId="0" applyBorder="1"/>
    <xf numFmtId="0" fontId="0" fillId="0" borderId="22" xfId="0" applyBorder="1"/>
    <xf numFmtId="164" fontId="47" fillId="0" borderId="1" xfId="0" applyNumberFormat="1" applyFont="1" applyBorder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8" fontId="47" fillId="0" borderId="1" xfId="0" applyNumberFormat="1" applyFont="1" applyBorder="1" applyAlignment="1">
      <alignment horizontal="center" vertical="center"/>
    </xf>
    <xf numFmtId="164" fontId="47" fillId="0" borderId="1" xfId="0" applyNumberFormat="1" applyFont="1" applyBorder="1" applyAlignment="1">
      <alignment horizontal="center"/>
    </xf>
    <xf numFmtId="0" fontId="47" fillId="0" borderId="1" xfId="0" applyFont="1" applyBorder="1" applyAlignment="1">
      <alignment horizontal="center"/>
    </xf>
    <xf numFmtId="8" fontId="47" fillId="0" borderId="1" xfId="0" applyNumberFormat="1" applyFont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 wrapText="1"/>
    </xf>
    <xf numFmtId="8" fontId="0" fillId="6" borderId="21" xfId="0" applyNumberFormat="1" applyFill="1" applyBorder="1" applyAlignment="1">
      <alignment vertical="center"/>
    </xf>
    <xf numFmtId="8" fontId="0" fillId="7" borderId="21" xfId="0" applyNumberFormat="1" applyFill="1" applyBorder="1" applyAlignment="1">
      <alignment vertical="center"/>
    </xf>
    <xf numFmtId="8" fontId="36" fillId="0" borderId="23" xfId="0" applyNumberFormat="1" applyFont="1" applyBorder="1" applyAlignment="1">
      <alignment horizontal="center"/>
    </xf>
    <xf numFmtId="0" fontId="0" fillId="7" borderId="21" xfId="0" applyFill="1" applyBorder="1" applyAlignment="1">
      <alignment vertical="center"/>
    </xf>
    <xf numFmtId="0" fontId="0" fillId="6" borderId="21" xfId="0" applyFill="1" applyBorder="1" applyAlignment="1">
      <alignment vertical="center"/>
    </xf>
    <xf numFmtId="8" fontId="4" fillId="0" borderId="9" xfId="0" applyNumberFormat="1" applyFont="1" applyBorder="1" applyAlignment="1">
      <alignment horizontal="center" vertical="center"/>
    </xf>
    <xf numFmtId="164" fontId="4" fillId="0" borderId="9" xfId="0" applyNumberFormat="1" applyFont="1" applyBorder="1" applyAlignment="1">
      <alignment horizontal="center"/>
    </xf>
    <xf numFmtId="8" fontId="36" fillId="0" borderId="9" xfId="0" applyNumberFormat="1" applyFont="1" applyBorder="1" applyAlignment="1">
      <alignment horizontal="center"/>
    </xf>
    <xf numFmtId="0" fontId="47" fillId="0" borderId="1" xfId="0" applyFont="1" applyBorder="1"/>
    <xf numFmtId="8" fontId="49" fillId="0" borderId="23" xfId="0" applyNumberFormat="1" applyFont="1" applyBorder="1" applyAlignment="1">
      <alignment horizontal="center"/>
    </xf>
    <xf numFmtId="8" fontId="47" fillId="0" borderId="0" xfId="0" applyNumberFormat="1" applyFont="1" applyAlignment="1">
      <alignment horizontal="center" vertical="center"/>
    </xf>
    <xf numFmtId="164" fontId="11" fillId="0" borderId="1" xfId="0" applyNumberFormat="1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8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/>
    <xf numFmtId="164" fontId="47" fillId="0" borderId="1" xfId="0" applyNumberFormat="1" applyFont="1" applyBorder="1" applyAlignment="1">
      <alignment vertical="center"/>
    </xf>
    <xf numFmtId="164" fontId="47" fillId="0" borderId="1" xfId="0" applyNumberFormat="1" applyFont="1" applyBorder="1"/>
    <xf numFmtId="8" fontId="47" fillId="0" borderId="1" xfId="0" applyNumberFormat="1" applyFont="1" applyBorder="1" applyAlignment="1">
      <alignment vertical="center"/>
    </xf>
    <xf numFmtId="0" fontId="47" fillId="0" borderId="1" xfId="0" applyFont="1" applyBorder="1" applyAlignment="1">
      <alignment vertical="center" wrapText="1"/>
    </xf>
    <xf numFmtId="164" fontId="4" fillId="0" borderId="1" xfId="0" applyNumberFormat="1" applyFont="1" applyBorder="1" applyAlignment="1">
      <alignment vertical="center"/>
    </xf>
    <xf numFmtId="164" fontId="4" fillId="0" borderId="22" xfId="0" applyNumberFormat="1" applyFont="1" applyBorder="1" applyAlignment="1">
      <alignment vertical="center"/>
    </xf>
    <xf numFmtId="164" fontId="4" fillId="0" borderId="6" xfId="0" applyNumberFormat="1" applyFont="1" applyBorder="1" applyAlignment="1">
      <alignment vertical="center"/>
    </xf>
    <xf numFmtId="8" fontId="0" fillId="7" borderId="0" xfId="0" applyNumberFormat="1" applyFill="1" applyAlignment="1">
      <alignment vertical="center"/>
    </xf>
    <xf numFmtId="164" fontId="4" fillId="0" borderId="1" xfId="0" applyNumberFormat="1" applyFont="1" applyBorder="1"/>
    <xf numFmtId="164" fontId="4" fillId="0" borderId="22" xfId="0" applyNumberFormat="1" applyFont="1" applyBorder="1"/>
    <xf numFmtId="8" fontId="0" fillId="6" borderId="0" xfId="0" applyNumberFormat="1" applyFill="1" applyAlignment="1">
      <alignment vertical="center"/>
    </xf>
    <xf numFmtId="164" fontId="20" fillId="4" borderId="0" xfId="0" applyNumberFormat="1" applyFont="1" applyFill="1" applyAlignment="1">
      <alignment horizontal="center" vertical="center"/>
    </xf>
    <xf numFmtId="8" fontId="4" fillId="0" borderId="1" xfId="0" applyNumberFormat="1" applyFont="1" applyBorder="1" applyAlignment="1">
      <alignment vertical="center"/>
    </xf>
    <xf numFmtId="164" fontId="14" fillId="0" borderId="1" xfId="0" applyNumberFormat="1" applyFont="1" applyBorder="1" applyAlignment="1">
      <alignment horizontal="center" vertical="center"/>
    </xf>
    <xf numFmtId="0" fontId="0" fillId="0" borderId="22" xfId="0" applyBorder="1"/>
    <xf numFmtId="0" fontId="0" fillId="0" borderId="6" xfId="0" applyBorder="1"/>
    <xf numFmtId="0" fontId="1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164" fontId="3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62"/>
  <sheetViews>
    <sheetView tabSelected="1" topLeftCell="A78" workbookViewId="0">
      <pane ySplit="4" topLeftCell="A138" activePane="bottomLeft" state="frozen"/>
      <selection activeCell="A78" sqref="A78"/>
      <selection pane="bottomLeft" activeCell="F142" sqref="F142"/>
    </sheetView>
  </sheetViews>
  <sheetFormatPr defaultColWidth="9.109375" defaultRowHeight="14.4"/>
  <cols>
    <col min="1" max="1" width="31.44140625" style="68" customWidth="1"/>
    <col min="2" max="2" width="9.109375" style="68" customWidth="1"/>
    <col min="3" max="3" width="19.5546875" style="68" customWidth="1"/>
    <col min="4" max="4" width="14.6640625" style="68" customWidth="1"/>
    <col min="5" max="5" width="19.5546875" style="68" customWidth="1"/>
    <col min="6" max="6" width="17.6640625" style="202" customWidth="1"/>
    <col min="7" max="7" width="22.109375" style="68" customWidth="1"/>
    <col min="8" max="8" width="16.109375" style="68" customWidth="1"/>
    <col min="9" max="9" width="20.5546875" style="68" customWidth="1"/>
    <col min="10" max="10" width="20" style="68" customWidth="1"/>
    <col min="11" max="11" width="20.5546875" style="68" customWidth="1"/>
    <col min="12" max="12" width="19.109375" style="68" customWidth="1"/>
    <col min="13" max="13" width="19.33203125" style="68" customWidth="1"/>
    <col min="14" max="14" width="18" style="68" customWidth="1"/>
    <col min="15" max="15" width="14.109375" style="68" customWidth="1"/>
    <col min="16" max="18" width="9.109375" style="68" customWidth="1"/>
    <col min="19" max="16384" width="9.109375" style="68"/>
  </cols>
  <sheetData>
    <row r="1" spans="1:12" ht="32.4" customHeight="1">
      <c r="A1" s="201" t="s">
        <v>0</v>
      </c>
      <c r="B1" s="9"/>
      <c r="C1" s="184" t="s">
        <v>1</v>
      </c>
      <c r="D1" s="225"/>
      <c r="E1" s="225"/>
      <c r="G1" s="366">
        <v>2021</v>
      </c>
      <c r="H1" s="365"/>
      <c r="I1" s="366">
        <v>2022</v>
      </c>
      <c r="J1" s="365"/>
      <c r="K1" s="367">
        <v>2023</v>
      </c>
      <c r="L1" s="365"/>
    </row>
    <row r="2" spans="1:12" ht="28.2" customHeight="1">
      <c r="A2" s="203" t="s">
        <v>2</v>
      </c>
      <c r="B2" s="9"/>
      <c r="C2" s="204">
        <v>19246.990000000002</v>
      </c>
      <c r="D2" s="226"/>
      <c r="E2" s="226"/>
      <c r="G2" s="203" t="s">
        <v>3</v>
      </c>
      <c r="H2" s="9"/>
      <c r="I2" s="203" t="s">
        <v>3</v>
      </c>
      <c r="J2" s="204">
        <v>18130.060000000001</v>
      </c>
      <c r="K2" s="203" t="s">
        <v>3</v>
      </c>
      <c r="L2" s="204">
        <v>63461.24</v>
      </c>
    </row>
    <row r="3" spans="1:12" ht="28.2" customHeight="1">
      <c r="A3" s="203" t="s">
        <v>4</v>
      </c>
      <c r="B3" s="205"/>
      <c r="C3" s="204">
        <v>14356.63</v>
      </c>
      <c r="D3" s="226"/>
      <c r="E3" s="226"/>
      <c r="G3" s="203" t="s">
        <v>5</v>
      </c>
      <c r="H3" s="9"/>
      <c r="I3" s="203" t="s">
        <v>5</v>
      </c>
      <c r="J3" s="204">
        <v>39412.26</v>
      </c>
      <c r="K3" s="203" t="s">
        <v>5</v>
      </c>
      <c r="L3" s="204">
        <v>56826.84</v>
      </c>
    </row>
    <row r="4" spans="1:12" ht="28.2" customHeight="1">
      <c r="A4" s="203" t="s">
        <v>6</v>
      </c>
      <c r="B4" s="9"/>
      <c r="C4" s="204">
        <v>13870.89</v>
      </c>
      <c r="D4" s="226"/>
      <c r="E4" s="226"/>
      <c r="G4" s="203" t="s">
        <v>7</v>
      </c>
      <c r="H4" s="9"/>
      <c r="I4" s="203" t="s">
        <v>7</v>
      </c>
      <c r="J4" s="204">
        <v>66452.649999999994</v>
      </c>
      <c r="K4" s="203" t="s">
        <v>7</v>
      </c>
      <c r="L4" s="204">
        <v>54406.31</v>
      </c>
    </row>
    <row r="5" spans="1:12" ht="28.2" customHeight="1">
      <c r="A5" s="203" t="s">
        <v>8</v>
      </c>
      <c r="B5" s="9"/>
      <c r="C5" s="204">
        <v>14354.51</v>
      </c>
      <c r="D5" s="226"/>
      <c r="E5" s="226"/>
      <c r="G5" s="203" t="s">
        <v>9</v>
      </c>
      <c r="H5" s="9"/>
      <c r="I5" s="203" t="s">
        <v>9</v>
      </c>
      <c r="J5" s="204">
        <v>63986.87</v>
      </c>
      <c r="K5" s="203" t="s">
        <v>9</v>
      </c>
      <c r="L5" s="204">
        <v>87441.54</v>
      </c>
    </row>
    <row r="6" spans="1:12" ht="28.2" customHeight="1">
      <c r="A6" s="203" t="s">
        <v>10</v>
      </c>
      <c r="B6" s="9"/>
      <c r="C6" s="204">
        <v>11876.87</v>
      </c>
      <c r="D6" s="226"/>
      <c r="E6" s="226"/>
      <c r="G6" s="203" t="s">
        <v>11</v>
      </c>
      <c r="H6" s="9"/>
      <c r="I6" s="203" t="s">
        <v>11</v>
      </c>
      <c r="J6" s="204">
        <v>80342.740000000005</v>
      </c>
      <c r="K6" s="203" t="s">
        <v>11</v>
      </c>
      <c r="L6" s="204">
        <v>71540.19</v>
      </c>
    </row>
    <row r="7" spans="1:12" ht="28.2" customHeight="1">
      <c r="A7" s="203" t="s">
        <v>12</v>
      </c>
      <c r="B7" s="9"/>
      <c r="C7" s="204">
        <v>15468</v>
      </c>
      <c r="D7" s="226"/>
      <c r="E7" s="226"/>
      <c r="F7" s="206"/>
      <c r="G7" s="203" t="s">
        <v>13</v>
      </c>
      <c r="H7" s="9"/>
      <c r="I7" s="203" t="s">
        <v>13</v>
      </c>
      <c r="J7" s="204">
        <v>69278.77</v>
      </c>
      <c r="K7" s="203" t="s">
        <v>13</v>
      </c>
      <c r="L7" s="204">
        <v>80490.19</v>
      </c>
    </row>
    <row r="8" spans="1:12" ht="28.2" customHeight="1">
      <c r="A8" s="203" t="s">
        <v>14</v>
      </c>
      <c r="B8" s="9"/>
      <c r="C8" s="204">
        <v>14791.27</v>
      </c>
      <c r="D8" s="226"/>
      <c r="E8" s="226"/>
      <c r="G8" s="203" t="s">
        <v>15</v>
      </c>
      <c r="H8" s="204">
        <v>29200.29</v>
      </c>
      <c r="I8" s="203" t="s">
        <v>15</v>
      </c>
      <c r="J8" s="204">
        <v>93630.05</v>
      </c>
      <c r="K8" s="203" t="s">
        <v>15</v>
      </c>
      <c r="L8" s="204">
        <v>80901.929999999993</v>
      </c>
    </row>
    <row r="9" spans="1:12" ht="28.2" customHeight="1">
      <c r="A9" s="203" t="s">
        <v>16</v>
      </c>
      <c r="B9" s="9"/>
      <c r="C9" s="204">
        <v>13591.26</v>
      </c>
      <c r="D9" s="226"/>
      <c r="E9" s="226"/>
      <c r="G9" s="203" t="s">
        <v>17</v>
      </c>
      <c r="H9" s="204">
        <v>29200.29</v>
      </c>
      <c r="I9" s="203" t="s">
        <v>17</v>
      </c>
      <c r="J9" s="204">
        <v>89897.43</v>
      </c>
      <c r="K9" s="203" t="s">
        <v>17</v>
      </c>
      <c r="L9" s="204">
        <v>78025.38</v>
      </c>
    </row>
    <row r="10" spans="1:12" ht="28.2" customHeight="1">
      <c r="A10" s="203" t="s">
        <v>18</v>
      </c>
      <c r="B10" s="9"/>
      <c r="C10" s="204">
        <v>13390.93</v>
      </c>
      <c r="D10" s="226"/>
      <c r="E10" s="226"/>
      <c r="G10" s="203" t="s">
        <v>19</v>
      </c>
      <c r="H10" s="204">
        <v>38093.040000000001</v>
      </c>
      <c r="I10" s="203" t="s">
        <v>19</v>
      </c>
      <c r="J10" s="204">
        <v>81288.88</v>
      </c>
      <c r="K10" s="203" t="s">
        <v>19</v>
      </c>
      <c r="L10" s="204">
        <v>65349.57</v>
      </c>
    </row>
    <row r="11" spans="1:12" ht="28.2" customHeight="1">
      <c r="A11" s="203" t="s">
        <v>20</v>
      </c>
      <c r="B11" s="9"/>
      <c r="C11" s="204">
        <v>14787.15</v>
      </c>
      <c r="D11" s="226"/>
      <c r="E11" s="226"/>
      <c r="G11" s="203" t="s">
        <v>21</v>
      </c>
      <c r="H11" s="204">
        <v>43748.26</v>
      </c>
      <c r="I11" s="203" t="s">
        <v>21</v>
      </c>
      <c r="J11" s="204">
        <v>80599.73</v>
      </c>
      <c r="K11" s="203" t="s">
        <v>21</v>
      </c>
      <c r="L11" s="204">
        <v>62182.59</v>
      </c>
    </row>
    <row r="12" spans="1:12" ht="28.2" customHeight="1">
      <c r="A12" s="203" t="s">
        <v>22</v>
      </c>
      <c r="B12" s="9"/>
      <c r="C12" s="204">
        <v>11788.3</v>
      </c>
      <c r="D12" s="226"/>
      <c r="E12" s="226"/>
      <c r="G12" s="203" t="s">
        <v>23</v>
      </c>
      <c r="H12" s="204">
        <v>57688.09</v>
      </c>
      <c r="I12" s="203" t="s">
        <v>23</v>
      </c>
      <c r="J12" s="204">
        <v>47414.18</v>
      </c>
      <c r="K12" s="203" t="s">
        <v>23</v>
      </c>
      <c r="L12" s="9"/>
    </row>
    <row r="13" spans="1:12" ht="28.2" customHeight="1">
      <c r="A13" s="203" t="s">
        <v>24</v>
      </c>
      <c r="B13" s="9"/>
      <c r="C13" s="204">
        <v>12920.71</v>
      </c>
      <c r="D13" s="226"/>
      <c r="E13" s="226"/>
      <c r="G13" s="203" t="s">
        <v>25</v>
      </c>
      <c r="H13" s="204">
        <v>49551.8</v>
      </c>
      <c r="I13" s="203" t="s">
        <v>25</v>
      </c>
      <c r="J13" s="204">
        <v>70946.080000000002</v>
      </c>
      <c r="K13" s="203" t="s">
        <v>25</v>
      </c>
      <c r="L13" s="9"/>
    </row>
    <row r="14" spans="1:12" ht="28.2" customHeight="1">
      <c r="A14" s="203" t="s">
        <v>26</v>
      </c>
      <c r="B14" s="9"/>
      <c r="C14" s="204">
        <v>15064.65</v>
      </c>
      <c r="D14" s="226"/>
      <c r="E14" s="226"/>
    </row>
    <row r="15" spans="1:12" ht="28.2" customHeight="1">
      <c r="A15" s="203" t="s">
        <v>27</v>
      </c>
      <c r="B15" s="9"/>
      <c r="C15" s="204">
        <v>14390.04</v>
      </c>
      <c r="D15" s="226"/>
      <c r="E15" s="226"/>
    </row>
    <row r="16" spans="1:12" ht="28.2" customHeight="1">
      <c r="A16" s="203" t="s">
        <v>28</v>
      </c>
      <c r="B16" s="9"/>
      <c r="C16" s="204">
        <v>13466.62</v>
      </c>
      <c r="D16" s="226"/>
      <c r="E16" s="226"/>
    </row>
    <row r="17" spans="1:5" ht="28.2" customHeight="1">
      <c r="A17" s="203" t="s">
        <v>29</v>
      </c>
      <c r="B17" s="9"/>
      <c r="C17" s="204">
        <v>14152.59</v>
      </c>
      <c r="D17" s="226"/>
      <c r="E17" s="226"/>
    </row>
    <row r="18" spans="1:5" ht="28.2" customHeight="1">
      <c r="A18" s="203" t="s">
        <v>30</v>
      </c>
      <c r="B18" s="9"/>
      <c r="C18" s="204">
        <v>16836.46</v>
      </c>
      <c r="D18" s="226"/>
      <c r="E18" s="226"/>
    </row>
    <row r="19" spans="1:5" ht="28.2" customHeight="1">
      <c r="A19" s="203" t="s">
        <v>31</v>
      </c>
      <c r="B19" s="9"/>
      <c r="C19" s="204">
        <v>24926.22</v>
      </c>
      <c r="D19" s="226"/>
      <c r="E19" s="226"/>
    </row>
    <row r="20" spans="1:5">
      <c r="A20" s="203" t="s">
        <v>32</v>
      </c>
      <c r="B20" s="9"/>
      <c r="C20" s="204">
        <v>17046.54</v>
      </c>
      <c r="D20" s="226"/>
      <c r="E20" s="226"/>
    </row>
    <row r="21" spans="1:5">
      <c r="A21" s="203" t="s">
        <v>33</v>
      </c>
      <c r="B21" s="9"/>
      <c r="C21" s="204">
        <v>11512.96</v>
      </c>
      <c r="D21" s="226"/>
      <c r="E21" s="226"/>
    </row>
    <row r="22" spans="1:5">
      <c r="A22" s="203" t="s">
        <v>34</v>
      </c>
      <c r="B22" s="9"/>
      <c r="C22" s="204">
        <v>11871.2</v>
      </c>
      <c r="D22" s="226"/>
      <c r="E22" s="226"/>
    </row>
    <row r="23" spans="1:5">
      <c r="A23" s="203" t="s">
        <v>35</v>
      </c>
      <c r="B23" s="9"/>
      <c r="C23" s="204">
        <v>12831.63</v>
      </c>
      <c r="D23" s="226"/>
      <c r="E23" s="226"/>
    </row>
    <row r="24" spans="1:5">
      <c r="A24" s="203" t="s">
        <v>36</v>
      </c>
      <c r="B24" s="9"/>
      <c r="C24" s="204">
        <v>12981.55</v>
      </c>
      <c r="D24" s="226"/>
      <c r="E24" s="226"/>
    </row>
    <row r="25" spans="1:5">
      <c r="A25" s="203" t="s">
        <v>37</v>
      </c>
      <c r="B25" s="9"/>
      <c r="C25" s="204">
        <v>11512.96</v>
      </c>
      <c r="D25" s="226"/>
      <c r="E25" s="226"/>
    </row>
    <row r="26" spans="1:5">
      <c r="A26" s="203" t="s">
        <v>38</v>
      </c>
      <c r="B26" s="9"/>
      <c r="C26" s="204">
        <v>12688.32</v>
      </c>
      <c r="D26" s="226"/>
      <c r="E26" s="226"/>
    </row>
    <row r="27" spans="1:5">
      <c r="A27" s="203" t="s">
        <v>39</v>
      </c>
      <c r="B27" s="9"/>
      <c r="C27" s="204">
        <v>15720.1</v>
      </c>
      <c r="D27" s="226"/>
      <c r="E27" s="226"/>
    </row>
    <row r="28" spans="1:5">
      <c r="A28" s="109" t="s">
        <v>40</v>
      </c>
      <c r="B28" s="9"/>
      <c r="C28" s="204">
        <v>13511.7</v>
      </c>
      <c r="D28" s="226"/>
      <c r="E28" s="226"/>
    </row>
    <row r="29" spans="1:5">
      <c r="A29" s="109" t="s">
        <v>41</v>
      </c>
      <c r="B29" s="9"/>
      <c r="C29" s="204">
        <v>14113.88</v>
      </c>
      <c r="D29" s="226"/>
      <c r="E29" s="226"/>
    </row>
    <row r="30" spans="1:5">
      <c r="A30" s="109" t="s">
        <v>42</v>
      </c>
      <c r="B30" s="9"/>
      <c r="C30" s="204">
        <v>8500.0499999999993</v>
      </c>
      <c r="D30" s="226"/>
      <c r="E30" s="226"/>
    </row>
    <row r="31" spans="1:5">
      <c r="A31" s="110" t="s">
        <v>43</v>
      </c>
      <c r="B31" s="42"/>
      <c r="C31" s="207">
        <v>11957.82</v>
      </c>
      <c r="D31" s="226"/>
      <c r="E31" s="226"/>
    </row>
    <row r="32" spans="1:5">
      <c r="A32" s="109" t="s">
        <v>44</v>
      </c>
      <c r="B32" s="9"/>
      <c r="C32" s="204">
        <v>17889.64</v>
      </c>
      <c r="D32" s="226"/>
      <c r="E32" s="226"/>
    </row>
    <row r="33" spans="1:5">
      <c r="A33" s="203" t="s">
        <v>45</v>
      </c>
      <c r="B33" s="9"/>
      <c r="C33" s="204">
        <v>16746.71</v>
      </c>
      <c r="D33" s="226"/>
      <c r="E33" s="226"/>
    </row>
    <row r="34" spans="1:5">
      <c r="A34" s="208" t="s">
        <v>46</v>
      </c>
      <c r="B34" s="42"/>
      <c r="C34" s="207">
        <v>22062.15</v>
      </c>
      <c r="D34" s="226"/>
      <c r="E34" s="226"/>
    </row>
    <row r="35" spans="1:5">
      <c r="A35" s="208" t="s">
        <v>47</v>
      </c>
      <c r="B35" s="42"/>
      <c r="C35" s="207">
        <v>15027.58</v>
      </c>
      <c r="D35" s="226"/>
      <c r="E35" s="226"/>
    </row>
    <row r="36" spans="1:5">
      <c r="A36" s="203" t="s">
        <v>48</v>
      </c>
      <c r="B36" s="9"/>
      <c r="C36" s="204">
        <v>14801.18</v>
      </c>
      <c r="D36" s="226"/>
      <c r="E36" s="226"/>
    </row>
    <row r="37" spans="1:5">
      <c r="A37" s="203" t="s">
        <v>49</v>
      </c>
      <c r="B37" s="9"/>
      <c r="C37" s="204">
        <v>13870.13</v>
      </c>
      <c r="D37" s="226"/>
      <c r="E37" s="226"/>
    </row>
    <row r="38" spans="1:5">
      <c r="A38" s="208" t="s">
        <v>50</v>
      </c>
      <c r="B38" s="42"/>
      <c r="C38" s="207">
        <v>16104.16</v>
      </c>
      <c r="D38" s="226"/>
      <c r="E38" s="226"/>
    </row>
    <row r="39" spans="1:5">
      <c r="A39" s="208" t="s">
        <v>51</v>
      </c>
      <c r="B39" s="42"/>
      <c r="C39" s="207">
        <v>14314.24</v>
      </c>
      <c r="D39" s="226"/>
      <c r="E39" s="226"/>
    </row>
    <row r="40" spans="1:5">
      <c r="A40" s="208" t="s">
        <v>52</v>
      </c>
      <c r="B40" s="42"/>
      <c r="C40" s="207">
        <v>14920.1</v>
      </c>
      <c r="D40" s="226"/>
      <c r="E40" s="226"/>
    </row>
    <row r="41" spans="1:5">
      <c r="A41" s="208" t="s">
        <v>53</v>
      </c>
      <c r="B41" s="42"/>
      <c r="C41" s="207">
        <v>13778.91</v>
      </c>
      <c r="D41" s="226"/>
      <c r="E41" s="226"/>
    </row>
    <row r="42" spans="1:5">
      <c r="A42" s="203" t="s">
        <v>54</v>
      </c>
      <c r="B42" s="9"/>
      <c r="C42" s="204">
        <v>13416.84</v>
      </c>
      <c r="D42" s="226"/>
      <c r="E42" s="226"/>
    </row>
    <row r="43" spans="1:5">
      <c r="A43" s="203" t="s">
        <v>55</v>
      </c>
      <c r="B43" s="9"/>
      <c r="C43" s="204">
        <v>16752.64</v>
      </c>
      <c r="D43" s="226"/>
      <c r="E43" s="226"/>
    </row>
    <row r="44" spans="1:5">
      <c r="A44" s="208" t="s">
        <v>56</v>
      </c>
      <c r="B44" s="42"/>
      <c r="C44" s="207">
        <v>20072.23</v>
      </c>
      <c r="D44" s="226"/>
      <c r="E44" s="226"/>
    </row>
    <row r="45" spans="1:5">
      <c r="A45" s="208" t="s">
        <v>57</v>
      </c>
      <c r="B45" s="42"/>
      <c r="C45" s="207">
        <v>17528.61</v>
      </c>
      <c r="D45" s="226"/>
      <c r="E45" s="226"/>
    </row>
    <row r="46" spans="1:5">
      <c r="A46" s="203" t="s">
        <v>58</v>
      </c>
      <c r="B46" s="9"/>
      <c r="C46" s="204">
        <v>18196.21</v>
      </c>
      <c r="D46" s="226"/>
      <c r="E46" s="226"/>
    </row>
    <row r="47" spans="1:5">
      <c r="A47" s="208" t="s">
        <v>59</v>
      </c>
      <c r="B47" s="42"/>
      <c r="C47" s="207">
        <v>16941</v>
      </c>
      <c r="D47" s="226"/>
      <c r="E47" s="226"/>
    </row>
    <row r="48" spans="1:5">
      <c r="A48" s="203" t="s">
        <v>60</v>
      </c>
      <c r="B48" s="9"/>
      <c r="C48" s="204">
        <v>15191.65</v>
      </c>
      <c r="D48" s="226"/>
      <c r="E48" s="226"/>
    </row>
    <row r="49" spans="1:8">
      <c r="A49" s="203" t="s">
        <v>61</v>
      </c>
      <c r="B49" s="9"/>
      <c r="C49" s="209">
        <v>15433.77</v>
      </c>
      <c r="D49" s="227"/>
      <c r="E49" s="227"/>
    </row>
    <row r="50" spans="1:8">
      <c r="A50" s="203" t="s">
        <v>62</v>
      </c>
      <c r="B50" s="9"/>
      <c r="C50" s="204">
        <v>15961.05</v>
      </c>
      <c r="D50" s="226"/>
      <c r="E50" s="226"/>
    </row>
    <row r="51" spans="1:8">
      <c r="A51" s="203" t="s">
        <v>63</v>
      </c>
      <c r="B51" s="9"/>
      <c r="C51" s="204">
        <v>20036.13</v>
      </c>
      <c r="D51" s="226"/>
      <c r="E51" s="226"/>
    </row>
    <row r="52" spans="1:8">
      <c r="A52" s="203" t="s">
        <v>64</v>
      </c>
      <c r="B52" s="9"/>
      <c r="C52" s="204">
        <v>14758.8</v>
      </c>
      <c r="D52" s="226"/>
      <c r="E52" s="226"/>
    </row>
    <row r="53" spans="1:8">
      <c r="A53" s="208" t="s">
        <v>65</v>
      </c>
      <c r="B53" s="42"/>
      <c r="C53" s="207">
        <v>14241.44</v>
      </c>
      <c r="D53" s="226"/>
      <c r="E53" s="226"/>
    </row>
    <row r="54" spans="1:8">
      <c r="A54" s="208" t="s">
        <v>66</v>
      </c>
      <c r="B54" s="42"/>
      <c r="C54" s="207">
        <v>17629.740000000002</v>
      </c>
      <c r="D54" s="226"/>
      <c r="E54" s="226"/>
    </row>
    <row r="55" spans="1:8">
      <c r="A55" s="203" t="s">
        <v>67</v>
      </c>
      <c r="B55" s="56"/>
      <c r="C55" s="204">
        <v>12852.33</v>
      </c>
      <c r="D55" s="226"/>
      <c r="E55" s="226"/>
    </row>
    <row r="56" spans="1:8">
      <c r="A56" s="203" t="s">
        <v>68</v>
      </c>
      <c r="B56" s="56"/>
      <c r="C56" s="204">
        <v>13844.53</v>
      </c>
      <c r="D56" s="226"/>
      <c r="E56" s="226"/>
    </row>
    <row r="57" spans="1:8">
      <c r="A57" s="203" t="s">
        <v>69</v>
      </c>
      <c r="B57" s="56"/>
      <c r="C57" s="204">
        <v>13987.44</v>
      </c>
      <c r="D57" s="226"/>
      <c r="E57" s="226"/>
    </row>
    <row r="58" spans="1:8">
      <c r="A58" s="203" t="s">
        <v>70</v>
      </c>
      <c r="B58" s="56"/>
      <c r="C58" s="204">
        <v>11481</v>
      </c>
      <c r="D58" s="226"/>
      <c r="E58" s="226"/>
    </row>
    <row r="59" spans="1:8">
      <c r="A59" s="203" t="s">
        <v>71</v>
      </c>
      <c r="B59" s="56"/>
      <c r="C59" s="140">
        <v>13260.86</v>
      </c>
      <c r="D59" s="169"/>
      <c r="E59" s="169"/>
    </row>
    <row r="60" spans="1:8">
      <c r="A60" s="203" t="s">
        <v>72</v>
      </c>
      <c r="B60" s="56"/>
      <c r="C60" s="140">
        <v>14522.57</v>
      </c>
      <c r="D60" s="169"/>
      <c r="E60" s="169"/>
    </row>
    <row r="61" spans="1:8">
      <c r="A61" s="203" t="s">
        <v>73</v>
      </c>
      <c r="B61" s="56"/>
      <c r="C61" s="140">
        <v>14787.3</v>
      </c>
      <c r="D61" s="169"/>
      <c r="E61" s="169"/>
    </row>
    <row r="62" spans="1:8">
      <c r="A62" s="203" t="s">
        <v>74</v>
      </c>
      <c r="B62" s="56"/>
      <c r="C62" s="140">
        <v>13121.06</v>
      </c>
      <c r="D62" s="169"/>
      <c r="E62" s="169"/>
    </row>
    <row r="63" spans="1:8" ht="15" customHeight="1" thickBot="1">
      <c r="A63" s="203" t="s">
        <v>75</v>
      </c>
      <c r="B63" s="56"/>
      <c r="C63" s="140">
        <v>14753.39</v>
      </c>
      <c r="D63" s="169"/>
      <c r="E63" s="169"/>
    </row>
    <row r="64" spans="1:8" ht="18" customHeight="1" thickBot="1">
      <c r="A64" s="203" t="s">
        <v>76</v>
      </c>
      <c r="B64" s="56"/>
      <c r="C64" s="140">
        <v>12431.17</v>
      </c>
      <c r="D64" s="169"/>
      <c r="E64" s="169"/>
      <c r="F64" s="210"/>
      <c r="G64" s="211"/>
      <c r="H64" s="212"/>
    </row>
    <row r="65" spans="1:15" ht="17.399999999999999" customHeight="1">
      <c r="A65" s="208" t="s">
        <v>77</v>
      </c>
      <c r="B65" s="55"/>
      <c r="C65" s="172">
        <v>12433.63</v>
      </c>
      <c r="D65" s="169"/>
      <c r="E65" s="169"/>
      <c r="F65" s="213"/>
      <c r="G65" s="214"/>
      <c r="H65" s="215"/>
    </row>
    <row r="66" spans="1:15">
      <c r="A66" s="208" t="s">
        <v>78</v>
      </c>
      <c r="B66" s="55"/>
      <c r="C66" s="172">
        <v>11890.27</v>
      </c>
      <c r="D66" s="172"/>
      <c r="E66" s="172"/>
      <c r="F66" s="216"/>
      <c r="G66" s="217"/>
      <c r="H66" s="218"/>
      <c r="I66" s="55"/>
      <c r="J66" s="55"/>
    </row>
    <row r="67" spans="1:15">
      <c r="A67" s="203" t="s">
        <v>79</v>
      </c>
      <c r="B67" s="56"/>
      <c r="C67" s="140">
        <v>14674.88</v>
      </c>
      <c r="D67" s="140"/>
      <c r="E67" s="140"/>
      <c r="F67" s="173" t="s">
        <v>80</v>
      </c>
      <c r="G67" s="56" t="s">
        <v>81</v>
      </c>
      <c r="H67" s="56" t="s">
        <v>82</v>
      </c>
      <c r="I67" s="56" t="s">
        <v>83</v>
      </c>
      <c r="J67" s="56" t="s">
        <v>84</v>
      </c>
      <c r="K67" s="56"/>
      <c r="L67" s="56"/>
      <c r="M67" s="56"/>
    </row>
    <row r="68" spans="1:15">
      <c r="A68" s="203" t="s">
        <v>85</v>
      </c>
      <c r="B68" s="56"/>
      <c r="C68" s="140">
        <v>13074.02</v>
      </c>
      <c r="D68" s="140"/>
      <c r="E68" s="140"/>
      <c r="F68" s="173"/>
      <c r="G68" s="56"/>
      <c r="H68" s="56"/>
      <c r="I68" s="56"/>
      <c r="J68" s="56"/>
      <c r="K68" s="56"/>
      <c r="L68" s="56"/>
      <c r="M68" s="56"/>
    </row>
    <row r="69" spans="1:15">
      <c r="A69" s="203" t="s">
        <v>86</v>
      </c>
      <c r="B69" s="56"/>
      <c r="C69" s="140">
        <v>13673.26</v>
      </c>
      <c r="D69" s="140"/>
      <c r="E69" s="140"/>
      <c r="F69" s="173"/>
      <c r="G69" s="56"/>
      <c r="H69" s="56"/>
      <c r="I69" s="56"/>
      <c r="J69" s="56"/>
      <c r="K69" s="56"/>
      <c r="L69" s="56"/>
      <c r="M69" s="140">
        <f>SUM(M70:M71)</f>
        <v>2641.62</v>
      </c>
    </row>
    <row r="70" spans="1:15">
      <c r="A70" s="203" t="s">
        <v>87</v>
      </c>
      <c r="B70" s="56"/>
      <c r="C70" s="140">
        <v>14020.88</v>
      </c>
      <c r="D70" s="140"/>
      <c r="E70" s="140"/>
      <c r="F70" s="173"/>
      <c r="G70" s="56"/>
      <c r="H70" s="56"/>
      <c r="I70" s="56"/>
      <c r="J70" s="56"/>
      <c r="K70" s="145">
        <v>3682.96</v>
      </c>
      <c r="L70" s="219">
        <v>1516.54</v>
      </c>
      <c r="M70" s="140">
        <f>K70-L70</f>
        <v>2166.42</v>
      </c>
    </row>
    <row r="71" spans="1:15">
      <c r="A71" s="203" t="s">
        <v>88</v>
      </c>
      <c r="B71" s="56"/>
      <c r="C71" s="140">
        <v>22334.02</v>
      </c>
      <c r="D71" s="140"/>
      <c r="E71" s="140"/>
      <c r="F71" s="173">
        <f>SUM(C71-(I71+G71+H71))</f>
        <v>17858.330000000002</v>
      </c>
      <c r="G71" s="140">
        <v>167.98</v>
      </c>
      <c r="H71" s="140">
        <v>72.540000000000006</v>
      </c>
      <c r="I71" s="140">
        <v>4235.17</v>
      </c>
      <c r="J71" s="56"/>
      <c r="K71" s="219">
        <v>756.52</v>
      </c>
      <c r="L71" s="145">
        <v>281.32</v>
      </c>
      <c r="M71" s="140">
        <f>K71-L71</f>
        <v>475.2</v>
      </c>
    </row>
    <row r="72" spans="1:15">
      <c r="A72" s="203" t="s">
        <v>89</v>
      </c>
      <c r="B72" s="56"/>
      <c r="C72" s="140">
        <v>18755.59</v>
      </c>
      <c r="D72" s="140"/>
      <c r="E72" s="140"/>
      <c r="F72" s="173">
        <f>SUM(C72-(I72+G72+H72))</f>
        <v>14841.51</v>
      </c>
      <c r="G72" s="140">
        <v>64.78</v>
      </c>
      <c r="H72" s="140">
        <v>7.2</v>
      </c>
      <c r="I72" s="140">
        <v>3842.1</v>
      </c>
      <c r="J72" s="56"/>
      <c r="K72" s="56"/>
      <c r="L72" s="56"/>
      <c r="M72" s="56"/>
    </row>
    <row r="73" spans="1:15">
      <c r="A73" s="203" t="s">
        <v>90</v>
      </c>
      <c r="B73" s="56"/>
      <c r="C73" s="140">
        <v>13898.98</v>
      </c>
      <c r="D73" s="140"/>
      <c r="E73" s="140"/>
      <c r="F73" s="173" t="s">
        <v>80</v>
      </c>
      <c r="G73" s="56" t="s">
        <v>81</v>
      </c>
      <c r="H73" s="56" t="s">
        <v>82</v>
      </c>
      <c r="I73" s="56" t="s">
        <v>83</v>
      </c>
      <c r="J73" s="56" t="s">
        <v>84</v>
      </c>
      <c r="K73" s="56"/>
      <c r="L73" s="56" t="s">
        <v>91</v>
      </c>
      <c r="M73" s="56" t="s">
        <v>92</v>
      </c>
    </row>
    <row r="74" spans="1:15">
      <c r="A74" s="203" t="s">
        <v>93</v>
      </c>
      <c r="B74" s="56"/>
      <c r="C74" s="140">
        <v>14787.59</v>
      </c>
      <c r="D74" s="140"/>
      <c r="E74" s="140"/>
      <c r="F74" s="173">
        <v>12005.1</v>
      </c>
      <c r="G74" s="140">
        <v>79.13</v>
      </c>
      <c r="H74" s="140">
        <v>61.74</v>
      </c>
      <c r="I74" s="140">
        <v>4393.88</v>
      </c>
      <c r="J74" s="56">
        <v>2641.62</v>
      </c>
      <c r="K74" s="140">
        <f t="shared" ref="K74:K80" si="0">SUM(F74,G74,H74,J74)</f>
        <v>14787.59</v>
      </c>
      <c r="L74" s="56"/>
      <c r="M74" s="56"/>
    </row>
    <row r="75" spans="1:15">
      <c r="A75" s="203" t="s">
        <v>94</v>
      </c>
      <c r="B75" s="56"/>
      <c r="C75" s="56">
        <v>13933.15</v>
      </c>
      <c r="D75" s="56"/>
      <c r="E75" s="56"/>
      <c r="F75" s="173">
        <v>10361.99</v>
      </c>
      <c r="G75" s="140">
        <v>184.76</v>
      </c>
      <c r="H75" s="140">
        <v>137.97</v>
      </c>
      <c r="I75" s="140">
        <v>4864.51</v>
      </c>
      <c r="J75" s="56">
        <f t="shared" ref="J75:J80" si="1">SUM(L75:M75)</f>
        <v>3248.43</v>
      </c>
      <c r="K75" s="140">
        <f t="shared" si="0"/>
        <v>13933.15</v>
      </c>
      <c r="L75" s="56">
        <v>805.91</v>
      </c>
      <c r="M75" s="141">
        <v>2442.52</v>
      </c>
    </row>
    <row r="76" spans="1:15">
      <c r="A76" s="203" t="s">
        <v>95</v>
      </c>
      <c r="B76" s="56"/>
      <c r="C76" s="141">
        <v>13637.18</v>
      </c>
      <c r="D76" s="141"/>
      <c r="E76" s="141"/>
      <c r="F76" s="173">
        <v>10759.87</v>
      </c>
      <c r="G76" s="56">
        <v>0</v>
      </c>
      <c r="H76" s="56">
        <v>84</v>
      </c>
      <c r="I76" s="141">
        <v>2793.31</v>
      </c>
      <c r="J76" s="56">
        <f t="shared" si="1"/>
        <v>3293.25</v>
      </c>
      <c r="K76" s="140">
        <f t="shared" si="0"/>
        <v>14137.12</v>
      </c>
      <c r="L76" s="56">
        <v>787.96</v>
      </c>
      <c r="M76" s="56">
        <v>2505.29</v>
      </c>
    </row>
    <row r="77" spans="1:15">
      <c r="A77" s="208" t="s">
        <v>96</v>
      </c>
      <c r="B77" s="55"/>
      <c r="C77" s="172">
        <v>11683.72</v>
      </c>
      <c r="D77" s="172"/>
      <c r="E77" s="172"/>
      <c r="F77" s="178">
        <v>9636.07</v>
      </c>
      <c r="G77" s="172">
        <v>155.86000000000001</v>
      </c>
      <c r="H77" s="172">
        <v>19.170000000000002</v>
      </c>
      <c r="I77" s="172">
        <v>2050.41</v>
      </c>
      <c r="J77" s="55">
        <f t="shared" si="1"/>
        <v>1872.6200000000001</v>
      </c>
      <c r="K77" s="172">
        <f t="shared" si="0"/>
        <v>11683.720000000001</v>
      </c>
      <c r="L77" s="55">
        <v>196.93</v>
      </c>
      <c r="M77" s="55">
        <v>1675.69</v>
      </c>
    </row>
    <row r="78" spans="1:15">
      <c r="A78" s="203" t="s">
        <v>97</v>
      </c>
      <c r="B78" s="56"/>
      <c r="C78" s="140">
        <v>12823.09</v>
      </c>
      <c r="D78" s="140"/>
      <c r="E78" s="140"/>
      <c r="F78" s="173">
        <v>10552.83</v>
      </c>
      <c r="G78" s="140">
        <v>103.06</v>
      </c>
      <c r="H78" s="140">
        <v>34.5</v>
      </c>
      <c r="I78" s="140">
        <v>2570.83</v>
      </c>
      <c r="J78" s="56">
        <f t="shared" si="1"/>
        <v>2132.6999999999998</v>
      </c>
      <c r="K78" s="140">
        <f t="shared" si="0"/>
        <v>12823.09</v>
      </c>
      <c r="L78" s="148">
        <v>932.29</v>
      </c>
      <c r="M78" s="148">
        <v>1200.4100000000001</v>
      </c>
      <c r="N78" s="56"/>
      <c r="O78" s="56"/>
    </row>
    <row r="79" spans="1:15">
      <c r="A79" s="203" t="s">
        <v>98</v>
      </c>
      <c r="B79" s="56"/>
      <c r="C79" s="140">
        <v>13647.35</v>
      </c>
      <c r="D79" s="140"/>
      <c r="E79" s="140"/>
      <c r="F79" s="173">
        <v>11974.8</v>
      </c>
      <c r="G79" s="140">
        <v>157.5</v>
      </c>
      <c r="H79" s="140">
        <v>41.68</v>
      </c>
      <c r="I79" s="140">
        <v>1670.92</v>
      </c>
      <c r="J79" s="56">
        <f t="shared" si="1"/>
        <v>1473.3700000000003</v>
      </c>
      <c r="K79" s="140">
        <f t="shared" si="0"/>
        <v>13647.35</v>
      </c>
      <c r="L79" s="56">
        <v>483.50000000000011</v>
      </c>
      <c r="M79" s="56">
        <v>989.87000000000012</v>
      </c>
      <c r="N79" s="56"/>
      <c r="O79" s="56"/>
    </row>
    <row r="80" spans="1:15">
      <c r="A80" s="203" t="s">
        <v>99</v>
      </c>
      <c r="B80" s="56"/>
      <c r="C80" s="140">
        <v>11761.23</v>
      </c>
      <c r="D80" s="140"/>
      <c r="E80" s="140"/>
      <c r="F80" s="173">
        <v>10244.94</v>
      </c>
      <c r="G80" s="140">
        <v>185.6</v>
      </c>
      <c r="H80" s="205">
        <v>0</v>
      </c>
      <c r="I80" s="140">
        <v>1589.93</v>
      </c>
      <c r="J80" s="56">
        <f t="shared" si="1"/>
        <v>1330.69</v>
      </c>
      <c r="K80" s="140">
        <f t="shared" si="0"/>
        <v>11761.230000000001</v>
      </c>
      <c r="L80" s="56">
        <v>247.92</v>
      </c>
      <c r="M80" s="56">
        <v>1082.77</v>
      </c>
      <c r="N80" s="56"/>
      <c r="O80" s="56"/>
    </row>
    <row r="81" spans="1:15" s="176" customFormat="1" ht="28.2" customHeight="1">
      <c r="A81" s="203"/>
      <c r="B81" s="205"/>
      <c r="C81" s="220"/>
      <c r="D81" s="220" t="s">
        <v>100</v>
      </c>
      <c r="E81" s="228" t="s">
        <v>101</v>
      </c>
      <c r="F81" s="183" t="s">
        <v>80</v>
      </c>
      <c r="G81" s="184" t="s">
        <v>81</v>
      </c>
      <c r="H81" s="184" t="s">
        <v>82</v>
      </c>
      <c r="I81" s="184" t="s">
        <v>83</v>
      </c>
      <c r="J81" s="184" t="s">
        <v>102</v>
      </c>
      <c r="K81" s="184" t="s">
        <v>103</v>
      </c>
      <c r="L81" s="184" t="s">
        <v>104</v>
      </c>
      <c r="M81" s="184" t="s">
        <v>105</v>
      </c>
      <c r="N81" s="184" t="s">
        <v>106</v>
      </c>
      <c r="O81" s="184" t="s">
        <v>107</v>
      </c>
    </row>
    <row r="82" spans="1:15">
      <c r="A82" s="203" t="s">
        <v>108</v>
      </c>
      <c r="B82" s="56"/>
      <c r="C82" s="140">
        <v>14891.97</v>
      </c>
      <c r="D82" s="140"/>
      <c r="E82" s="140"/>
      <c r="F82" s="173">
        <v>13909.7</v>
      </c>
      <c r="G82" s="140">
        <v>69.400000000000006</v>
      </c>
      <c r="H82" s="205">
        <v>0</v>
      </c>
      <c r="I82" s="140">
        <v>942.99</v>
      </c>
      <c r="J82" s="145">
        <v>746.27</v>
      </c>
      <c r="K82" s="145">
        <v>116.25</v>
      </c>
      <c r="L82" s="145">
        <v>462.85</v>
      </c>
      <c r="M82" s="148">
        <v>180</v>
      </c>
      <c r="N82" s="140">
        <f t="shared" ref="N82:N113" si="2">(J82-K82)+(L82-M82)</f>
        <v>912.87</v>
      </c>
      <c r="O82" s="140">
        <f t="shared" ref="O82:O113" si="3">SUM(F82,G82,H82,N82)</f>
        <v>14891.970000000001</v>
      </c>
    </row>
    <row r="83" spans="1:15">
      <c r="A83" s="203" t="s">
        <v>109</v>
      </c>
      <c r="B83" s="56"/>
      <c r="C83" s="140">
        <v>13562.67</v>
      </c>
      <c r="D83" s="140"/>
      <c r="E83" s="140"/>
      <c r="F83" s="173">
        <v>12075.21</v>
      </c>
      <c r="G83" s="140">
        <v>112.79</v>
      </c>
      <c r="H83" s="205">
        <v>0</v>
      </c>
      <c r="I83" s="140">
        <v>1429.54</v>
      </c>
      <c r="J83" s="219">
        <v>1010.63</v>
      </c>
      <c r="K83" s="145">
        <v>203.4</v>
      </c>
      <c r="L83" s="219">
        <v>872.05</v>
      </c>
      <c r="M83" s="219">
        <v>304.61</v>
      </c>
      <c r="N83" s="140">
        <f t="shared" si="2"/>
        <v>1374.67</v>
      </c>
      <c r="O83" s="140">
        <f t="shared" si="3"/>
        <v>13562.67</v>
      </c>
    </row>
    <row r="84" spans="1:15">
      <c r="A84" s="203" t="s">
        <v>110</v>
      </c>
      <c r="B84" s="56"/>
      <c r="C84" s="140">
        <v>15565.08</v>
      </c>
      <c r="D84" s="140"/>
      <c r="E84" s="140"/>
      <c r="F84" s="173">
        <v>13916.46</v>
      </c>
      <c r="G84" s="140">
        <v>32.4</v>
      </c>
      <c r="H84" s="205">
        <v>0</v>
      </c>
      <c r="I84" s="140">
        <v>1907.03</v>
      </c>
      <c r="J84" s="145">
        <v>1428.04</v>
      </c>
      <c r="K84" s="145">
        <v>290.02</v>
      </c>
      <c r="L84" s="219">
        <v>725.13</v>
      </c>
      <c r="M84" s="140">
        <v>246.93</v>
      </c>
      <c r="N84" s="140">
        <f t="shared" si="2"/>
        <v>1616.22</v>
      </c>
      <c r="O84" s="140">
        <f t="shared" si="3"/>
        <v>15565.079999999998</v>
      </c>
    </row>
    <row r="85" spans="1:15">
      <c r="A85" s="173" t="s">
        <v>111</v>
      </c>
      <c r="B85" s="56"/>
      <c r="C85" s="140">
        <v>23113.63</v>
      </c>
      <c r="D85" s="140"/>
      <c r="E85" s="140"/>
      <c r="F85" s="140">
        <v>20852.28</v>
      </c>
      <c r="G85" s="140">
        <v>38.4</v>
      </c>
      <c r="H85" s="205">
        <v>0</v>
      </c>
      <c r="I85" s="140">
        <v>1816.28</v>
      </c>
      <c r="J85" s="219">
        <v>1365.85</v>
      </c>
      <c r="K85" s="145">
        <v>146.38</v>
      </c>
      <c r="L85" s="219">
        <v>1467.88</v>
      </c>
      <c r="M85" s="145">
        <v>464.4</v>
      </c>
      <c r="N85" s="140">
        <f t="shared" si="2"/>
        <v>2222.9499999999998</v>
      </c>
      <c r="O85" s="140">
        <f t="shared" si="3"/>
        <v>23113.63</v>
      </c>
    </row>
    <row r="86" spans="1:15">
      <c r="A86" s="173" t="s">
        <v>112</v>
      </c>
      <c r="B86" s="56"/>
      <c r="C86" s="140">
        <v>15364.57</v>
      </c>
      <c r="D86" s="140"/>
      <c r="E86" s="140"/>
      <c r="F86" s="140">
        <v>13068.64</v>
      </c>
      <c r="G86" s="140">
        <v>142.59</v>
      </c>
      <c r="H86" s="140">
        <v>88.2</v>
      </c>
      <c r="I86" s="140">
        <v>1829.78</v>
      </c>
      <c r="J86" s="219">
        <v>1144.71</v>
      </c>
      <c r="K86" s="145">
        <v>4.22</v>
      </c>
      <c r="L86" s="219">
        <v>1263.05</v>
      </c>
      <c r="M86" s="145">
        <v>338.4</v>
      </c>
      <c r="N86" s="140">
        <f t="shared" si="2"/>
        <v>2065.14</v>
      </c>
      <c r="O86" s="140">
        <f t="shared" si="3"/>
        <v>15364.57</v>
      </c>
    </row>
    <row r="87" spans="1:15">
      <c r="A87" s="173" t="s">
        <v>113</v>
      </c>
      <c r="B87" s="56"/>
      <c r="C87" s="140">
        <v>12478.91</v>
      </c>
      <c r="D87" s="140"/>
      <c r="E87" s="140"/>
      <c r="F87" s="140">
        <v>11465.82</v>
      </c>
      <c r="G87" s="106">
        <v>80.400000000000006</v>
      </c>
      <c r="H87" s="205">
        <v>0</v>
      </c>
      <c r="I87" s="106">
        <v>868.86</v>
      </c>
      <c r="J87" s="143">
        <v>784.43</v>
      </c>
      <c r="K87" s="145">
        <v>52.22</v>
      </c>
      <c r="L87" s="143">
        <v>300.48</v>
      </c>
      <c r="M87" s="145">
        <v>100</v>
      </c>
      <c r="N87" s="140">
        <f t="shared" si="2"/>
        <v>932.68999999999994</v>
      </c>
      <c r="O87" s="140">
        <f t="shared" si="3"/>
        <v>12478.91</v>
      </c>
    </row>
    <row r="88" spans="1:15">
      <c r="A88" s="173" t="s">
        <v>114</v>
      </c>
      <c r="B88" s="56"/>
      <c r="C88" s="140">
        <v>16230.17</v>
      </c>
      <c r="D88" s="140"/>
      <c r="E88" s="140"/>
      <c r="F88" s="106">
        <v>14342.29</v>
      </c>
      <c r="G88" s="106">
        <v>67.2</v>
      </c>
      <c r="H88" s="56">
        <v>0</v>
      </c>
      <c r="I88" s="106">
        <v>1781.2</v>
      </c>
      <c r="J88" s="143">
        <v>1338.01</v>
      </c>
      <c r="K88" s="145">
        <v>88.67</v>
      </c>
      <c r="L88" s="143">
        <v>801.42</v>
      </c>
      <c r="M88" s="145">
        <v>230.08</v>
      </c>
      <c r="N88" s="140">
        <f t="shared" si="2"/>
        <v>1820.6799999999998</v>
      </c>
      <c r="O88" s="140">
        <f t="shared" si="3"/>
        <v>16230.170000000002</v>
      </c>
    </row>
    <row r="89" spans="1:15">
      <c r="A89" s="173" t="s">
        <v>115</v>
      </c>
      <c r="B89" s="56"/>
      <c r="C89" s="142">
        <v>12872.24</v>
      </c>
      <c r="D89" s="142"/>
      <c r="E89" s="142"/>
      <c r="F89" s="106">
        <v>11142.93</v>
      </c>
      <c r="G89" s="106">
        <v>217.48</v>
      </c>
      <c r="H89" s="56">
        <v>0</v>
      </c>
      <c r="I89" s="106">
        <v>1545.81</v>
      </c>
      <c r="J89" s="143">
        <v>1207.8900000000001</v>
      </c>
      <c r="K89" s="145">
        <v>75.349999999999994</v>
      </c>
      <c r="L89" s="143">
        <v>386.97</v>
      </c>
      <c r="M89" s="145">
        <v>7.68</v>
      </c>
      <c r="N89" s="140">
        <f t="shared" si="2"/>
        <v>1511.8300000000002</v>
      </c>
      <c r="O89" s="140">
        <f t="shared" si="3"/>
        <v>12872.24</v>
      </c>
    </row>
    <row r="90" spans="1:15">
      <c r="A90" s="173" t="s">
        <v>116</v>
      </c>
      <c r="B90" s="56"/>
      <c r="C90" s="140">
        <v>13895.8</v>
      </c>
      <c r="D90" s="140"/>
      <c r="E90" s="140"/>
      <c r="F90" s="106">
        <v>12387.89</v>
      </c>
      <c r="G90" s="106">
        <v>58.8</v>
      </c>
      <c r="H90" s="56">
        <v>0</v>
      </c>
      <c r="I90" s="106">
        <v>1325.39</v>
      </c>
      <c r="J90" s="143">
        <v>1134.3599999999999</v>
      </c>
      <c r="K90" s="145">
        <v>86.36</v>
      </c>
      <c r="L90" s="145">
        <v>413.59</v>
      </c>
      <c r="M90" s="145">
        <v>12.48</v>
      </c>
      <c r="N90" s="140">
        <f t="shared" si="2"/>
        <v>1449.11</v>
      </c>
      <c r="O90" s="140">
        <f t="shared" si="3"/>
        <v>13895.8</v>
      </c>
    </row>
    <row r="91" spans="1:15">
      <c r="A91" s="173" t="s">
        <v>117</v>
      </c>
      <c r="B91" s="56"/>
      <c r="C91" s="140">
        <v>13769.59</v>
      </c>
      <c r="D91" s="140"/>
      <c r="E91" s="142">
        <v>13748.61</v>
      </c>
      <c r="F91" s="106">
        <v>12562.75</v>
      </c>
      <c r="G91" s="106">
        <v>143.69</v>
      </c>
      <c r="H91" s="56">
        <v>0</v>
      </c>
      <c r="I91" s="106">
        <v>1042.17</v>
      </c>
      <c r="J91" s="143">
        <v>802.34</v>
      </c>
      <c r="K91" s="145">
        <v>77.569999999999993</v>
      </c>
      <c r="L91" s="143">
        <v>422.98</v>
      </c>
      <c r="M91" s="145">
        <v>84.6</v>
      </c>
      <c r="N91" s="140">
        <f t="shared" si="2"/>
        <v>1063.1500000000001</v>
      </c>
      <c r="O91" s="140">
        <f t="shared" si="3"/>
        <v>13769.59</v>
      </c>
    </row>
    <row r="92" spans="1:15">
      <c r="A92" s="173" t="s">
        <v>118</v>
      </c>
      <c r="B92" s="56"/>
      <c r="C92" s="140">
        <v>12300.93</v>
      </c>
      <c r="D92" s="140"/>
      <c r="E92" s="142">
        <v>12290.66</v>
      </c>
      <c r="F92" s="106">
        <v>10739.46</v>
      </c>
      <c r="G92" s="106">
        <v>173.79</v>
      </c>
      <c r="H92" s="56">
        <v>0</v>
      </c>
      <c r="I92" s="106">
        <v>1377.41</v>
      </c>
      <c r="J92" s="143">
        <v>1252.76</v>
      </c>
      <c r="K92" s="145">
        <v>103.85</v>
      </c>
      <c r="L92" s="145">
        <v>238.77</v>
      </c>
      <c r="M92" s="145">
        <v>0</v>
      </c>
      <c r="N92" s="140">
        <f t="shared" si="2"/>
        <v>1387.68</v>
      </c>
      <c r="O92" s="140">
        <f t="shared" si="3"/>
        <v>12300.93</v>
      </c>
    </row>
    <row r="93" spans="1:15">
      <c r="A93" s="173" t="s">
        <v>119</v>
      </c>
      <c r="B93" s="56"/>
      <c r="C93" s="140">
        <v>13972.67</v>
      </c>
      <c r="D93" s="140"/>
      <c r="E93" s="142">
        <v>13981.9</v>
      </c>
      <c r="F93" s="106">
        <v>12784.11</v>
      </c>
      <c r="G93" s="106">
        <v>168.4</v>
      </c>
      <c r="H93" s="56">
        <v>0</v>
      </c>
      <c r="I93" s="106">
        <v>1029.3900000000001</v>
      </c>
      <c r="J93" s="143">
        <v>1008.11</v>
      </c>
      <c r="K93" s="145">
        <v>85.41</v>
      </c>
      <c r="L93" s="143">
        <v>97.46</v>
      </c>
      <c r="M93" s="145">
        <v>0</v>
      </c>
      <c r="N93" s="140">
        <f t="shared" si="2"/>
        <v>1020.1600000000001</v>
      </c>
      <c r="O93" s="140">
        <f t="shared" si="3"/>
        <v>13972.67</v>
      </c>
    </row>
    <row r="94" spans="1:15">
      <c r="A94" s="173" t="s">
        <v>120</v>
      </c>
      <c r="B94" s="56"/>
      <c r="C94" s="140">
        <v>11490.57</v>
      </c>
      <c r="D94" s="140"/>
      <c r="E94" s="142">
        <v>11574.64</v>
      </c>
      <c r="F94" s="106">
        <v>10118.56</v>
      </c>
      <c r="G94" s="106">
        <v>32.4</v>
      </c>
      <c r="H94" s="56">
        <v>0</v>
      </c>
      <c r="I94" s="106">
        <v>1423.68</v>
      </c>
      <c r="J94" s="143">
        <v>1228.3399999999999</v>
      </c>
      <c r="K94" s="145">
        <v>84.07</v>
      </c>
      <c r="L94" s="143">
        <v>195.34</v>
      </c>
      <c r="M94" s="145">
        <v>0</v>
      </c>
      <c r="N94" s="140">
        <f t="shared" si="2"/>
        <v>1339.61</v>
      </c>
      <c r="O94" s="140">
        <f t="shared" si="3"/>
        <v>11490.57</v>
      </c>
    </row>
    <row r="95" spans="1:15">
      <c r="A95" s="173" t="s">
        <v>121</v>
      </c>
      <c r="B95" s="56"/>
      <c r="C95" s="140">
        <v>18161.64</v>
      </c>
      <c r="D95" s="140"/>
      <c r="E95" s="142">
        <v>18206.2</v>
      </c>
      <c r="F95" s="106">
        <v>16664.27</v>
      </c>
      <c r="G95" s="106">
        <v>287.08999999999997</v>
      </c>
      <c r="H95" s="56">
        <v>0</v>
      </c>
      <c r="I95" s="106">
        <v>1254.8399999999999</v>
      </c>
      <c r="J95" s="143">
        <v>1082.72</v>
      </c>
      <c r="K95" s="145">
        <v>53.55</v>
      </c>
      <c r="L95" s="145">
        <v>181.11</v>
      </c>
      <c r="M95" s="145">
        <v>0</v>
      </c>
      <c r="N95" s="140">
        <f t="shared" si="2"/>
        <v>1210.2800000000002</v>
      </c>
      <c r="O95" s="140">
        <f t="shared" si="3"/>
        <v>18161.64</v>
      </c>
    </row>
    <row r="96" spans="1:15">
      <c r="A96" s="173" t="s">
        <v>122</v>
      </c>
      <c r="B96" s="56"/>
      <c r="C96" s="140">
        <v>16545.189999999999</v>
      </c>
      <c r="D96" s="140"/>
      <c r="E96" s="142">
        <v>16528.919999999998</v>
      </c>
      <c r="F96" s="106">
        <v>15152.84</v>
      </c>
      <c r="G96" s="106">
        <v>168.77</v>
      </c>
      <c r="H96" s="106">
        <v>27</v>
      </c>
      <c r="I96" s="106">
        <v>1180.31</v>
      </c>
      <c r="J96" s="143">
        <v>984.81</v>
      </c>
      <c r="K96" s="145">
        <v>60.86</v>
      </c>
      <c r="L96" s="143">
        <v>272.63</v>
      </c>
      <c r="M96" s="145">
        <v>0</v>
      </c>
      <c r="N96" s="140">
        <f t="shared" si="2"/>
        <v>1196.58</v>
      </c>
      <c r="O96" s="140">
        <f t="shared" si="3"/>
        <v>16545.190000000002</v>
      </c>
    </row>
    <row r="97" spans="1:15">
      <c r="A97" s="173" t="s">
        <v>123</v>
      </c>
      <c r="B97" s="56"/>
      <c r="C97" s="140">
        <v>12297.74</v>
      </c>
      <c r="D97" s="140"/>
      <c r="E97" s="142">
        <v>12195.73</v>
      </c>
      <c r="F97" s="106">
        <v>11186.54</v>
      </c>
      <c r="G97" s="106">
        <v>126.6</v>
      </c>
      <c r="H97" s="106">
        <v>0</v>
      </c>
      <c r="I97" s="106">
        <v>882.59</v>
      </c>
      <c r="J97" s="288">
        <v>843.46</v>
      </c>
      <c r="K97" s="289">
        <v>40.49</v>
      </c>
      <c r="L97" s="288">
        <v>181.63</v>
      </c>
      <c r="M97" s="288">
        <v>0</v>
      </c>
      <c r="N97" s="140">
        <f t="shared" si="2"/>
        <v>984.6</v>
      </c>
      <c r="O97" s="140">
        <f t="shared" si="3"/>
        <v>12297.740000000002</v>
      </c>
    </row>
    <row r="98" spans="1:15">
      <c r="A98" s="187" t="s">
        <v>124</v>
      </c>
      <c r="B98" s="118"/>
      <c r="C98" s="106">
        <v>12512.02</v>
      </c>
      <c r="D98" s="106"/>
      <c r="E98" s="142">
        <v>12515.82</v>
      </c>
      <c r="F98" s="106">
        <v>11168.75</v>
      </c>
      <c r="G98" s="106">
        <v>166.8</v>
      </c>
      <c r="H98" s="106">
        <v>0</v>
      </c>
      <c r="I98" s="106">
        <v>1180.27</v>
      </c>
      <c r="J98" s="143">
        <v>775.67</v>
      </c>
      <c r="K98" s="221">
        <v>46.08</v>
      </c>
      <c r="L98" s="221">
        <v>446.88</v>
      </c>
      <c r="M98" s="221">
        <v>0</v>
      </c>
      <c r="N98" s="106">
        <f t="shared" si="2"/>
        <v>1176.4699999999998</v>
      </c>
      <c r="O98" s="106">
        <f t="shared" si="3"/>
        <v>12512.019999999999</v>
      </c>
    </row>
    <row r="99" spans="1:15">
      <c r="A99" s="187" t="s">
        <v>125</v>
      </c>
      <c r="B99" s="118"/>
      <c r="C99" s="106">
        <v>13723.58</v>
      </c>
      <c r="D99" s="106"/>
      <c r="E99" s="142">
        <v>13715.1</v>
      </c>
      <c r="F99" s="106">
        <v>12214.28</v>
      </c>
      <c r="G99" s="106">
        <v>159.9</v>
      </c>
      <c r="H99" s="106">
        <v>0</v>
      </c>
      <c r="I99" s="106">
        <v>1340.92</v>
      </c>
      <c r="J99" s="143">
        <v>1188.6300000000001</v>
      </c>
      <c r="K99" s="221">
        <v>16.32</v>
      </c>
      <c r="L99" s="143">
        <v>177.09</v>
      </c>
      <c r="M99" s="221">
        <v>0</v>
      </c>
      <c r="N99" s="106">
        <f t="shared" si="2"/>
        <v>1349.4</v>
      </c>
      <c r="O99" s="106">
        <f t="shared" si="3"/>
        <v>13723.58</v>
      </c>
    </row>
    <row r="100" spans="1:15">
      <c r="A100" s="187" t="s">
        <v>126</v>
      </c>
      <c r="B100" s="118"/>
      <c r="C100" s="106">
        <v>10386.93</v>
      </c>
      <c r="D100" s="106"/>
      <c r="E100" s="142">
        <v>10417.25</v>
      </c>
      <c r="F100" s="173">
        <v>8805.33</v>
      </c>
      <c r="G100" s="106">
        <v>191.32</v>
      </c>
      <c r="H100" s="106">
        <v>330.67</v>
      </c>
      <c r="I100" s="106">
        <v>1089.93</v>
      </c>
      <c r="J100" s="143">
        <v>824.48</v>
      </c>
      <c r="K100" s="145">
        <v>30.32</v>
      </c>
      <c r="L100" s="143">
        <v>265.45</v>
      </c>
      <c r="M100" s="221">
        <v>0</v>
      </c>
      <c r="N100" s="106">
        <f t="shared" si="2"/>
        <v>1059.6099999999999</v>
      </c>
      <c r="O100" s="106">
        <f t="shared" si="3"/>
        <v>10386.93</v>
      </c>
    </row>
    <row r="101" spans="1:15">
      <c r="A101" s="187" t="s">
        <v>127</v>
      </c>
      <c r="B101" s="118"/>
      <c r="C101" s="106">
        <v>13643.59</v>
      </c>
      <c r="D101" s="11">
        <v>243</v>
      </c>
      <c r="E101" s="142">
        <v>13688.31</v>
      </c>
      <c r="F101" s="106">
        <v>11860.5</v>
      </c>
      <c r="G101" s="106">
        <v>26.7</v>
      </c>
      <c r="H101" s="106">
        <v>341.74</v>
      </c>
      <c r="I101" s="106">
        <v>1459.37</v>
      </c>
      <c r="J101" s="143">
        <v>1110.44</v>
      </c>
      <c r="K101" s="148">
        <v>44.72</v>
      </c>
      <c r="L101" s="145">
        <v>348.93</v>
      </c>
      <c r="M101" s="221">
        <v>0</v>
      </c>
      <c r="N101" s="106">
        <f t="shared" si="2"/>
        <v>1414.65</v>
      </c>
      <c r="O101" s="106">
        <f t="shared" si="3"/>
        <v>13643.59</v>
      </c>
    </row>
    <row r="102" spans="1:15">
      <c r="A102" s="187" t="s">
        <v>128</v>
      </c>
      <c r="B102" s="118"/>
      <c r="C102" s="142">
        <v>10566.3</v>
      </c>
      <c r="D102" s="11">
        <v>206</v>
      </c>
      <c r="E102" s="142">
        <v>10642.24</v>
      </c>
      <c r="F102" s="106">
        <v>9525.5400000000009</v>
      </c>
      <c r="G102" s="118">
        <v>0</v>
      </c>
      <c r="H102" s="106">
        <v>125.73</v>
      </c>
      <c r="I102" s="106">
        <v>990.97</v>
      </c>
      <c r="J102" s="143">
        <v>717.72</v>
      </c>
      <c r="K102" s="145">
        <v>36.65</v>
      </c>
      <c r="L102" s="143">
        <v>233.96</v>
      </c>
      <c r="M102" s="221">
        <v>0</v>
      </c>
      <c r="N102" s="106">
        <f t="shared" si="2"/>
        <v>915.03000000000009</v>
      </c>
      <c r="O102" s="106">
        <f t="shared" si="3"/>
        <v>10566.300000000001</v>
      </c>
    </row>
    <row r="103" spans="1:15">
      <c r="A103" s="187" t="s">
        <v>129</v>
      </c>
      <c r="B103" s="118"/>
      <c r="C103" s="106">
        <v>12459.64</v>
      </c>
      <c r="D103" s="11">
        <v>225</v>
      </c>
      <c r="E103" s="142">
        <v>12405.39</v>
      </c>
      <c r="F103" s="106">
        <v>11157.71</v>
      </c>
      <c r="G103" s="106">
        <v>0</v>
      </c>
      <c r="H103" s="106">
        <v>89.2</v>
      </c>
      <c r="I103" s="106">
        <v>1158.48</v>
      </c>
      <c r="J103" s="143">
        <v>970.8</v>
      </c>
      <c r="K103" s="145">
        <v>58.54</v>
      </c>
      <c r="L103" s="143">
        <v>300.47000000000003</v>
      </c>
      <c r="M103" s="221">
        <v>0</v>
      </c>
      <c r="N103" s="106">
        <f t="shared" si="2"/>
        <v>1212.73</v>
      </c>
      <c r="O103" s="106">
        <f t="shared" si="3"/>
        <v>12459.64</v>
      </c>
    </row>
    <row r="104" spans="1:15">
      <c r="A104" s="187" t="s">
        <v>130</v>
      </c>
      <c r="B104" s="118"/>
      <c r="C104" s="106">
        <v>12855.72</v>
      </c>
      <c r="D104" s="11">
        <v>237</v>
      </c>
      <c r="E104" s="142">
        <v>12896.88</v>
      </c>
      <c r="F104" s="106">
        <v>11045.27</v>
      </c>
      <c r="G104" s="106">
        <v>0</v>
      </c>
      <c r="H104" s="106">
        <v>783.83</v>
      </c>
      <c r="I104" s="106">
        <v>1067.78</v>
      </c>
      <c r="J104" s="145">
        <v>987.1</v>
      </c>
      <c r="K104" s="145">
        <v>81.96</v>
      </c>
      <c r="L104" s="143">
        <v>121.48</v>
      </c>
      <c r="M104" s="221">
        <v>0</v>
      </c>
      <c r="N104" s="106">
        <f t="shared" si="2"/>
        <v>1026.6199999999999</v>
      </c>
      <c r="O104" s="106">
        <f t="shared" si="3"/>
        <v>12855.720000000001</v>
      </c>
    </row>
    <row r="105" spans="1:15">
      <c r="A105" s="187" t="s">
        <v>131</v>
      </c>
      <c r="B105" s="118"/>
      <c r="C105" s="106">
        <v>12872.15</v>
      </c>
      <c r="D105" s="11">
        <v>242</v>
      </c>
      <c r="E105" s="142">
        <v>12639.76</v>
      </c>
      <c r="F105" s="106">
        <v>11463.17</v>
      </c>
      <c r="G105" s="106">
        <v>0</v>
      </c>
      <c r="H105" s="106">
        <v>197.88</v>
      </c>
      <c r="I105" s="106">
        <v>978.71</v>
      </c>
      <c r="J105" s="143">
        <v>877.55</v>
      </c>
      <c r="K105" s="145">
        <v>23.41</v>
      </c>
      <c r="L105" s="143">
        <v>356.96</v>
      </c>
      <c r="M105" s="221">
        <v>0</v>
      </c>
      <c r="N105" s="106">
        <f t="shared" si="2"/>
        <v>1211.0999999999999</v>
      </c>
      <c r="O105" s="106">
        <f t="shared" si="3"/>
        <v>12872.15</v>
      </c>
    </row>
    <row r="106" spans="1:15">
      <c r="A106" s="187" t="s">
        <v>132</v>
      </c>
      <c r="B106" s="118"/>
      <c r="C106" s="106">
        <v>10497</v>
      </c>
      <c r="D106" s="56">
        <v>187</v>
      </c>
      <c r="E106" s="142">
        <v>10497</v>
      </c>
      <c r="F106" s="106">
        <v>10497</v>
      </c>
      <c r="G106" s="106">
        <v>0</v>
      </c>
      <c r="H106" s="11">
        <v>0</v>
      </c>
      <c r="I106" s="118">
        <v>0</v>
      </c>
      <c r="J106" s="143">
        <v>0</v>
      </c>
      <c r="K106" s="145">
        <v>0</v>
      </c>
      <c r="L106" s="143">
        <v>0</v>
      </c>
      <c r="M106" s="221">
        <v>0</v>
      </c>
      <c r="N106" s="106">
        <f t="shared" si="2"/>
        <v>0</v>
      </c>
      <c r="O106" s="106">
        <f t="shared" si="3"/>
        <v>10497</v>
      </c>
    </row>
    <row r="107" spans="1:15">
      <c r="A107" s="187" t="s">
        <v>133</v>
      </c>
      <c r="B107" s="118"/>
      <c r="C107" s="106">
        <v>11997.6</v>
      </c>
      <c r="D107" s="11">
        <v>203</v>
      </c>
      <c r="E107" s="142">
        <v>11997.6</v>
      </c>
      <c r="F107" s="142">
        <v>11997.6</v>
      </c>
      <c r="G107" s="106">
        <v>0</v>
      </c>
      <c r="H107" s="106">
        <v>0</v>
      </c>
      <c r="I107" s="106">
        <v>0</v>
      </c>
      <c r="J107" s="143">
        <v>0</v>
      </c>
      <c r="K107" s="145">
        <v>0</v>
      </c>
      <c r="L107" s="143">
        <v>0</v>
      </c>
      <c r="M107" s="221">
        <v>0</v>
      </c>
      <c r="N107" s="106">
        <f t="shared" si="2"/>
        <v>0</v>
      </c>
      <c r="O107" s="106">
        <f t="shared" si="3"/>
        <v>11997.6</v>
      </c>
    </row>
    <row r="108" spans="1:15">
      <c r="A108" s="187" t="s">
        <v>134</v>
      </c>
      <c r="B108" s="118"/>
      <c r="C108" s="106">
        <v>8874.7800000000007</v>
      </c>
      <c r="D108" s="56">
        <v>161</v>
      </c>
      <c r="E108" s="142">
        <v>8874.7800000000007</v>
      </c>
      <c r="F108" s="142">
        <v>8874.7800000000007</v>
      </c>
      <c r="G108" s="106">
        <v>0</v>
      </c>
      <c r="H108" s="106">
        <v>0</v>
      </c>
      <c r="I108" s="106">
        <v>0</v>
      </c>
      <c r="J108" s="143">
        <v>0</v>
      </c>
      <c r="K108" s="145">
        <v>0</v>
      </c>
      <c r="L108" s="143">
        <v>0</v>
      </c>
      <c r="M108" s="221">
        <v>0</v>
      </c>
      <c r="N108" s="106">
        <f t="shared" si="2"/>
        <v>0</v>
      </c>
      <c r="O108" s="106">
        <f t="shared" si="3"/>
        <v>8874.7800000000007</v>
      </c>
    </row>
    <row r="109" spans="1:15">
      <c r="A109" s="187" t="s">
        <v>135</v>
      </c>
      <c r="B109" s="118"/>
      <c r="C109" s="106">
        <v>7867.66</v>
      </c>
      <c r="D109" s="56">
        <v>172</v>
      </c>
      <c r="E109" s="142">
        <v>7884.54</v>
      </c>
      <c r="F109" s="106">
        <v>6803.25</v>
      </c>
      <c r="G109" s="106">
        <v>16</v>
      </c>
      <c r="H109" s="106">
        <v>0</v>
      </c>
      <c r="I109" s="106">
        <v>1065.29</v>
      </c>
      <c r="J109" s="294">
        <v>857.56</v>
      </c>
      <c r="K109" s="295">
        <v>16.88</v>
      </c>
      <c r="L109" s="294">
        <v>207.73</v>
      </c>
      <c r="M109" s="221">
        <v>0</v>
      </c>
      <c r="N109" s="106">
        <f t="shared" si="2"/>
        <v>1048.4099999999999</v>
      </c>
      <c r="O109" s="106">
        <f t="shared" si="3"/>
        <v>7867.66</v>
      </c>
    </row>
    <row r="110" spans="1:15">
      <c r="A110" s="187" t="s">
        <v>136</v>
      </c>
      <c r="B110" s="118"/>
      <c r="C110" s="106">
        <v>10059.02</v>
      </c>
      <c r="D110" s="56">
        <v>192</v>
      </c>
      <c r="E110" s="142">
        <v>9851.17</v>
      </c>
      <c r="F110" s="106">
        <v>8317.36</v>
      </c>
      <c r="G110" s="11">
        <v>0</v>
      </c>
      <c r="H110" s="106">
        <v>356.07</v>
      </c>
      <c r="I110" s="106">
        <v>1177.74</v>
      </c>
      <c r="J110" s="143">
        <v>1168.2</v>
      </c>
      <c r="K110" s="145">
        <v>34.549999999999997</v>
      </c>
      <c r="L110" s="143">
        <v>251.94</v>
      </c>
      <c r="M110" s="221">
        <v>0</v>
      </c>
      <c r="N110" s="106">
        <f t="shared" si="2"/>
        <v>1385.5900000000001</v>
      </c>
      <c r="O110" s="106">
        <f t="shared" si="3"/>
        <v>10059.02</v>
      </c>
    </row>
    <row r="111" spans="1:15">
      <c r="A111" s="187" t="s">
        <v>137</v>
      </c>
      <c r="B111" s="118"/>
      <c r="C111" s="106">
        <v>10456.68</v>
      </c>
      <c r="D111" s="56">
        <v>211</v>
      </c>
      <c r="E111" s="142">
        <v>10490.45</v>
      </c>
      <c r="F111" s="106">
        <v>9252.2000000000007</v>
      </c>
      <c r="G111" s="106">
        <v>45.47</v>
      </c>
      <c r="H111" s="106">
        <v>208.17</v>
      </c>
      <c r="I111" s="106">
        <v>984.61</v>
      </c>
      <c r="J111" s="143">
        <v>749.11</v>
      </c>
      <c r="K111" s="145">
        <v>33.770000000000003</v>
      </c>
      <c r="L111" s="143">
        <v>235.5</v>
      </c>
      <c r="M111" s="221">
        <v>0</v>
      </c>
      <c r="N111" s="106">
        <f t="shared" si="2"/>
        <v>950.84</v>
      </c>
      <c r="O111" s="106">
        <f t="shared" si="3"/>
        <v>10456.68</v>
      </c>
    </row>
    <row r="112" spans="1:15">
      <c r="A112" s="187" t="s">
        <v>138</v>
      </c>
      <c r="B112" s="118"/>
      <c r="C112" s="106">
        <v>10003.530000000001</v>
      </c>
      <c r="D112" s="11">
        <v>212</v>
      </c>
      <c r="E112" s="142">
        <v>10012.74</v>
      </c>
      <c r="F112" s="141">
        <v>7883.7899999999991</v>
      </c>
      <c r="G112" s="106">
        <v>35.99</v>
      </c>
      <c r="H112" s="106">
        <v>586.67999999999995</v>
      </c>
      <c r="I112" s="106">
        <v>1506.28</v>
      </c>
      <c r="J112" s="143">
        <v>1399.07</v>
      </c>
      <c r="K112" s="145">
        <v>9.2100000000000009</v>
      </c>
      <c r="L112" s="143">
        <v>107.21</v>
      </c>
      <c r="M112" s="221">
        <v>0</v>
      </c>
      <c r="N112" s="106">
        <f t="shared" si="2"/>
        <v>1497.07</v>
      </c>
      <c r="O112" s="106">
        <f t="shared" si="3"/>
        <v>10003.529999999999</v>
      </c>
    </row>
    <row r="113" spans="1:15">
      <c r="A113" s="187" t="s">
        <v>139</v>
      </c>
      <c r="B113" s="118"/>
      <c r="C113" s="56">
        <v>13215.5</v>
      </c>
      <c r="D113" s="56">
        <v>265</v>
      </c>
      <c r="E113" s="142">
        <v>13010.99</v>
      </c>
      <c r="F113" s="106">
        <v>11562.67</v>
      </c>
      <c r="G113" s="106">
        <v>44.4</v>
      </c>
      <c r="H113" s="106">
        <v>212.86</v>
      </c>
      <c r="I113" s="106">
        <v>1191.06</v>
      </c>
      <c r="J113" s="145">
        <v>1340.97</v>
      </c>
      <c r="K113" s="145">
        <v>0</v>
      </c>
      <c r="L113" s="145">
        <v>54.6</v>
      </c>
      <c r="M113" s="221">
        <v>0</v>
      </c>
      <c r="N113" s="106">
        <f t="shared" si="2"/>
        <v>1395.57</v>
      </c>
      <c r="O113" s="106">
        <f t="shared" si="3"/>
        <v>13215.5</v>
      </c>
    </row>
    <row r="114" spans="1:15">
      <c r="A114" s="187" t="s">
        <v>140</v>
      </c>
      <c r="B114" s="118"/>
      <c r="C114" s="56">
        <v>10158.93</v>
      </c>
      <c r="D114" s="56"/>
      <c r="E114" s="187">
        <v>10020.64</v>
      </c>
      <c r="F114" s="187">
        <v>8901.7899999999991</v>
      </c>
      <c r="G114" s="187">
        <v>26.4</v>
      </c>
      <c r="H114" s="187">
        <v>218.37</v>
      </c>
      <c r="I114" s="187">
        <v>874.08</v>
      </c>
      <c r="J114" s="145">
        <v>870.6</v>
      </c>
      <c r="K114" s="145">
        <v>0</v>
      </c>
      <c r="L114" s="145">
        <v>141.77000000000001</v>
      </c>
      <c r="M114" s="221">
        <v>0</v>
      </c>
      <c r="N114" s="106">
        <f t="shared" ref="N114:N139" si="4">(J114-K114)+(L114-M114)</f>
        <v>1012.37</v>
      </c>
      <c r="O114" s="106">
        <f t="shared" ref="O114:O139" si="5">SUM(F114,G114,H114,N114)</f>
        <v>10158.93</v>
      </c>
    </row>
    <row r="115" spans="1:15">
      <c r="A115" s="187" t="s">
        <v>141</v>
      </c>
      <c r="B115" s="118"/>
      <c r="C115" s="106">
        <v>9296.11</v>
      </c>
      <c r="D115" s="187"/>
      <c r="E115" s="187">
        <v>9135.369999999999</v>
      </c>
      <c r="F115" s="187">
        <v>8370.619999999999</v>
      </c>
      <c r="G115" s="187">
        <v>18</v>
      </c>
      <c r="H115" s="187">
        <v>128.69999999999999</v>
      </c>
      <c r="I115" s="187">
        <v>618.04999999999995</v>
      </c>
      <c r="J115" s="148">
        <v>476.39</v>
      </c>
      <c r="K115" s="145">
        <v>0</v>
      </c>
      <c r="L115" s="148">
        <v>302.39999999999998</v>
      </c>
      <c r="M115" s="221">
        <v>0</v>
      </c>
      <c r="N115" s="106">
        <f t="shared" si="4"/>
        <v>778.79</v>
      </c>
      <c r="O115" s="106">
        <f t="shared" si="5"/>
        <v>9296.11</v>
      </c>
    </row>
    <row r="116" spans="1:15">
      <c r="A116" s="187" t="s">
        <v>142</v>
      </c>
      <c r="B116" s="118"/>
      <c r="C116" s="106">
        <v>11458.33</v>
      </c>
      <c r="D116" s="300">
        <v>232</v>
      </c>
      <c r="E116" s="187">
        <v>11249.53</v>
      </c>
      <c r="F116" s="187">
        <v>10368.76</v>
      </c>
      <c r="G116" s="187">
        <v>0</v>
      </c>
      <c r="H116" s="187">
        <v>356.86</v>
      </c>
      <c r="I116" s="187">
        <v>523.89</v>
      </c>
      <c r="J116" s="145">
        <v>638.65</v>
      </c>
      <c r="K116" s="145">
        <v>0</v>
      </c>
      <c r="L116" s="145">
        <v>94.06</v>
      </c>
      <c r="M116" s="221">
        <v>0</v>
      </c>
      <c r="N116" s="106">
        <f t="shared" si="4"/>
        <v>732.71</v>
      </c>
      <c r="O116" s="106">
        <f t="shared" si="5"/>
        <v>11458.330000000002</v>
      </c>
    </row>
    <row r="117" spans="1:15">
      <c r="A117" s="187" t="s">
        <v>143</v>
      </c>
      <c r="B117" s="118"/>
      <c r="C117" s="106">
        <v>9556.8799999999974</v>
      </c>
      <c r="D117" s="300" t="s">
        <v>144</v>
      </c>
      <c r="E117" s="187">
        <v>9503.7799999999988</v>
      </c>
      <c r="F117" s="187">
        <v>8134.8099999999986</v>
      </c>
      <c r="G117" s="187">
        <v>0</v>
      </c>
      <c r="H117" s="187">
        <v>473.43</v>
      </c>
      <c r="I117" s="187">
        <v>895.54</v>
      </c>
      <c r="J117" s="145">
        <v>872.76</v>
      </c>
      <c r="K117" s="145">
        <v>0</v>
      </c>
      <c r="L117" s="145">
        <v>75.88</v>
      </c>
      <c r="M117" s="221">
        <v>0</v>
      </c>
      <c r="N117" s="106">
        <f t="shared" si="4"/>
        <v>948.64</v>
      </c>
      <c r="O117" s="106">
        <f t="shared" si="5"/>
        <v>9556.8799999999974</v>
      </c>
    </row>
    <row r="118" spans="1:15">
      <c r="A118" s="187" t="s">
        <v>145</v>
      </c>
      <c r="B118" s="118"/>
      <c r="C118" s="106">
        <v>11258.8</v>
      </c>
      <c r="D118" s="300" t="s">
        <v>146</v>
      </c>
      <c r="E118" s="56">
        <v>11177.8</v>
      </c>
      <c r="F118" s="187">
        <v>9729.76</v>
      </c>
      <c r="G118" s="187">
        <v>18</v>
      </c>
      <c r="H118" s="187">
        <v>298.58</v>
      </c>
      <c r="I118" s="187">
        <v>1131.46</v>
      </c>
      <c r="J118" s="145">
        <v>934.78</v>
      </c>
      <c r="K118" s="145">
        <v>0</v>
      </c>
      <c r="L118" s="145">
        <v>277.68</v>
      </c>
      <c r="M118" s="221">
        <v>0</v>
      </c>
      <c r="N118" s="106">
        <f t="shared" si="4"/>
        <v>1212.46</v>
      </c>
      <c r="O118" s="106">
        <f t="shared" si="5"/>
        <v>11258.8</v>
      </c>
    </row>
    <row r="119" spans="1:15">
      <c r="A119" s="2" t="s">
        <v>147</v>
      </c>
      <c r="B119" s="118"/>
      <c r="C119" s="106">
        <v>10628.84</v>
      </c>
      <c r="D119" s="300" t="s">
        <v>148</v>
      </c>
      <c r="E119" s="187">
        <v>10660.61</v>
      </c>
      <c r="F119" s="187">
        <v>8845.0400000000009</v>
      </c>
      <c r="G119" s="187">
        <v>0</v>
      </c>
      <c r="H119" s="187">
        <v>386.88</v>
      </c>
      <c r="I119" s="187">
        <v>1428.69</v>
      </c>
      <c r="J119" s="145">
        <v>1125.46</v>
      </c>
      <c r="K119" s="145">
        <v>31.77</v>
      </c>
      <c r="L119" s="145">
        <v>303.23</v>
      </c>
      <c r="M119" s="221">
        <v>0</v>
      </c>
      <c r="N119" s="106">
        <f t="shared" si="4"/>
        <v>1396.92</v>
      </c>
      <c r="O119" s="106">
        <f t="shared" si="5"/>
        <v>10628.84</v>
      </c>
    </row>
    <row r="120" spans="1:15">
      <c r="A120" s="2" t="s">
        <v>149</v>
      </c>
      <c r="B120" s="56"/>
      <c r="C120" s="56">
        <v>9557.2699999999986</v>
      </c>
      <c r="D120" s="300">
        <v>213</v>
      </c>
      <c r="E120" s="187">
        <v>9596.81</v>
      </c>
      <c r="F120" s="187">
        <v>7700.5899999999992</v>
      </c>
      <c r="G120" s="187">
        <v>32.86</v>
      </c>
      <c r="H120" s="187">
        <v>378.37</v>
      </c>
      <c r="I120" s="187">
        <v>1484.99</v>
      </c>
      <c r="J120" s="145">
        <v>1090.76</v>
      </c>
      <c r="K120" s="145">
        <v>48.54</v>
      </c>
      <c r="L120" s="145">
        <v>403.23</v>
      </c>
      <c r="M120" s="221">
        <v>0</v>
      </c>
      <c r="N120" s="106">
        <f t="shared" si="4"/>
        <v>1445.45</v>
      </c>
      <c r="O120" s="106">
        <f t="shared" si="5"/>
        <v>9557.2699999999986</v>
      </c>
    </row>
    <row r="121" spans="1:15">
      <c r="A121" s="2" t="s">
        <v>150</v>
      </c>
      <c r="B121" s="118"/>
      <c r="C121" s="106">
        <v>10839.45</v>
      </c>
      <c r="D121" s="300">
        <v>231</v>
      </c>
      <c r="E121" s="187">
        <v>10964.28</v>
      </c>
      <c r="F121" s="300">
        <v>9373.59</v>
      </c>
      <c r="G121" s="187">
        <v>0</v>
      </c>
      <c r="H121" s="187">
        <v>373.48</v>
      </c>
      <c r="I121" s="187">
        <v>1217.21</v>
      </c>
      <c r="J121" s="145">
        <v>1217.21</v>
      </c>
      <c r="K121" s="145">
        <v>144.63</v>
      </c>
      <c r="L121" s="145">
        <v>19.8</v>
      </c>
      <c r="M121" s="221">
        <v>0</v>
      </c>
      <c r="N121" s="106">
        <f t="shared" si="4"/>
        <v>1092.3799999999999</v>
      </c>
      <c r="O121" s="106">
        <f t="shared" si="5"/>
        <v>10839.449999999999</v>
      </c>
    </row>
    <row r="122" spans="1:15">
      <c r="A122" s="118" t="s">
        <v>151</v>
      </c>
      <c r="B122" s="118"/>
      <c r="C122" s="106">
        <v>10098.84</v>
      </c>
      <c r="D122" s="300" t="s">
        <v>152</v>
      </c>
      <c r="E122" s="187">
        <v>10104.58</v>
      </c>
      <c r="F122" s="187">
        <v>8819.74</v>
      </c>
      <c r="G122" s="187">
        <v>0</v>
      </c>
      <c r="H122" s="187">
        <v>325.77999999999997</v>
      </c>
      <c r="I122" s="187">
        <v>959.06</v>
      </c>
      <c r="J122" s="140">
        <v>870.31</v>
      </c>
      <c r="K122" s="140">
        <v>116.46</v>
      </c>
      <c r="L122" s="140">
        <v>199.47</v>
      </c>
      <c r="M122" s="106">
        <v>0</v>
      </c>
      <c r="N122" s="106">
        <f t="shared" si="4"/>
        <v>953.31999999999994</v>
      </c>
      <c r="O122" s="106">
        <f t="shared" si="5"/>
        <v>10098.84</v>
      </c>
    </row>
    <row r="123" spans="1:15">
      <c r="A123" s="11" t="s">
        <v>153</v>
      </c>
      <c r="B123" s="118"/>
      <c r="C123" s="106">
        <v>9999.42</v>
      </c>
      <c r="D123" s="300" t="s">
        <v>146</v>
      </c>
      <c r="E123" s="187">
        <v>10081.530000000001</v>
      </c>
      <c r="F123" s="187">
        <v>8234.32</v>
      </c>
      <c r="G123" s="187">
        <v>0</v>
      </c>
      <c r="H123" s="187">
        <v>233.99</v>
      </c>
      <c r="I123" s="187">
        <v>1613.22</v>
      </c>
      <c r="J123" s="140">
        <v>1617.42</v>
      </c>
      <c r="K123" s="140">
        <v>162.81</v>
      </c>
      <c r="L123" s="140">
        <v>76.5</v>
      </c>
      <c r="M123" s="106">
        <v>0</v>
      </c>
      <c r="N123" s="106">
        <f t="shared" si="4"/>
        <v>1531.1100000000001</v>
      </c>
      <c r="O123" s="106">
        <f t="shared" si="5"/>
        <v>9999.42</v>
      </c>
    </row>
    <row r="124" spans="1:15">
      <c r="A124" s="11" t="s">
        <v>154</v>
      </c>
      <c r="B124" s="118"/>
      <c r="C124" s="106">
        <v>12495.92</v>
      </c>
      <c r="D124" s="304">
        <v>256</v>
      </c>
      <c r="E124" s="187">
        <v>12583.24</v>
      </c>
      <c r="F124" s="187">
        <v>11296.1</v>
      </c>
      <c r="G124" s="187">
        <v>99.9</v>
      </c>
      <c r="H124" s="187">
        <v>370.57</v>
      </c>
      <c r="I124" s="187">
        <v>816.67</v>
      </c>
      <c r="J124" s="140">
        <v>761.11</v>
      </c>
      <c r="K124" s="140">
        <v>47.34</v>
      </c>
      <c r="L124" s="140">
        <v>15.58</v>
      </c>
      <c r="M124" s="106">
        <v>0</v>
      </c>
      <c r="N124" s="106">
        <f t="shared" si="4"/>
        <v>729.35</v>
      </c>
      <c r="O124" s="106">
        <f t="shared" si="5"/>
        <v>12495.92</v>
      </c>
    </row>
    <row r="125" spans="1:15">
      <c r="A125" s="30" t="s">
        <v>155</v>
      </c>
      <c r="B125" s="45"/>
      <c r="C125" s="105">
        <v>15834.44</v>
      </c>
      <c r="D125" s="308" t="s">
        <v>156</v>
      </c>
      <c r="E125" s="191">
        <v>15977.27</v>
      </c>
      <c r="F125" s="191">
        <v>14098</v>
      </c>
      <c r="G125" s="191">
        <v>26.4</v>
      </c>
      <c r="H125" s="191">
        <v>447.86</v>
      </c>
      <c r="I125" s="191">
        <v>1405.01</v>
      </c>
      <c r="J125" s="309">
        <v>1321.92</v>
      </c>
      <c r="K125" s="309">
        <v>145.83000000000001</v>
      </c>
      <c r="L125" s="309">
        <v>86.09</v>
      </c>
      <c r="M125" s="105">
        <v>0</v>
      </c>
      <c r="N125" s="105">
        <f t="shared" si="4"/>
        <v>1262.18</v>
      </c>
      <c r="O125" s="105">
        <f t="shared" si="5"/>
        <v>15834.44</v>
      </c>
    </row>
    <row r="126" spans="1:15">
      <c r="A126" s="30" t="s">
        <v>157</v>
      </c>
      <c r="B126" s="45"/>
      <c r="C126" s="105">
        <v>10791.09</v>
      </c>
      <c r="D126" s="308" t="s">
        <v>158</v>
      </c>
      <c r="E126" s="109">
        <v>10864.78</v>
      </c>
      <c r="F126" s="191">
        <v>8761</v>
      </c>
      <c r="G126" s="191">
        <v>36</v>
      </c>
      <c r="H126" s="191">
        <v>533.57000000000005</v>
      </c>
      <c r="I126" s="191">
        <v>1534.21</v>
      </c>
      <c r="J126" s="309">
        <v>1434.12</v>
      </c>
      <c r="K126" s="309">
        <v>110.67</v>
      </c>
      <c r="L126" s="309">
        <v>137.07</v>
      </c>
      <c r="M126" s="105">
        <v>0</v>
      </c>
      <c r="N126" s="105">
        <f t="shared" si="4"/>
        <v>1460.5199999999998</v>
      </c>
      <c r="O126" s="105">
        <f t="shared" si="5"/>
        <v>10791.09</v>
      </c>
    </row>
    <row r="127" spans="1:15">
      <c r="A127" s="30" t="s">
        <v>159</v>
      </c>
      <c r="B127" s="45"/>
      <c r="C127" s="105">
        <v>9148.82</v>
      </c>
      <c r="D127" s="308" t="s">
        <v>160</v>
      </c>
      <c r="E127" s="191">
        <v>9272.43</v>
      </c>
      <c r="F127" s="191">
        <v>7249.5</v>
      </c>
      <c r="G127" s="191">
        <v>148.63</v>
      </c>
      <c r="H127" s="191">
        <v>352.26</v>
      </c>
      <c r="I127" s="191">
        <v>1522.04</v>
      </c>
      <c r="J127" s="309">
        <v>1409.88</v>
      </c>
      <c r="K127" s="309">
        <v>176.41</v>
      </c>
      <c r="L127" s="309">
        <v>164.96</v>
      </c>
      <c r="M127" s="105">
        <v>0</v>
      </c>
      <c r="N127" s="105">
        <f t="shared" si="4"/>
        <v>1398.43</v>
      </c>
      <c r="O127" s="105">
        <f t="shared" si="5"/>
        <v>9148.82</v>
      </c>
    </row>
    <row r="128" spans="1:15">
      <c r="A128" s="30" t="s">
        <v>161</v>
      </c>
      <c r="B128" s="45"/>
      <c r="C128" s="105">
        <v>7484.15</v>
      </c>
      <c r="D128" s="308" t="s">
        <v>162</v>
      </c>
      <c r="E128" s="191">
        <v>7035.6799999999994</v>
      </c>
      <c r="F128" s="191">
        <v>5989.3399999999992</v>
      </c>
      <c r="G128" s="191">
        <v>71.989999999999995</v>
      </c>
      <c r="H128" s="191">
        <v>211.88</v>
      </c>
      <c r="I128" s="191">
        <v>762.47</v>
      </c>
      <c r="J128" s="145">
        <v>1221.28</v>
      </c>
      <c r="K128" s="145">
        <v>64.319999999999993</v>
      </c>
      <c r="L128" s="145">
        <v>53.98</v>
      </c>
      <c r="M128" s="105">
        <v>0</v>
      </c>
      <c r="N128" s="105">
        <f t="shared" si="4"/>
        <v>1210.94</v>
      </c>
      <c r="O128" s="105">
        <f t="shared" si="5"/>
        <v>7484.15</v>
      </c>
    </row>
    <row r="129" spans="1:27">
      <c r="A129" s="30" t="s">
        <v>163</v>
      </c>
      <c r="B129" s="45"/>
      <c r="C129" s="105">
        <v>12885.71</v>
      </c>
      <c r="D129" s="300" t="s">
        <v>164</v>
      </c>
      <c r="E129" s="187">
        <v>13040.8</v>
      </c>
      <c r="F129" s="187">
        <v>10587.8</v>
      </c>
      <c r="G129" s="187">
        <v>35.1</v>
      </c>
      <c r="H129" s="187">
        <v>598.34</v>
      </c>
      <c r="I129" s="187">
        <v>1819.56</v>
      </c>
      <c r="J129" s="145">
        <v>1613.28</v>
      </c>
      <c r="K129" s="145">
        <v>173.79</v>
      </c>
      <c r="L129" s="145">
        <v>224.98</v>
      </c>
      <c r="M129" s="105">
        <v>0</v>
      </c>
      <c r="N129" s="105">
        <f t="shared" si="4"/>
        <v>1664.47</v>
      </c>
      <c r="O129" s="105">
        <f t="shared" si="5"/>
        <v>12885.71</v>
      </c>
    </row>
    <row r="130" spans="1:27">
      <c r="A130" s="30" t="s">
        <v>165</v>
      </c>
      <c r="B130" s="45"/>
      <c r="C130" s="105">
        <v>9877.1099999999988</v>
      </c>
      <c r="D130" s="300" t="s">
        <v>158</v>
      </c>
      <c r="E130" s="187">
        <v>10029.91</v>
      </c>
      <c r="F130" s="187">
        <v>7893.33</v>
      </c>
      <c r="G130" s="187">
        <v>0</v>
      </c>
      <c r="H130" s="187">
        <v>780.31</v>
      </c>
      <c r="I130" s="187">
        <v>1356.27</v>
      </c>
      <c r="J130" s="145">
        <v>1237.97</v>
      </c>
      <c r="K130" s="145">
        <v>81.3</v>
      </c>
      <c r="L130" s="145">
        <v>46.8</v>
      </c>
      <c r="M130" s="105">
        <v>0</v>
      </c>
      <c r="N130" s="105">
        <f t="shared" si="4"/>
        <v>1203.47</v>
      </c>
      <c r="O130" s="105">
        <f t="shared" si="5"/>
        <v>9877.1099999999988</v>
      </c>
    </row>
    <row r="131" spans="1:27">
      <c r="A131" s="11" t="s">
        <v>166</v>
      </c>
      <c r="B131" s="45"/>
      <c r="C131" s="105">
        <v>11815.51</v>
      </c>
      <c r="D131" s="300" t="s">
        <v>167</v>
      </c>
      <c r="E131" s="187">
        <v>11900.88</v>
      </c>
      <c r="F131" s="187">
        <v>9667.07</v>
      </c>
      <c r="G131" s="187">
        <v>0</v>
      </c>
      <c r="H131" s="187">
        <v>586.24</v>
      </c>
      <c r="I131" s="187">
        <v>1647.57</v>
      </c>
      <c r="J131" s="106">
        <v>1436.5</v>
      </c>
      <c r="K131" s="106">
        <v>194.37</v>
      </c>
      <c r="L131" s="106">
        <v>320.07</v>
      </c>
      <c r="M131" s="105">
        <v>0</v>
      </c>
      <c r="N131" s="105">
        <f t="shared" si="4"/>
        <v>1562.2</v>
      </c>
      <c r="O131" s="105">
        <f t="shared" si="5"/>
        <v>11815.51</v>
      </c>
    </row>
    <row r="132" spans="1:27">
      <c r="A132" s="11" t="s">
        <v>168</v>
      </c>
      <c r="B132" s="45"/>
      <c r="C132" s="105">
        <v>11786.08</v>
      </c>
      <c r="D132" s="300" t="s">
        <v>169</v>
      </c>
      <c r="E132" s="187">
        <v>11926.06</v>
      </c>
      <c r="F132" s="187">
        <v>10361.85</v>
      </c>
      <c r="G132" s="187">
        <v>0</v>
      </c>
      <c r="H132" s="187">
        <v>344.39</v>
      </c>
      <c r="I132" s="187">
        <v>1219.82</v>
      </c>
      <c r="J132" s="106">
        <v>1081.55</v>
      </c>
      <c r="K132" s="106">
        <v>98.28</v>
      </c>
      <c r="L132" s="106">
        <v>96.57</v>
      </c>
      <c r="M132" s="105">
        <v>0</v>
      </c>
      <c r="N132" s="105">
        <f t="shared" si="4"/>
        <v>1079.8399999999999</v>
      </c>
      <c r="O132" s="105">
        <f t="shared" si="5"/>
        <v>11786.08</v>
      </c>
    </row>
    <row r="133" spans="1:27">
      <c r="A133" s="11" t="s">
        <v>170</v>
      </c>
      <c r="B133" s="45"/>
      <c r="C133" s="105">
        <v>12567.75</v>
      </c>
      <c r="D133" s="300" t="s">
        <v>171</v>
      </c>
      <c r="E133" s="187">
        <v>12574.59</v>
      </c>
      <c r="F133" s="187">
        <v>10807.66</v>
      </c>
      <c r="G133" s="187">
        <v>0</v>
      </c>
      <c r="H133" s="187">
        <v>407.99</v>
      </c>
      <c r="I133" s="187">
        <v>1358.94</v>
      </c>
      <c r="J133" s="106">
        <v>1270.1500000000001</v>
      </c>
      <c r="K133" s="106">
        <v>48.54</v>
      </c>
      <c r="L133" s="106">
        <v>130.49</v>
      </c>
      <c r="M133" s="309">
        <v>0</v>
      </c>
      <c r="N133" s="105">
        <f t="shared" si="4"/>
        <v>1352.1000000000001</v>
      </c>
      <c r="O133" s="105">
        <f t="shared" si="5"/>
        <v>12567.75</v>
      </c>
    </row>
    <row r="134" spans="1:27">
      <c r="A134" s="11" t="s">
        <v>172</v>
      </c>
      <c r="B134" s="45"/>
      <c r="C134" s="105">
        <v>17936.73</v>
      </c>
      <c r="D134" s="300" t="s">
        <v>173</v>
      </c>
      <c r="E134" s="187">
        <v>18019.79</v>
      </c>
      <c r="F134" s="187">
        <v>15784.69</v>
      </c>
      <c r="G134" s="187">
        <v>90</v>
      </c>
      <c r="H134" s="187">
        <v>578.51</v>
      </c>
      <c r="I134" s="187">
        <v>1566.59</v>
      </c>
      <c r="J134" s="106">
        <v>1265.6500000000001</v>
      </c>
      <c r="K134" s="106">
        <v>157.02000000000001</v>
      </c>
      <c r="L134" s="106">
        <v>374.9</v>
      </c>
      <c r="M134" s="105">
        <v>0</v>
      </c>
      <c r="N134" s="105">
        <f t="shared" si="4"/>
        <v>1483.5300000000002</v>
      </c>
      <c r="O134" s="105">
        <f t="shared" si="5"/>
        <v>17936.73</v>
      </c>
    </row>
    <row r="135" spans="1:27">
      <c r="A135" s="11" t="s">
        <v>174</v>
      </c>
      <c r="B135" s="45"/>
      <c r="C135" s="105">
        <v>21368.16</v>
      </c>
      <c r="D135" s="300" t="s">
        <v>175</v>
      </c>
      <c r="E135" s="187">
        <v>21494.82</v>
      </c>
      <c r="F135" s="187">
        <v>19213.18</v>
      </c>
      <c r="G135" s="187">
        <v>0</v>
      </c>
      <c r="H135" s="187">
        <v>696.74</v>
      </c>
      <c r="I135" s="187">
        <v>1584.9</v>
      </c>
      <c r="J135" s="106">
        <v>1321.58</v>
      </c>
      <c r="K135" s="106">
        <v>126.66</v>
      </c>
      <c r="L135" s="106">
        <v>263.32</v>
      </c>
      <c r="M135" s="105">
        <v>0</v>
      </c>
      <c r="N135" s="105">
        <f t="shared" si="4"/>
        <v>1458.2399999999998</v>
      </c>
      <c r="O135" s="105">
        <f t="shared" si="5"/>
        <v>21368.160000000003</v>
      </c>
    </row>
    <row r="136" spans="1:27">
      <c r="A136" s="11" t="s">
        <v>176</v>
      </c>
      <c r="B136" s="45"/>
      <c r="C136" s="105">
        <v>24661.29</v>
      </c>
      <c r="D136" s="300" t="s">
        <v>177</v>
      </c>
      <c r="E136" s="187">
        <v>24820.5</v>
      </c>
      <c r="F136" s="187">
        <v>22041.38</v>
      </c>
      <c r="G136" s="187">
        <v>0</v>
      </c>
      <c r="H136" s="187">
        <v>531.52</v>
      </c>
      <c r="I136" s="187">
        <v>2247.6</v>
      </c>
      <c r="J136" s="312">
        <v>2039.85</v>
      </c>
      <c r="K136" s="106">
        <v>159.21</v>
      </c>
      <c r="L136" s="118">
        <v>207.75</v>
      </c>
      <c r="M136" s="105">
        <v>0</v>
      </c>
      <c r="N136" s="105">
        <f t="shared" si="4"/>
        <v>2088.39</v>
      </c>
      <c r="O136" s="105">
        <f t="shared" si="5"/>
        <v>24661.29</v>
      </c>
    </row>
    <row r="137" spans="1:27">
      <c r="A137" s="11" t="s">
        <v>178</v>
      </c>
      <c r="B137" s="45"/>
      <c r="C137" s="105">
        <v>11848.11</v>
      </c>
      <c r="D137" s="300" t="s">
        <v>179</v>
      </c>
      <c r="E137" s="187">
        <v>12053.93</v>
      </c>
      <c r="F137" s="187">
        <v>9212.0299999999988</v>
      </c>
      <c r="G137" s="187">
        <v>311.2</v>
      </c>
      <c r="H137" s="187">
        <v>775.18</v>
      </c>
      <c r="I137" s="187">
        <v>1755.52</v>
      </c>
      <c r="J137" s="106">
        <v>1476.57</v>
      </c>
      <c r="K137" s="106">
        <v>189.01</v>
      </c>
      <c r="L137" s="106">
        <v>262.14</v>
      </c>
      <c r="M137" s="105">
        <v>0</v>
      </c>
      <c r="N137" s="105">
        <f t="shared" si="4"/>
        <v>1549.6999999999998</v>
      </c>
      <c r="O137" s="105">
        <f t="shared" si="5"/>
        <v>11848.11</v>
      </c>
    </row>
    <row r="138" spans="1:27">
      <c r="A138" s="11" t="s">
        <v>180</v>
      </c>
      <c r="B138" s="45"/>
      <c r="C138" s="105">
        <v>12740.16</v>
      </c>
      <c r="D138" s="300" t="s">
        <v>181</v>
      </c>
      <c r="E138" s="187">
        <v>13012.3</v>
      </c>
      <c r="F138" s="187">
        <v>10563.23</v>
      </c>
      <c r="G138" s="187">
        <v>0</v>
      </c>
      <c r="H138" s="187">
        <v>531.34</v>
      </c>
      <c r="I138" s="187">
        <v>1917.73</v>
      </c>
      <c r="J138" s="106">
        <v>1447.83</v>
      </c>
      <c r="K138" s="106">
        <v>161.61000000000001</v>
      </c>
      <c r="L138" s="106">
        <v>359.37</v>
      </c>
      <c r="M138" s="105">
        <v>0</v>
      </c>
      <c r="N138" s="105">
        <f t="shared" si="4"/>
        <v>1645.5899999999997</v>
      </c>
      <c r="O138" s="105">
        <f t="shared" si="5"/>
        <v>12740.16</v>
      </c>
    </row>
    <row r="139" spans="1:27">
      <c r="A139" s="2" t="s">
        <v>182</v>
      </c>
      <c r="B139" s="45"/>
      <c r="C139" s="105">
        <v>11206.32</v>
      </c>
      <c r="D139" s="319" t="s">
        <v>183</v>
      </c>
      <c r="E139" s="318">
        <v>11284.56</v>
      </c>
      <c r="F139" s="318">
        <v>8914.17</v>
      </c>
      <c r="G139" s="318">
        <v>0</v>
      </c>
      <c r="H139" s="318">
        <v>417</v>
      </c>
      <c r="I139" s="318">
        <v>1953.39</v>
      </c>
      <c r="J139" s="106">
        <v>1824.77</v>
      </c>
      <c r="K139" s="106">
        <v>161.4</v>
      </c>
      <c r="L139" s="106">
        <v>211.78</v>
      </c>
      <c r="M139" s="105">
        <v>0</v>
      </c>
      <c r="N139" s="105">
        <f t="shared" si="4"/>
        <v>1875.1499999999999</v>
      </c>
      <c r="O139" s="105">
        <f t="shared" si="5"/>
        <v>11206.32</v>
      </c>
    </row>
    <row r="140" spans="1:27">
      <c r="A140" s="11" t="s">
        <v>184</v>
      </c>
      <c r="B140" s="45"/>
      <c r="C140" s="105">
        <v>11891.16</v>
      </c>
      <c r="D140" s="323" t="s">
        <v>185</v>
      </c>
      <c r="E140" s="324">
        <v>11963.28</v>
      </c>
      <c r="F140" s="324">
        <v>9875.2099999999991</v>
      </c>
      <c r="G140" s="324">
        <v>105.99</v>
      </c>
      <c r="H140" s="324">
        <v>424.15</v>
      </c>
      <c r="I140" s="324">
        <v>1557.93</v>
      </c>
      <c r="J140" s="106">
        <v>1335.86</v>
      </c>
      <c r="K140" s="106">
        <v>142.22999999999999</v>
      </c>
      <c r="L140" s="106">
        <v>292.18</v>
      </c>
      <c r="M140" s="105">
        <v>0</v>
      </c>
      <c r="N140" s="105">
        <v>1485.81</v>
      </c>
      <c r="O140" s="105">
        <v>11891.16</v>
      </c>
    </row>
    <row r="141" spans="1:27">
      <c r="A141" s="11" t="s">
        <v>186</v>
      </c>
      <c r="B141" s="45"/>
      <c r="C141" s="105">
        <v>11986.83</v>
      </c>
      <c r="D141" s="323" t="s">
        <v>187</v>
      </c>
      <c r="E141" s="324">
        <v>12053.58</v>
      </c>
      <c r="F141" s="324">
        <v>9987.25</v>
      </c>
      <c r="G141" s="324">
        <v>57.8</v>
      </c>
      <c r="H141" s="324">
        <v>511.5</v>
      </c>
      <c r="I141" s="324">
        <v>1497.03</v>
      </c>
      <c r="J141" s="106">
        <v>1287.17</v>
      </c>
      <c r="K141" s="106">
        <v>105.75</v>
      </c>
      <c r="L141" s="106">
        <v>248.86</v>
      </c>
      <c r="M141" s="105">
        <v>0</v>
      </c>
      <c r="N141" s="105">
        <f t="shared" ref="N141:N146" si="6">(J141-K141)+(L141-M141)</f>
        <v>1430.2800000000002</v>
      </c>
      <c r="O141" s="105">
        <f t="shared" ref="O141:O146" si="7">SUM(F141,G141,H141,N141)</f>
        <v>11986.83</v>
      </c>
    </row>
    <row r="142" spans="1:27">
      <c r="A142" s="191" t="s">
        <v>188</v>
      </c>
      <c r="B142" s="45"/>
      <c r="C142" s="105">
        <v>11275.7</v>
      </c>
      <c r="D142" s="323" t="s">
        <v>189</v>
      </c>
      <c r="E142" s="324">
        <v>11409.86</v>
      </c>
      <c r="F142" s="324">
        <v>9045.7200000000012</v>
      </c>
      <c r="G142" s="324">
        <v>0</v>
      </c>
      <c r="H142" s="324">
        <v>495.73</v>
      </c>
      <c r="I142" s="324">
        <v>1868.41</v>
      </c>
      <c r="J142" s="338" t="s">
        <v>190</v>
      </c>
      <c r="K142" s="338" t="s">
        <v>191</v>
      </c>
      <c r="L142" s="324">
        <v>375.02</v>
      </c>
      <c r="M142" s="324">
        <v>0</v>
      </c>
      <c r="N142" s="105">
        <f t="shared" si="6"/>
        <v>1734.25</v>
      </c>
      <c r="O142" s="105">
        <f t="shared" si="7"/>
        <v>11275.7</v>
      </c>
      <c r="P142" s="324"/>
      <c r="Q142" s="324"/>
      <c r="R142" s="324"/>
      <c r="S142" s="324"/>
      <c r="T142" s="324"/>
      <c r="U142" s="324"/>
      <c r="V142" s="324"/>
      <c r="W142" s="324"/>
      <c r="X142" s="324"/>
      <c r="Y142" s="324"/>
      <c r="Z142" s="324"/>
      <c r="AA142" s="324"/>
    </row>
    <row r="143" spans="1:27">
      <c r="A143" s="191" t="s">
        <v>192</v>
      </c>
      <c r="B143" s="45"/>
      <c r="C143" s="105">
        <v>12649.28</v>
      </c>
      <c r="D143" s="323">
        <v>269</v>
      </c>
      <c r="E143" s="324">
        <v>12647.28</v>
      </c>
      <c r="F143" s="324">
        <v>10834.43</v>
      </c>
      <c r="G143" s="324">
        <v>18</v>
      </c>
      <c r="H143" s="324">
        <v>361.52</v>
      </c>
      <c r="I143" s="324">
        <v>1433.33</v>
      </c>
      <c r="J143" s="324">
        <v>492.74</v>
      </c>
      <c r="K143" s="324">
        <v>0</v>
      </c>
      <c r="L143" s="324">
        <v>942.59</v>
      </c>
      <c r="M143" s="324">
        <v>0</v>
      </c>
      <c r="N143" s="105">
        <f t="shared" si="6"/>
        <v>1435.33</v>
      </c>
      <c r="O143" s="105">
        <f t="shared" si="7"/>
        <v>12649.28</v>
      </c>
      <c r="P143" s="324"/>
      <c r="Q143" s="324"/>
      <c r="R143" s="324"/>
      <c r="S143" s="324"/>
      <c r="T143" s="324"/>
      <c r="U143" s="324"/>
      <c r="V143" s="324"/>
      <c r="W143" s="324"/>
      <c r="X143" s="324"/>
      <c r="Y143" s="324"/>
      <c r="Z143" s="324"/>
      <c r="AA143" s="324"/>
    </row>
    <row r="144" spans="1:27">
      <c r="A144" s="346" t="s">
        <v>193</v>
      </c>
      <c r="B144" s="347"/>
      <c r="C144" s="348">
        <v>15271.56</v>
      </c>
      <c r="D144" s="323">
        <v>306</v>
      </c>
      <c r="E144" s="324">
        <v>15377.86</v>
      </c>
      <c r="F144" s="324">
        <v>13450.59</v>
      </c>
      <c r="G144" s="324">
        <v>0</v>
      </c>
      <c r="H144" s="324">
        <v>563.27</v>
      </c>
      <c r="I144" s="324">
        <v>1364</v>
      </c>
      <c r="J144" s="336">
        <v>948.26</v>
      </c>
      <c r="K144" s="336">
        <v>26.01</v>
      </c>
      <c r="L144" s="335">
        <v>335.45</v>
      </c>
      <c r="M144" s="324">
        <v>0</v>
      </c>
      <c r="N144" s="105">
        <f t="shared" si="6"/>
        <v>1257.7</v>
      </c>
      <c r="O144" s="105">
        <f t="shared" si="7"/>
        <v>15271.560000000001</v>
      </c>
      <c r="P144" s="324"/>
      <c r="Q144" s="324"/>
      <c r="R144" s="324"/>
      <c r="S144" s="324"/>
      <c r="T144" s="324"/>
      <c r="U144" s="324"/>
      <c r="V144" s="324"/>
      <c r="W144" s="324"/>
      <c r="X144" s="324"/>
      <c r="Y144" s="324"/>
      <c r="Z144" s="324"/>
      <c r="AA144" s="324"/>
    </row>
    <row r="145" spans="1:27" ht="27.6" customHeight="1">
      <c r="A145" s="346" t="s">
        <v>194</v>
      </c>
      <c r="B145" s="347"/>
      <c r="C145" s="348">
        <v>13083.73</v>
      </c>
      <c r="D145" s="323">
        <v>267</v>
      </c>
      <c r="E145" s="324">
        <v>13075.63</v>
      </c>
      <c r="F145" s="324">
        <v>10730.67</v>
      </c>
      <c r="G145" s="324">
        <v>31.49</v>
      </c>
      <c r="H145" s="324">
        <v>712.56</v>
      </c>
      <c r="I145" s="324">
        <v>1600.91</v>
      </c>
      <c r="J145" s="338">
        <v>1293.21</v>
      </c>
      <c r="K145" s="336">
        <v>0</v>
      </c>
      <c r="L145" s="335">
        <v>315.8</v>
      </c>
      <c r="M145" s="324">
        <v>0</v>
      </c>
      <c r="N145" s="105">
        <f t="shared" si="6"/>
        <v>1609.01</v>
      </c>
      <c r="O145" s="105">
        <f t="shared" si="7"/>
        <v>13083.73</v>
      </c>
      <c r="P145" s="324"/>
      <c r="Q145" s="324"/>
      <c r="R145" s="324"/>
      <c r="S145" s="324"/>
      <c r="T145" s="324"/>
      <c r="U145" s="324"/>
      <c r="V145" s="324"/>
      <c r="W145" s="324"/>
      <c r="X145" s="324"/>
      <c r="Y145" s="324"/>
      <c r="Z145" s="324"/>
      <c r="AA145" s="324"/>
    </row>
    <row r="146" spans="1:27" ht="27.6" customHeight="1">
      <c r="A146" s="346" t="s">
        <v>482</v>
      </c>
      <c r="B146" s="347"/>
      <c r="C146" s="348">
        <v>18667.329999999998</v>
      </c>
      <c r="D146" s="323">
        <v>309</v>
      </c>
      <c r="E146" s="324">
        <v>18841.12</v>
      </c>
      <c r="F146" s="324">
        <v>16017.92</v>
      </c>
      <c r="G146" s="324">
        <v>109.16</v>
      </c>
      <c r="H146" s="324">
        <v>604.27</v>
      </c>
      <c r="I146" s="324">
        <v>2109.77</v>
      </c>
      <c r="J146" s="338" t="s">
        <v>483</v>
      </c>
      <c r="K146" s="338" t="s">
        <v>484</v>
      </c>
      <c r="L146" s="339" t="s">
        <v>485</v>
      </c>
      <c r="M146" s="324">
        <v>0</v>
      </c>
      <c r="N146" s="105">
        <f t="shared" si="6"/>
        <v>1935.98</v>
      </c>
      <c r="O146" s="105">
        <f t="shared" si="7"/>
        <v>18667.329999999998</v>
      </c>
      <c r="P146" s="324"/>
      <c r="Q146" s="324"/>
      <c r="R146" s="324"/>
      <c r="S146" s="324"/>
      <c r="T146" s="324"/>
      <c r="U146" s="324"/>
      <c r="V146" s="324"/>
      <c r="W146" s="324"/>
      <c r="X146" s="324"/>
      <c r="Y146" s="324"/>
      <c r="Z146" s="324"/>
      <c r="AA146" s="324"/>
    </row>
    <row r="147" spans="1:27" ht="27.6" customHeight="1">
      <c r="A147" s="346"/>
      <c r="B147" s="347"/>
      <c r="C147" s="348"/>
      <c r="D147" s="323"/>
      <c r="E147" s="324"/>
      <c r="F147" s="324"/>
      <c r="G147" s="324"/>
      <c r="H147" s="324"/>
      <c r="I147" s="324"/>
      <c r="J147" s="338"/>
      <c r="K147" s="336"/>
      <c r="L147" s="335"/>
      <c r="M147" s="324"/>
      <c r="N147" s="105"/>
      <c r="O147" s="105"/>
      <c r="P147" s="324"/>
      <c r="Q147" s="324"/>
      <c r="R147" s="324"/>
      <c r="S147" s="324"/>
      <c r="T147" s="324"/>
      <c r="U147" s="324"/>
      <c r="V147" s="324"/>
      <c r="W147" s="324"/>
      <c r="X147" s="324"/>
      <c r="Y147" s="324"/>
      <c r="Z147" s="324"/>
      <c r="AA147" s="324"/>
    </row>
    <row r="148" spans="1:27" ht="27.6" customHeight="1">
      <c r="A148" s="346"/>
      <c r="B148" s="347"/>
      <c r="C148" s="348"/>
      <c r="D148" s="323"/>
      <c r="E148" s="324"/>
      <c r="F148" s="324"/>
      <c r="G148" s="324"/>
      <c r="H148" s="324"/>
      <c r="I148" s="324"/>
      <c r="J148" s="336"/>
      <c r="K148" s="336"/>
      <c r="L148" s="335"/>
      <c r="M148" s="324"/>
      <c r="N148" s="105"/>
      <c r="O148" s="105"/>
      <c r="P148" s="324"/>
      <c r="Q148" s="324"/>
      <c r="R148" s="324"/>
      <c r="S148" s="324"/>
      <c r="T148" s="324"/>
      <c r="U148" s="324"/>
      <c r="V148" s="324"/>
      <c r="W148" s="324"/>
      <c r="X148" s="324"/>
      <c r="Y148" s="324"/>
      <c r="Z148" s="324"/>
      <c r="AA148" s="324"/>
    </row>
    <row r="149" spans="1:27" ht="27.6" customHeight="1">
      <c r="A149" s="45" t="s">
        <v>195</v>
      </c>
      <c r="B149" s="327"/>
      <c r="C149" s="326"/>
      <c r="D149" s="45"/>
      <c r="E149" s="45"/>
      <c r="F149" s="105"/>
      <c r="G149" s="45"/>
      <c r="H149" s="45"/>
      <c r="I149" s="45"/>
      <c r="J149" s="45"/>
      <c r="K149" s="105"/>
      <c r="L149" s="105"/>
      <c r="M149" s="105"/>
      <c r="N149" s="45"/>
      <c r="O149" s="45"/>
    </row>
    <row r="150" spans="1:27" ht="27.6">
      <c r="A150" s="30" t="s">
        <v>0</v>
      </c>
      <c r="B150" s="45"/>
      <c r="C150" s="30" t="s">
        <v>1</v>
      </c>
      <c r="D150" s="30"/>
      <c r="E150" s="30"/>
      <c r="F150" s="105"/>
      <c r="G150" s="105"/>
      <c r="H150" s="45"/>
      <c r="I150" s="45"/>
      <c r="J150" s="45"/>
      <c r="K150" s="105"/>
      <c r="L150" s="105"/>
      <c r="M150" s="105"/>
      <c r="N150" s="45"/>
      <c r="O150" s="45"/>
    </row>
    <row r="151" spans="1:27">
      <c r="A151" s="11" t="s">
        <v>174</v>
      </c>
      <c r="B151" s="56"/>
      <c r="C151" s="105">
        <v>21368.16</v>
      </c>
      <c r="D151" s="56"/>
      <c r="E151" s="56"/>
      <c r="F151" s="173"/>
      <c r="G151" s="56"/>
      <c r="H151" s="56"/>
      <c r="I151" s="56"/>
      <c r="J151" s="56"/>
      <c r="K151" s="56"/>
      <c r="L151" s="56"/>
      <c r="M151" s="56"/>
      <c r="N151" s="56"/>
      <c r="O151" s="56"/>
    </row>
    <row r="152" spans="1:27">
      <c r="A152" s="11" t="s">
        <v>176</v>
      </c>
      <c r="B152" s="56"/>
      <c r="C152" s="105">
        <v>24661.29</v>
      </c>
      <c r="D152" s="56"/>
      <c r="E152" s="56"/>
      <c r="F152" s="173"/>
      <c r="G152" s="56"/>
      <c r="H152" s="56"/>
      <c r="I152" s="56"/>
      <c r="J152" s="56"/>
      <c r="K152" s="56"/>
      <c r="L152" s="56"/>
      <c r="M152" s="56"/>
      <c r="N152" s="56"/>
      <c r="O152" s="56"/>
    </row>
    <row r="153" spans="1:27">
      <c r="A153" s="11" t="s">
        <v>178</v>
      </c>
      <c r="B153" s="56"/>
      <c r="C153" s="56">
        <v>11848.11</v>
      </c>
      <c r="D153" s="56"/>
      <c r="E153" s="56"/>
      <c r="F153" s="173"/>
      <c r="G153" s="56"/>
      <c r="H153" s="56"/>
      <c r="I153" s="56"/>
      <c r="J153" s="56"/>
      <c r="K153" s="56"/>
      <c r="L153" s="56"/>
      <c r="M153" s="56"/>
      <c r="N153" s="56"/>
      <c r="O153" s="56"/>
    </row>
    <row r="154" spans="1:27">
      <c r="A154" s="11" t="s">
        <v>180</v>
      </c>
      <c r="B154" s="56"/>
      <c r="C154" s="105">
        <v>12740.16</v>
      </c>
      <c r="D154" s="56"/>
      <c r="E154" s="56"/>
      <c r="F154" s="173"/>
      <c r="G154" s="56"/>
      <c r="H154" s="56"/>
      <c r="I154" s="56"/>
      <c r="J154" s="56"/>
      <c r="K154" s="56"/>
      <c r="L154" s="56"/>
      <c r="M154" s="56"/>
      <c r="N154" s="56"/>
      <c r="O154" s="56"/>
    </row>
    <row r="155" spans="1:27">
      <c r="A155" s="2" t="s">
        <v>182</v>
      </c>
      <c r="B155" s="45"/>
      <c r="C155" s="105">
        <v>11206.32</v>
      </c>
    </row>
    <row r="156" spans="1:27">
      <c r="A156" s="11" t="s">
        <v>184</v>
      </c>
      <c r="B156" s="45"/>
      <c r="C156" s="105">
        <v>11891.16</v>
      </c>
    </row>
    <row r="157" spans="1:27">
      <c r="A157" s="11" t="s">
        <v>186</v>
      </c>
      <c r="B157" s="45"/>
      <c r="C157" s="105">
        <v>11986.83</v>
      </c>
    </row>
    <row r="158" spans="1:27">
      <c r="A158" s="191" t="s">
        <v>188</v>
      </c>
      <c r="B158" s="45"/>
      <c r="C158" s="105">
        <v>11275.7</v>
      </c>
    </row>
    <row r="159" spans="1:27">
      <c r="A159" s="191" t="s">
        <v>192</v>
      </c>
      <c r="B159" s="45"/>
      <c r="C159" s="105">
        <v>12649.28</v>
      </c>
    </row>
    <row r="160" spans="1:27">
      <c r="A160" s="346" t="s">
        <v>193</v>
      </c>
      <c r="B160" s="347"/>
      <c r="C160" s="348">
        <v>15271.56</v>
      </c>
    </row>
    <row r="161" spans="1:3">
      <c r="A161" s="346" t="s">
        <v>194</v>
      </c>
      <c r="B161" s="347"/>
      <c r="C161" s="348">
        <v>13083.73</v>
      </c>
    </row>
    <row r="162" spans="1:3">
      <c r="A162" s="346" t="s">
        <v>482</v>
      </c>
      <c r="B162" s="347"/>
      <c r="C162" s="348">
        <v>18667.329999999998</v>
      </c>
    </row>
  </sheetData>
  <mergeCells count="3">
    <mergeCell ref="G1:H1"/>
    <mergeCell ref="I1:J1"/>
    <mergeCell ref="K1:L1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61"/>
  <sheetViews>
    <sheetView topLeftCell="A63" workbookViewId="0">
      <pane ySplit="8" topLeftCell="A134" activePane="bottomLeft" state="frozen"/>
      <selection activeCell="A63" sqref="A63"/>
      <selection pane="bottomLeft" activeCell="E156" sqref="E156"/>
    </sheetView>
  </sheetViews>
  <sheetFormatPr defaultColWidth="9.109375" defaultRowHeight="17.399999999999999"/>
  <cols>
    <col min="1" max="1" width="31.109375" style="287" customWidth="1"/>
    <col min="2" max="2" width="9.109375" style="177" customWidth="1"/>
    <col min="3" max="3" width="39.88671875" style="287" customWidth="1"/>
    <col min="4" max="4" width="15.5546875" style="287" customWidth="1"/>
    <col min="5" max="5" width="22.44140625" style="287" customWidth="1"/>
    <col min="6" max="6" width="18" style="177" customWidth="1"/>
    <col min="7" max="7" width="14.109375" style="177" customWidth="1"/>
    <col min="8" max="8" width="23.6640625" style="177" customWidth="1"/>
    <col min="9" max="9" width="18.109375" style="177" customWidth="1"/>
    <col min="10" max="10" width="16.6640625" style="177" customWidth="1"/>
    <col min="11" max="11" width="17.5546875" style="177" customWidth="1"/>
    <col min="12" max="12" width="17.33203125" style="177" customWidth="1"/>
    <col min="13" max="13" width="19.44140625" style="177" customWidth="1"/>
    <col min="14" max="14" width="14.109375" style="177" customWidth="1"/>
    <col min="15" max="15" width="15.88671875" style="177" customWidth="1"/>
    <col min="16" max="18" width="9.109375" style="177" customWidth="1"/>
    <col min="19" max="16384" width="9.109375" style="177"/>
  </cols>
  <sheetData>
    <row r="1" spans="1:15" ht="33.75" customHeight="1">
      <c r="A1" s="256" t="s">
        <v>0</v>
      </c>
      <c r="B1" s="257"/>
      <c r="C1" s="258" t="s">
        <v>1</v>
      </c>
      <c r="D1" s="259"/>
      <c r="E1" s="259"/>
      <c r="H1" s="369">
        <v>2021</v>
      </c>
      <c r="I1" s="365"/>
      <c r="J1" s="260"/>
      <c r="K1" s="368">
        <v>2023</v>
      </c>
      <c r="L1" s="364"/>
      <c r="M1" s="364"/>
      <c r="N1" s="364"/>
      <c r="O1" s="365"/>
    </row>
    <row r="2" spans="1:15" ht="34.950000000000003" customHeight="1">
      <c r="A2" s="262" t="s">
        <v>2</v>
      </c>
      <c r="B2" s="257"/>
      <c r="C2" s="262">
        <v>18907.64</v>
      </c>
      <c r="D2" s="263"/>
      <c r="E2" s="263"/>
      <c r="H2" s="179" t="s">
        <v>3</v>
      </c>
      <c r="I2" s="264">
        <v>74079.490000000005</v>
      </c>
      <c r="J2" s="264">
        <v>87281.23</v>
      </c>
      <c r="K2" s="179" t="s">
        <v>3</v>
      </c>
      <c r="L2" s="179"/>
      <c r="M2" s="179"/>
      <c r="N2" s="264">
        <v>69403.69</v>
      </c>
      <c r="O2" s="260"/>
    </row>
    <row r="3" spans="1:15" ht="34.950000000000003" customHeight="1">
      <c r="A3" s="262" t="s">
        <v>4</v>
      </c>
      <c r="B3" s="180"/>
      <c r="C3" s="262">
        <v>16117.29</v>
      </c>
      <c r="D3" s="263"/>
      <c r="E3" s="263"/>
      <c r="H3" s="179" t="s">
        <v>5</v>
      </c>
      <c r="I3" s="264">
        <v>68100.95</v>
      </c>
      <c r="J3" s="264">
        <v>63034.51</v>
      </c>
      <c r="K3" s="179" t="s">
        <v>5</v>
      </c>
      <c r="L3" s="179"/>
      <c r="M3" s="179"/>
      <c r="N3" s="264">
        <v>62943.14</v>
      </c>
      <c r="O3" s="264">
        <v>384</v>
      </c>
    </row>
    <row r="4" spans="1:15" ht="34.950000000000003" customHeight="1">
      <c r="A4" s="262" t="s">
        <v>6</v>
      </c>
      <c r="B4" s="257"/>
      <c r="C4" s="262">
        <v>13973.31</v>
      </c>
      <c r="D4" s="263"/>
      <c r="E4" s="263"/>
      <c r="H4" s="179" t="s">
        <v>7</v>
      </c>
      <c r="I4" s="264">
        <v>77326.19</v>
      </c>
      <c r="J4" s="264">
        <v>64569.19</v>
      </c>
      <c r="K4" s="179" t="s">
        <v>7</v>
      </c>
      <c r="L4" s="179"/>
      <c r="M4" s="179"/>
      <c r="N4" s="264">
        <v>69917.17</v>
      </c>
      <c r="O4" s="264">
        <v>6412.27</v>
      </c>
    </row>
    <row r="5" spans="1:15" ht="34.950000000000003" customHeight="1">
      <c r="A5" s="262" t="s">
        <v>8</v>
      </c>
      <c r="B5" s="257"/>
      <c r="C5" s="262">
        <v>15058.21</v>
      </c>
      <c r="D5" s="263"/>
      <c r="E5" s="263"/>
      <c r="H5" s="179" t="s">
        <v>9</v>
      </c>
      <c r="I5" s="264">
        <v>74335</v>
      </c>
      <c r="J5" s="264">
        <v>66704.55</v>
      </c>
      <c r="K5" s="179" t="s">
        <v>9</v>
      </c>
      <c r="L5" s="179"/>
      <c r="M5" s="179"/>
      <c r="N5" s="264">
        <v>85521.5</v>
      </c>
      <c r="O5" s="264">
        <v>3821.88</v>
      </c>
    </row>
    <row r="6" spans="1:15" ht="34.950000000000003" customHeight="1">
      <c r="A6" s="262" t="s">
        <v>10</v>
      </c>
      <c r="B6" s="257"/>
      <c r="C6" s="262">
        <v>14752.34</v>
      </c>
      <c r="D6" s="263"/>
      <c r="E6" s="263"/>
      <c r="H6" s="179" t="s">
        <v>11</v>
      </c>
      <c r="I6" s="264">
        <v>101590.8</v>
      </c>
      <c r="J6" s="264">
        <v>86171.39</v>
      </c>
      <c r="K6" s="179" t="s">
        <v>11</v>
      </c>
      <c r="L6" s="179"/>
      <c r="M6" s="179"/>
      <c r="N6" s="264">
        <v>78013.100000000006</v>
      </c>
      <c r="O6" s="264">
        <v>4152</v>
      </c>
    </row>
    <row r="7" spans="1:15" ht="34.950000000000003" customHeight="1">
      <c r="A7" s="262" t="s">
        <v>12</v>
      </c>
      <c r="B7" s="257"/>
      <c r="C7" s="262">
        <v>16461.740000000002</v>
      </c>
      <c r="D7" s="263"/>
      <c r="E7" s="263"/>
      <c r="H7" s="179" t="s">
        <v>13</v>
      </c>
      <c r="I7" s="264">
        <v>77714.7</v>
      </c>
      <c r="J7" s="264">
        <v>78073.55</v>
      </c>
      <c r="K7" s="179" t="s">
        <v>13</v>
      </c>
      <c r="L7" s="179"/>
      <c r="M7" s="179"/>
      <c r="N7" s="264">
        <v>88939.31</v>
      </c>
      <c r="O7" s="264">
        <v>2856</v>
      </c>
    </row>
    <row r="8" spans="1:15" ht="34.950000000000003" customHeight="1">
      <c r="A8" s="262" t="s">
        <v>14</v>
      </c>
      <c r="B8" s="257"/>
      <c r="C8" s="262">
        <v>15751.3</v>
      </c>
      <c r="D8" s="263"/>
      <c r="E8" s="263"/>
      <c r="H8" s="179" t="s">
        <v>15</v>
      </c>
      <c r="I8" s="264">
        <v>91085.51</v>
      </c>
      <c r="J8" s="264">
        <v>98373.87</v>
      </c>
      <c r="K8" s="179" t="s">
        <v>15</v>
      </c>
      <c r="L8" s="179"/>
      <c r="M8" s="179"/>
      <c r="N8" s="264">
        <v>95569.19</v>
      </c>
      <c r="O8" s="264">
        <v>2237.6</v>
      </c>
    </row>
    <row r="9" spans="1:15" ht="34.950000000000003" customHeight="1">
      <c r="A9" s="262" t="s">
        <v>16</v>
      </c>
      <c r="B9" s="257"/>
      <c r="C9" s="262">
        <v>14944.6</v>
      </c>
      <c r="D9" s="263"/>
      <c r="E9" s="263"/>
      <c r="H9" s="179" t="s">
        <v>17</v>
      </c>
      <c r="I9" s="264">
        <v>80633.19</v>
      </c>
      <c r="J9" s="264">
        <v>77958.509999999995</v>
      </c>
      <c r="K9" s="179" t="s">
        <v>17</v>
      </c>
      <c r="L9" s="179"/>
      <c r="M9" s="179"/>
      <c r="N9" s="264">
        <v>83798.179999999993</v>
      </c>
      <c r="O9" s="264">
        <v>4480</v>
      </c>
    </row>
    <row r="10" spans="1:15" ht="34.950000000000003" customHeight="1">
      <c r="A10" s="262" t="s">
        <v>18</v>
      </c>
      <c r="B10" s="257"/>
      <c r="C10" s="262">
        <v>15238.49</v>
      </c>
      <c r="D10" s="263"/>
      <c r="E10" s="263"/>
      <c r="H10" s="179" t="s">
        <v>19</v>
      </c>
      <c r="I10" s="264">
        <v>75143.44</v>
      </c>
      <c r="J10" s="264">
        <v>76305.52</v>
      </c>
      <c r="K10" s="179" t="s">
        <v>19</v>
      </c>
      <c r="L10" s="179"/>
      <c r="M10" s="179"/>
      <c r="N10" s="264">
        <v>68745.39</v>
      </c>
      <c r="O10" s="264">
        <v>3384</v>
      </c>
    </row>
    <row r="11" spans="1:15" ht="34.950000000000003" customHeight="1">
      <c r="A11" s="262" t="s">
        <v>20</v>
      </c>
      <c r="B11" s="257"/>
      <c r="C11" s="262">
        <v>16537.96</v>
      </c>
      <c r="D11" s="263"/>
      <c r="E11" s="263"/>
      <c r="H11" s="179" t="s">
        <v>21</v>
      </c>
      <c r="I11" s="264">
        <v>83713.460000000006</v>
      </c>
      <c r="J11" s="264">
        <v>82557.77</v>
      </c>
      <c r="K11" s="179" t="s">
        <v>21</v>
      </c>
      <c r="L11" s="179"/>
      <c r="M11" s="179"/>
      <c r="N11" s="264">
        <v>67822.850000000006</v>
      </c>
      <c r="O11" s="264">
        <v>3832</v>
      </c>
    </row>
    <row r="12" spans="1:15" ht="34.950000000000003" customHeight="1">
      <c r="A12" s="262" t="s">
        <v>22</v>
      </c>
      <c r="B12" s="257"/>
      <c r="C12" s="262">
        <v>16254.22</v>
      </c>
      <c r="D12" s="263"/>
      <c r="E12" s="263"/>
      <c r="H12" s="179" t="s">
        <v>23</v>
      </c>
      <c r="I12" s="264">
        <v>70757.440000000002</v>
      </c>
      <c r="J12" s="264">
        <v>76685.89</v>
      </c>
      <c r="K12" s="179" t="s">
        <v>23</v>
      </c>
      <c r="L12" s="179"/>
      <c r="M12" s="179"/>
      <c r="N12" s="260"/>
      <c r="O12" s="260"/>
    </row>
    <row r="13" spans="1:15" ht="34.950000000000003" customHeight="1">
      <c r="A13" s="262" t="s">
        <v>24</v>
      </c>
      <c r="B13" s="257"/>
      <c r="C13" s="262">
        <v>16419.73</v>
      </c>
      <c r="D13" s="263"/>
      <c r="E13" s="263"/>
      <c r="H13" s="179" t="s">
        <v>25</v>
      </c>
      <c r="I13" s="264">
        <v>92026.07</v>
      </c>
      <c r="J13" s="264">
        <v>84136.76</v>
      </c>
      <c r="K13" s="179" t="s">
        <v>25</v>
      </c>
      <c r="L13" s="179"/>
      <c r="M13" s="179"/>
      <c r="N13" s="260"/>
      <c r="O13" s="260"/>
    </row>
    <row r="14" spans="1:15" ht="34.950000000000003" customHeight="1">
      <c r="A14" s="262" t="s">
        <v>26</v>
      </c>
      <c r="B14" s="257"/>
      <c r="C14" s="262">
        <v>16688.439999999999</v>
      </c>
      <c r="D14" s="263"/>
      <c r="E14" s="263"/>
    </row>
    <row r="15" spans="1:15" ht="34.950000000000003" customHeight="1">
      <c r="A15" s="262" t="s">
        <v>27</v>
      </c>
      <c r="B15" s="257"/>
      <c r="C15" s="262">
        <v>14806.91</v>
      </c>
      <c r="D15" s="263"/>
      <c r="E15" s="263"/>
    </row>
    <row r="16" spans="1:15">
      <c r="A16" s="262"/>
      <c r="B16" s="257"/>
      <c r="C16" s="262"/>
      <c r="D16" s="263"/>
      <c r="E16" s="263"/>
    </row>
    <row r="17" spans="1:5" ht="34.950000000000003" customHeight="1">
      <c r="A17" s="262" t="s">
        <v>28</v>
      </c>
      <c r="B17" s="257"/>
      <c r="C17" s="262">
        <v>14923.3</v>
      </c>
      <c r="D17" s="263"/>
      <c r="E17" s="263"/>
    </row>
    <row r="18" spans="1:5" ht="34.950000000000003" customHeight="1">
      <c r="A18" s="262" t="s">
        <v>29</v>
      </c>
      <c r="B18" s="257"/>
      <c r="C18" s="262">
        <v>14084.19</v>
      </c>
      <c r="D18" s="263"/>
      <c r="E18" s="263"/>
    </row>
    <row r="19" spans="1:5" ht="34.950000000000003" customHeight="1">
      <c r="A19" s="262" t="s">
        <v>30</v>
      </c>
      <c r="B19" s="257"/>
      <c r="C19" s="262">
        <v>17814.62</v>
      </c>
      <c r="D19" s="263"/>
      <c r="E19" s="263"/>
    </row>
    <row r="20" spans="1:5" ht="34.950000000000003" customHeight="1">
      <c r="A20" s="262" t="s">
        <v>31</v>
      </c>
      <c r="B20" s="257"/>
      <c r="C20" s="262">
        <v>19192.27</v>
      </c>
      <c r="D20" s="263"/>
      <c r="E20" s="263"/>
    </row>
    <row r="21" spans="1:5">
      <c r="A21" s="262" t="s">
        <v>32</v>
      </c>
      <c r="B21" s="257"/>
      <c r="C21" s="262">
        <v>14988.73</v>
      </c>
      <c r="D21" s="263"/>
      <c r="E21" s="263"/>
    </row>
    <row r="22" spans="1:5">
      <c r="A22" s="262" t="s">
        <v>33</v>
      </c>
      <c r="B22" s="257"/>
      <c r="C22" s="262">
        <v>10837.15</v>
      </c>
      <c r="D22" s="263"/>
      <c r="E22" s="263"/>
    </row>
    <row r="23" spans="1:5">
      <c r="A23" s="262" t="s">
        <v>34</v>
      </c>
      <c r="B23" s="257"/>
      <c r="C23" s="262">
        <v>13313.4</v>
      </c>
      <c r="D23" s="263"/>
      <c r="E23" s="263"/>
    </row>
    <row r="24" spans="1:5">
      <c r="A24" s="262" t="s">
        <v>35</v>
      </c>
      <c r="B24" s="257"/>
      <c r="C24" s="262">
        <v>12023.55</v>
      </c>
      <c r="D24" s="263"/>
      <c r="E24" s="263"/>
    </row>
    <row r="25" spans="1:5">
      <c r="A25" s="262" t="s">
        <v>36</v>
      </c>
      <c r="B25" s="261"/>
      <c r="C25" s="265">
        <v>11182.05</v>
      </c>
      <c r="D25" s="266"/>
      <c r="E25" s="266"/>
    </row>
    <row r="26" spans="1:5">
      <c r="A26" s="262" t="s">
        <v>37</v>
      </c>
      <c r="B26" s="261"/>
      <c r="C26" s="265">
        <v>10837.15</v>
      </c>
      <c r="D26" s="266"/>
      <c r="E26" s="266"/>
    </row>
    <row r="27" spans="1:5">
      <c r="A27" s="262" t="s">
        <v>38</v>
      </c>
      <c r="B27" s="260"/>
      <c r="C27" s="267">
        <v>12977.32</v>
      </c>
      <c r="D27" s="263"/>
      <c r="E27" s="263"/>
    </row>
    <row r="28" spans="1:5">
      <c r="A28" s="262" t="s">
        <v>39</v>
      </c>
      <c r="B28" s="257"/>
      <c r="C28" s="265">
        <v>12146.72</v>
      </c>
      <c r="D28" s="266"/>
      <c r="E28" s="266"/>
    </row>
    <row r="29" spans="1:5">
      <c r="A29" s="268" t="s">
        <v>40</v>
      </c>
      <c r="B29" s="257"/>
      <c r="C29" s="265">
        <v>11214.76</v>
      </c>
      <c r="D29" s="266"/>
      <c r="E29" s="266"/>
    </row>
    <row r="30" spans="1:5">
      <c r="A30" s="268" t="s">
        <v>41</v>
      </c>
      <c r="B30" s="257"/>
      <c r="C30" s="265">
        <v>10915</v>
      </c>
      <c r="D30" s="266"/>
      <c r="E30" s="266"/>
    </row>
    <row r="31" spans="1:5">
      <c r="A31" s="268" t="s">
        <v>42</v>
      </c>
      <c r="B31" s="257"/>
      <c r="C31" s="265">
        <v>8179.19</v>
      </c>
      <c r="D31" s="266"/>
      <c r="E31" s="266"/>
    </row>
    <row r="32" spans="1:5">
      <c r="A32" s="268" t="s">
        <v>43</v>
      </c>
      <c r="B32" s="257"/>
      <c r="C32" s="265">
        <v>10051.15</v>
      </c>
      <c r="D32" s="266"/>
      <c r="E32" s="266"/>
    </row>
    <row r="33" spans="1:5">
      <c r="A33" s="268" t="s">
        <v>44</v>
      </c>
      <c r="B33" s="257"/>
      <c r="C33" s="265">
        <v>11877.6</v>
      </c>
      <c r="D33" s="266"/>
      <c r="E33" s="266"/>
    </row>
    <row r="34" spans="1:5">
      <c r="A34" s="262" t="s">
        <v>45</v>
      </c>
      <c r="B34" s="257"/>
      <c r="C34" s="265">
        <v>13819.18</v>
      </c>
      <c r="D34" s="266"/>
      <c r="E34" s="266"/>
    </row>
    <row r="35" spans="1:5">
      <c r="A35" s="262" t="s">
        <v>46</v>
      </c>
      <c r="B35" s="257"/>
      <c r="C35" s="265">
        <v>17167.810000000001</v>
      </c>
      <c r="D35" s="266"/>
      <c r="E35" s="266"/>
    </row>
    <row r="36" spans="1:5">
      <c r="A36" s="262" t="s">
        <v>47</v>
      </c>
      <c r="B36" s="257"/>
      <c r="C36" s="265">
        <v>12071.78</v>
      </c>
      <c r="D36" s="266"/>
      <c r="E36" s="266"/>
    </row>
    <row r="37" spans="1:5">
      <c r="A37" s="262" t="s">
        <v>48</v>
      </c>
      <c r="B37" s="257"/>
      <c r="C37" s="265">
        <v>12881.57</v>
      </c>
      <c r="D37" s="266"/>
      <c r="E37" s="266"/>
    </row>
    <row r="38" spans="1:5">
      <c r="A38" s="262" t="s">
        <v>49</v>
      </c>
      <c r="B38" s="257"/>
      <c r="C38" s="265">
        <v>12673.64</v>
      </c>
      <c r="D38" s="266"/>
      <c r="E38" s="266"/>
    </row>
    <row r="39" spans="1:5">
      <c r="A39" s="267" t="s">
        <v>50</v>
      </c>
      <c r="B39" s="269"/>
      <c r="C39" s="270">
        <v>15152.23</v>
      </c>
      <c r="D39" s="266"/>
      <c r="E39" s="266"/>
    </row>
    <row r="40" spans="1:5">
      <c r="A40" s="267" t="s">
        <v>51</v>
      </c>
      <c r="B40" s="269"/>
      <c r="C40" s="270">
        <v>14598.85</v>
      </c>
      <c r="D40" s="266"/>
      <c r="E40" s="266"/>
    </row>
    <row r="41" spans="1:5" ht="34.950000000000003" customHeight="1">
      <c r="A41" s="262" t="s">
        <v>52</v>
      </c>
      <c r="B41" s="257"/>
      <c r="C41" s="271" t="s">
        <v>196</v>
      </c>
      <c r="D41" s="272"/>
      <c r="E41" s="272"/>
    </row>
    <row r="42" spans="1:5">
      <c r="A42" s="262" t="s">
        <v>53</v>
      </c>
      <c r="B42" s="261"/>
      <c r="C42" s="273">
        <v>15801.56</v>
      </c>
      <c r="D42" s="274"/>
      <c r="E42" s="274"/>
    </row>
    <row r="43" spans="1:5">
      <c r="A43" s="262" t="s">
        <v>54</v>
      </c>
      <c r="B43" s="275"/>
      <c r="C43" s="276">
        <v>13718.57</v>
      </c>
      <c r="D43" s="274"/>
      <c r="E43" s="274"/>
    </row>
    <row r="44" spans="1:5">
      <c r="A44" s="262" t="s">
        <v>55</v>
      </c>
      <c r="B44" s="275"/>
      <c r="C44" s="276">
        <v>16076.79</v>
      </c>
      <c r="D44" s="274"/>
      <c r="E44" s="274"/>
    </row>
    <row r="45" spans="1:5">
      <c r="A45" s="267" t="s">
        <v>56</v>
      </c>
      <c r="B45" s="277"/>
      <c r="C45" s="273">
        <v>16021.38</v>
      </c>
      <c r="D45" s="274"/>
      <c r="E45" s="274"/>
    </row>
    <row r="46" spans="1:5">
      <c r="A46" s="267" t="s">
        <v>57</v>
      </c>
      <c r="B46" s="178"/>
      <c r="C46" s="273">
        <v>16792.57</v>
      </c>
      <c r="D46" s="274"/>
      <c r="E46" s="274"/>
    </row>
    <row r="47" spans="1:5">
      <c r="A47" s="262" t="s">
        <v>58</v>
      </c>
      <c r="B47" s="173"/>
      <c r="C47" s="276">
        <v>17314.169999999998</v>
      </c>
      <c r="D47" s="274"/>
      <c r="E47" s="274"/>
    </row>
    <row r="48" spans="1:5">
      <c r="A48" s="267" t="s">
        <v>59</v>
      </c>
      <c r="B48" s="178"/>
      <c r="C48" s="273">
        <v>15062.86</v>
      </c>
      <c r="D48" s="274"/>
      <c r="E48" s="274"/>
    </row>
    <row r="49" spans="1:5">
      <c r="A49" s="267" t="s">
        <v>60</v>
      </c>
      <c r="B49" s="178"/>
      <c r="C49" s="273">
        <f>14363.75+1000</f>
        <v>15363.75</v>
      </c>
      <c r="D49" s="274"/>
      <c r="E49" s="274"/>
    </row>
    <row r="50" spans="1:5">
      <c r="A50" s="278" t="s">
        <v>61</v>
      </c>
      <c r="B50" s="178"/>
      <c r="C50" s="273">
        <v>15367.46</v>
      </c>
      <c r="D50" s="274"/>
      <c r="E50" s="274"/>
    </row>
    <row r="51" spans="1:5">
      <c r="A51" s="179" t="s">
        <v>62</v>
      </c>
      <c r="B51" s="173"/>
      <c r="C51" s="276">
        <v>16876.78</v>
      </c>
      <c r="D51" s="274"/>
      <c r="E51" s="274"/>
    </row>
    <row r="52" spans="1:5">
      <c r="A52" s="279" t="s">
        <v>63</v>
      </c>
      <c r="B52" s="178"/>
      <c r="C52" s="273">
        <v>16542.52</v>
      </c>
      <c r="D52" s="274"/>
      <c r="E52" s="274"/>
    </row>
    <row r="53" spans="1:5">
      <c r="A53" s="179" t="s">
        <v>64</v>
      </c>
      <c r="B53" s="173"/>
      <c r="C53" s="276">
        <v>15998.15</v>
      </c>
      <c r="D53" s="274"/>
      <c r="E53" s="274"/>
    </row>
    <row r="54" spans="1:5" ht="14.4" customHeight="1">
      <c r="A54" s="279" t="s">
        <v>65</v>
      </c>
      <c r="B54" s="178"/>
      <c r="C54" s="280">
        <v>14843.19</v>
      </c>
      <c r="D54" s="281"/>
      <c r="E54" s="281"/>
    </row>
    <row r="55" spans="1:5" ht="14.4" customHeight="1">
      <c r="A55" s="179" t="s">
        <v>66</v>
      </c>
      <c r="B55" s="173"/>
      <c r="C55" s="187">
        <v>16321.93</v>
      </c>
      <c r="D55" s="281"/>
      <c r="E55" s="281"/>
    </row>
    <row r="56" spans="1:5" ht="14.4" customHeight="1">
      <c r="A56" s="279" t="s">
        <v>67</v>
      </c>
      <c r="B56" s="178"/>
      <c r="C56" s="280">
        <v>14169.96</v>
      </c>
      <c r="D56" s="281"/>
      <c r="E56" s="281"/>
    </row>
    <row r="57" spans="1:5" ht="14.4" customHeight="1">
      <c r="A57" s="179" t="s">
        <v>68</v>
      </c>
      <c r="B57" s="173"/>
      <c r="C57" s="187">
        <v>15887.78</v>
      </c>
      <c r="D57" s="281"/>
      <c r="E57" s="281"/>
    </row>
    <row r="58" spans="1:5" ht="14.4" customHeight="1">
      <c r="A58" s="179" t="s">
        <v>69</v>
      </c>
      <c r="B58" s="173"/>
      <c r="C58" s="187">
        <v>13026.28</v>
      </c>
      <c r="D58" s="281"/>
      <c r="E58" s="281"/>
    </row>
    <row r="59" spans="1:5" ht="14.4" customHeight="1">
      <c r="A59" s="179" t="s">
        <v>70</v>
      </c>
      <c r="B59" s="173"/>
      <c r="C59" s="187">
        <v>14420.09</v>
      </c>
      <c r="D59" s="281"/>
      <c r="E59" s="281"/>
    </row>
    <row r="60" spans="1:5" ht="14.4" customHeight="1">
      <c r="A60" s="179" t="s">
        <v>71</v>
      </c>
      <c r="B60" s="173"/>
      <c r="C60" s="187">
        <v>14926.92</v>
      </c>
      <c r="D60" s="281"/>
      <c r="E60" s="281"/>
    </row>
    <row r="61" spans="1:5" ht="14.4" customHeight="1">
      <c r="A61" s="179" t="s">
        <v>72</v>
      </c>
      <c r="B61" s="173"/>
      <c r="C61" s="187">
        <v>14709.53</v>
      </c>
      <c r="D61" s="281"/>
      <c r="E61" s="281"/>
    </row>
    <row r="62" spans="1:5" ht="14.4" customHeight="1">
      <c r="A62" s="179" t="s">
        <v>73</v>
      </c>
      <c r="B62" s="173"/>
      <c r="C62" s="187">
        <v>16819.7</v>
      </c>
      <c r="D62" s="281"/>
      <c r="E62" s="281"/>
    </row>
    <row r="63" spans="1:5" ht="14.4" customHeight="1">
      <c r="A63" s="179" t="s">
        <v>74</v>
      </c>
      <c r="B63" s="173"/>
      <c r="C63" s="187">
        <v>14491.27</v>
      </c>
      <c r="D63" s="281"/>
      <c r="E63" s="281"/>
    </row>
    <row r="64" spans="1:5" ht="14.4" customHeight="1">
      <c r="A64" s="179" t="s">
        <v>75</v>
      </c>
      <c r="B64" s="173"/>
      <c r="C64" s="187">
        <v>12463.06</v>
      </c>
      <c r="D64" s="281"/>
      <c r="E64" s="281"/>
    </row>
    <row r="65" spans="1:14" ht="14.4" customHeight="1">
      <c r="A65" s="179" t="s">
        <v>76</v>
      </c>
      <c r="B65" s="173"/>
      <c r="C65" s="187">
        <v>13104.97</v>
      </c>
      <c r="D65" s="281"/>
      <c r="E65" s="281"/>
    </row>
    <row r="66" spans="1:14" ht="15" customHeight="1" thickBot="1">
      <c r="A66" s="179" t="s">
        <v>77</v>
      </c>
      <c r="B66" s="173"/>
      <c r="C66" s="187">
        <v>12458.71</v>
      </c>
      <c r="D66" s="281"/>
      <c r="E66" s="281"/>
    </row>
    <row r="67" spans="1:14" ht="18" customHeight="1" thickBot="1">
      <c r="A67" s="179" t="s">
        <v>78</v>
      </c>
      <c r="B67" s="173"/>
      <c r="C67" s="187">
        <v>12487.38</v>
      </c>
      <c r="D67" s="281"/>
      <c r="E67" s="281"/>
      <c r="H67" s="282"/>
      <c r="I67" s="283"/>
    </row>
    <row r="68" spans="1:14" ht="18" customHeight="1" thickBot="1">
      <c r="A68" s="179" t="s">
        <v>79</v>
      </c>
      <c r="B68" s="173"/>
      <c r="C68" s="187">
        <v>14655.04</v>
      </c>
      <c r="D68" s="281"/>
      <c r="E68" s="281"/>
      <c r="H68" s="284"/>
      <c r="I68" s="283"/>
    </row>
    <row r="69" spans="1:14">
      <c r="A69" s="279" t="s">
        <v>85</v>
      </c>
      <c r="B69" s="178"/>
      <c r="C69" s="280">
        <v>13708.62</v>
      </c>
      <c r="D69" s="281"/>
      <c r="E69" s="281"/>
      <c r="H69" s="285"/>
      <c r="I69" s="286"/>
    </row>
    <row r="70" spans="1:14" ht="14.4" customHeight="1">
      <c r="A70" s="179" t="s">
        <v>86</v>
      </c>
      <c r="B70" s="173"/>
      <c r="C70" s="187">
        <v>16310.34</v>
      </c>
      <c r="D70" s="187" t="s">
        <v>100</v>
      </c>
      <c r="E70" s="187" t="s">
        <v>101</v>
      </c>
      <c r="F70" s="173" t="s">
        <v>80</v>
      </c>
      <c r="G70" s="173" t="s">
        <v>81</v>
      </c>
      <c r="H70" s="173" t="s">
        <v>82</v>
      </c>
      <c r="I70" s="173" t="s">
        <v>83</v>
      </c>
      <c r="J70" s="173" t="s">
        <v>197</v>
      </c>
      <c r="K70" s="173" t="s">
        <v>198</v>
      </c>
      <c r="L70" s="173" t="s">
        <v>199</v>
      </c>
      <c r="M70" s="173" t="s">
        <v>200</v>
      </c>
      <c r="N70" s="173" t="s">
        <v>201</v>
      </c>
    </row>
    <row r="71" spans="1:14" ht="14.4" customHeight="1">
      <c r="A71" s="179" t="s">
        <v>87</v>
      </c>
      <c r="B71" s="173"/>
      <c r="C71" s="187">
        <v>17615.419999999998</v>
      </c>
      <c r="D71" s="187"/>
      <c r="E71" s="187"/>
      <c r="F71" s="173"/>
      <c r="G71" s="173"/>
      <c r="H71" s="173"/>
      <c r="I71" s="173"/>
      <c r="J71" s="173"/>
      <c r="K71" s="173"/>
      <c r="L71" s="173"/>
      <c r="M71" s="173"/>
      <c r="N71" s="173"/>
    </row>
    <row r="72" spans="1:14" ht="14.4" customHeight="1">
      <c r="A72" s="179" t="s">
        <v>88</v>
      </c>
      <c r="B72" s="173"/>
      <c r="C72" s="187">
        <v>21769.94</v>
      </c>
      <c r="D72" s="187"/>
      <c r="E72" s="187"/>
      <c r="F72" s="173"/>
      <c r="G72" s="173">
        <v>396.9</v>
      </c>
      <c r="H72" s="173">
        <v>339.49</v>
      </c>
      <c r="I72" s="173">
        <v>2630.08</v>
      </c>
      <c r="J72" s="173"/>
      <c r="K72" s="173"/>
      <c r="L72" s="173"/>
      <c r="M72" s="173"/>
      <c r="N72" s="173"/>
    </row>
    <row r="73" spans="1:14" ht="14.4" customHeight="1">
      <c r="A73" s="179" t="s">
        <v>89</v>
      </c>
      <c r="B73" s="173"/>
      <c r="C73" s="187">
        <v>17723.830000000002</v>
      </c>
      <c r="D73" s="187"/>
      <c r="E73" s="187"/>
      <c r="F73" s="173"/>
      <c r="G73" s="173">
        <v>71.959999999999994</v>
      </c>
      <c r="H73" s="173">
        <v>468.65</v>
      </c>
      <c r="I73" s="173">
        <v>1724.06</v>
      </c>
      <c r="J73" s="173"/>
      <c r="K73" s="173"/>
      <c r="L73" s="173"/>
      <c r="M73" s="173"/>
      <c r="N73" s="173"/>
    </row>
    <row r="74" spans="1:14" ht="14.4" customHeight="1">
      <c r="A74" s="179" t="s">
        <v>90</v>
      </c>
      <c r="B74" s="173"/>
      <c r="C74" s="187">
        <v>13819.59</v>
      </c>
      <c r="D74" s="187"/>
      <c r="E74" s="187"/>
      <c r="F74" s="173"/>
      <c r="G74" s="173"/>
      <c r="H74" s="173"/>
      <c r="I74" s="173"/>
      <c r="J74" s="173"/>
      <c r="K74" s="173"/>
      <c r="L74" s="173"/>
      <c r="M74" s="173"/>
      <c r="N74" s="173"/>
    </row>
    <row r="75" spans="1:14" ht="14.4" customHeight="1">
      <c r="A75" s="179" t="s">
        <v>93</v>
      </c>
      <c r="B75" s="173"/>
      <c r="C75" s="173">
        <f t="shared" ref="C75:C106" si="0">SUM(F75,G75,H75,N75)</f>
        <v>17437.22</v>
      </c>
      <c r="D75" s="173"/>
      <c r="E75" s="173"/>
      <c r="F75" s="187">
        <v>14797.45</v>
      </c>
      <c r="G75" s="187">
        <v>138.55000000000001</v>
      </c>
      <c r="H75" s="187">
        <v>549.91</v>
      </c>
      <c r="I75" s="173">
        <v>2238.2399999999998</v>
      </c>
      <c r="J75" s="192">
        <v>2246.27</v>
      </c>
      <c r="K75" s="188">
        <v>294.95999999999998</v>
      </c>
      <c r="L75" s="188"/>
      <c r="M75" s="188"/>
      <c r="N75" s="173">
        <f t="shared" ref="N75:N114" si="1">(J75-K75)</f>
        <v>1951.31</v>
      </c>
    </row>
    <row r="76" spans="1:14" ht="14.4" customHeight="1">
      <c r="A76" s="179" t="s">
        <v>94</v>
      </c>
      <c r="B76" s="173"/>
      <c r="C76" s="173">
        <f t="shared" si="0"/>
        <v>13915.09</v>
      </c>
      <c r="D76" s="173"/>
      <c r="E76" s="173"/>
      <c r="F76" s="173">
        <v>11263.85</v>
      </c>
      <c r="G76" s="173">
        <v>35</v>
      </c>
      <c r="H76" s="173">
        <v>480.57</v>
      </c>
      <c r="I76" s="173">
        <v>2568.5500000000002</v>
      </c>
      <c r="J76" s="192">
        <v>2568.5500000000002</v>
      </c>
      <c r="K76" s="192">
        <v>432.88</v>
      </c>
      <c r="L76" s="192"/>
      <c r="M76" s="192"/>
      <c r="N76" s="173">
        <f t="shared" si="1"/>
        <v>2135.67</v>
      </c>
    </row>
    <row r="77" spans="1:14" ht="14.4" customHeight="1">
      <c r="A77" s="179" t="s">
        <v>95</v>
      </c>
      <c r="B77" s="173"/>
      <c r="C77" s="173">
        <f t="shared" si="0"/>
        <v>14768.12</v>
      </c>
      <c r="D77" s="173"/>
      <c r="E77" s="173"/>
      <c r="F77" s="173">
        <v>12102.9</v>
      </c>
      <c r="G77" s="173">
        <v>89.28</v>
      </c>
      <c r="H77" s="173">
        <v>454.7</v>
      </c>
      <c r="I77" s="173">
        <v>2514.6</v>
      </c>
      <c r="J77" s="192">
        <v>2539.7800000000002</v>
      </c>
      <c r="K77" s="192">
        <v>418.54</v>
      </c>
      <c r="L77" s="192"/>
      <c r="M77" s="192"/>
      <c r="N77" s="173">
        <f t="shared" si="1"/>
        <v>2121.2400000000002</v>
      </c>
    </row>
    <row r="78" spans="1:14" ht="14.4" customHeight="1">
      <c r="A78" s="179" t="s">
        <v>96</v>
      </c>
      <c r="B78" s="173"/>
      <c r="C78" s="173">
        <f t="shared" si="0"/>
        <v>13793.78</v>
      </c>
      <c r="D78" s="173"/>
      <c r="E78" s="173"/>
      <c r="F78" s="173">
        <v>10274.77</v>
      </c>
      <c r="G78" s="173">
        <v>195.67</v>
      </c>
      <c r="H78" s="173">
        <v>599.59</v>
      </c>
      <c r="I78" s="173">
        <v>3203.38</v>
      </c>
      <c r="J78" s="192">
        <v>3150.61</v>
      </c>
      <c r="K78" s="192">
        <v>426.86</v>
      </c>
      <c r="L78" s="192"/>
      <c r="M78" s="192"/>
      <c r="N78" s="173">
        <f t="shared" si="1"/>
        <v>2723.75</v>
      </c>
    </row>
    <row r="79" spans="1:14" ht="14.4" customHeight="1">
      <c r="A79" s="179" t="s">
        <v>97</v>
      </c>
      <c r="B79" s="173"/>
      <c r="C79" s="173">
        <f t="shared" si="0"/>
        <v>12803.800000000001</v>
      </c>
      <c r="D79" s="173"/>
      <c r="E79" s="173"/>
      <c r="F79" s="173">
        <v>10539.78</v>
      </c>
      <c r="G79" s="173">
        <v>234.24</v>
      </c>
      <c r="H79" s="173">
        <v>187.04</v>
      </c>
      <c r="I79" s="173">
        <v>2082.29</v>
      </c>
      <c r="J79" s="188">
        <v>2170.1</v>
      </c>
      <c r="K79" s="192">
        <v>327.36</v>
      </c>
      <c r="L79" s="192"/>
      <c r="M79" s="192"/>
      <c r="N79" s="173">
        <f t="shared" si="1"/>
        <v>1842.7399999999998</v>
      </c>
    </row>
    <row r="80" spans="1:14" ht="14.4" customHeight="1">
      <c r="A80" s="179" t="s">
        <v>98</v>
      </c>
      <c r="B80" s="173"/>
      <c r="C80" s="173">
        <f t="shared" si="0"/>
        <v>17889.5</v>
      </c>
      <c r="D80" s="173"/>
      <c r="E80" s="173"/>
      <c r="F80" s="187">
        <v>15612.65</v>
      </c>
      <c r="G80" s="187">
        <v>126.49</v>
      </c>
      <c r="H80" s="187">
        <v>204.9</v>
      </c>
      <c r="I80" s="187">
        <v>2375.33</v>
      </c>
      <c r="J80" s="188">
        <v>2375.33</v>
      </c>
      <c r="K80" s="192">
        <v>429.87</v>
      </c>
      <c r="L80" s="192"/>
      <c r="M80" s="192"/>
      <c r="N80" s="173">
        <f t="shared" si="1"/>
        <v>1945.46</v>
      </c>
    </row>
    <row r="81" spans="1:14" ht="14.4" customHeight="1">
      <c r="A81" s="179" t="s">
        <v>99</v>
      </c>
      <c r="B81" s="173"/>
      <c r="C81" s="173">
        <f t="shared" si="0"/>
        <v>11635.75</v>
      </c>
      <c r="D81" s="173"/>
      <c r="E81" s="173"/>
      <c r="F81" s="187">
        <v>9357.2800000000007</v>
      </c>
      <c r="G81" s="187">
        <v>156.53</v>
      </c>
      <c r="H81" s="187">
        <v>255.33</v>
      </c>
      <c r="I81" s="187">
        <v>2145.9899999999998</v>
      </c>
      <c r="J81" s="188">
        <v>2145.9899999999998</v>
      </c>
      <c r="K81" s="188">
        <v>279.38</v>
      </c>
      <c r="L81" s="188"/>
      <c r="M81" s="188"/>
      <c r="N81" s="173">
        <f t="shared" si="1"/>
        <v>1866.6099999999997</v>
      </c>
    </row>
    <row r="82" spans="1:14" ht="14.4" customHeight="1">
      <c r="A82" s="179" t="s">
        <v>108</v>
      </c>
      <c r="B82" s="173"/>
      <c r="C82" s="173">
        <f t="shared" si="0"/>
        <v>13056.510000000002</v>
      </c>
      <c r="D82" s="173"/>
      <c r="E82" s="173"/>
      <c r="F82" s="187">
        <v>11083.03</v>
      </c>
      <c r="G82" s="187">
        <v>92.94</v>
      </c>
      <c r="H82" s="187">
        <v>242.7</v>
      </c>
      <c r="I82" s="187">
        <v>2140.3000000000002</v>
      </c>
      <c r="J82" s="188">
        <v>2140.3000000000002</v>
      </c>
      <c r="K82" s="192">
        <v>502.46</v>
      </c>
      <c r="L82" s="192"/>
      <c r="M82" s="192"/>
      <c r="N82" s="173">
        <f t="shared" si="1"/>
        <v>1637.8400000000001</v>
      </c>
    </row>
    <row r="83" spans="1:14" ht="14.4" customHeight="1">
      <c r="A83" s="179" t="s">
        <v>109</v>
      </c>
      <c r="B83" s="173"/>
      <c r="C83" s="173">
        <f t="shared" si="0"/>
        <v>14539.48</v>
      </c>
      <c r="D83" s="173"/>
      <c r="E83" s="173"/>
      <c r="F83" s="187">
        <v>12203.82</v>
      </c>
      <c r="G83" s="187">
        <v>403.24</v>
      </c>
      <c r="H83" s="187">
        <v>572.37</v>
      </c>
      <c r="I83" s="187">
        <v>1726.85</v>
      </c>
      <c r="J83" s="192">
        <v>1726.85</v>
      </c>
      <c r="K83" s="192">
        <v>366.8</v>
      </c>
      <c r="L83" s="192"/>
      <c r="M83" s="192"/>
      <c r="N83" s="173">
        <f t="shared" si="1"/>
        <v>1360.05</v>
      </c>
    </row>
    <row r="84" spans="1:14" ht="14.4" customHeight="1">
      <c r="A84" s="179" t="s">
        <v>110</v>
      </c>
      <c r="B84" s="173"/>
      <c r="C84" s="173">
        <f t="shared" si="0"/>
        <v>14351.510000000002</v>
      </c>
      <c r="D84" s="173"/>
      <c r="E84" s="173"/>
      <c r="F84" s="187">
        <v>11772.36</v>
      </c>
      <c r="G84" s="187">
        <v>307.37</v>
      </c>
      <c r="H84" s="187">
        <v>229.5</v>
      </c>
      <c r="I84" s="187">
        <v>3043.9</v>
      </c>
      <c r="J84" s="188">
        <v>3043.9</v>
      </c>
      <c r="K84" s="188">
        <v>1001.62</v>
      </c>
      <c r="L84" s="188"/>
      <c r="M84" s="188"/>
      <c r="N84" s="173">
        <f t="shared" si="1"/>
        <v>2042.2800000000002</v>
      </c>
    </row>
    <row r="85" spans="1:14" ht="14.4" customHeight="1">
      <c r="A85" s="187" t="s">
        <v>111</v>
      </c>
      <c r="B85" s="187"/>
      <c r="C85" s="173">
        <f t="shared" si="0"/>
        <v>21036.12</v>
      </c>
      <c r="D85" s="187"/>
      <c r="E85" s="187"/>
      <c r="F85" s="187">
        <v>17239.64</v>
      </c>
      <c r="G85" s="187">
        <v>75.97</v>
      </c>
      <c r="H85" s="187">
        <v>329.42</v>
      </c>
      <c r="I85" s="187">
        <v>3407.34</v>
      </c>
      <c r="J85" s="188">
        <v>3802.37</v>
      </c>
      <c r="K85" s="188">
        <v>411.28</v>
      </c>
      <c r="L85" s="188"/>
      <c r="M85" s="188"/>
      <c r="N85" s="187">
        <f t="shared" si="1"/>
        <v>3391.09</v>
      </c>
    </row>
    <row r="86" spans="1:14" ht="14.4" customHeight="1">
      <c r="A86" s="187" t="s">
        <v>112</v>
      </c>
      <c r="B86" s="187"/>
      <c r="C86" s="173">
        <f t="shared" si="0"/>
        <v>19061.440000000002</v>
      </c>
      <c r="D86" s="187"/>
      <c r="E86" s="187"/>
      <c r="F86" s="187">
        <v>15982.93</v>
      </c>
      <c r="G86" s="187">
        <v>99.57</v>
      </c>
      <c r="H86" s="187">
        <v>325.63</v>
      </c>
      <c r="I86" s="187">
        <v>2164.85</v>
      </c>
      <c r="J86" s="188">
        <v>2918.88</v>
      </c>
      <c r="K86" s="200">
        <v>265.57</v>
      </c>
      <c r="L86" s="200"/>
      <c r="M86" s="200"/>
      <c r="N86" s="187">
        <f t="shared" si="1"/>
        <v>2653.31</v>
      </c>
    </row>
    <row r="87" spans="1:14" ht="14.4" customHeight="1">
      <c r="A87" s="173" t="s">
        <v>113</v>
      </c>
      <c r="B87" s="173"/>
      <c r="C87" s="173">
        <f t="shared" si="0"/>
        <v>15341</v>
      </c>
      <c r="D87" s="187"/>
      <c r="E87" s="187"/>
      <c r="F87" s="187">
        <v>12364.38</v>
      </c>
      <c r="G87" s="187">
        <v>46.86</v>
      </c>
      <c r="H87" s="187">
        <v>327.77</v>
      </c>
      <c r="I87" s="187">
        <v>2583.9699999999998</v>
      </c>
      <c r="J87" s="188">
        <v>3341.02</v>
      </c>
      <c r="K87" s="192">
        <v>739.03</v>
      </c>
      <c r="L87" s="192"/>
      <c r="M87" s="192"/>
      <c r="N87" s="187">
        <f t="shared" si="1"/>
        <v>2601.9899999999998</v>
      </c>
    </row>
    <row r="88" spans="1:14" ht="14.4" customHeight="1">
      <c r="A88" s="173" t="s">
        <v>114</v>
      </c>
      <c r="B88" s="173"/>
      <c r="C88" s="173">
        <f t="shared" si="0"/>
        <v>19120.48</v>
      </c>
      <c r="D88" s="173"/>
      <c r="E88" s="173"/>
      <c r="F88" s="187">
        <v>16212.3</v>
      </c>
      <c r="G88" s="187">
        <v>0</v>
      </c>
      <c r="H88" s="187">
        <v>49.86</v>
      </c>
      <c r="I88" s="187">
        <v>2561.66</v>
      </c>
      <c r="J88" s="192">
        <v>3613.35</v>
      </c>
      <c r="K88" s="192">
        <v>755.03</v>
      </c>
      <c r="L88" s="192"/>
      <c r="M88" s="192"/>
      <c r="N88" s="187">
        <f t="shared" si="1"/>
        <v>2858.3199999999997</v>
      </c>
    </row>
    <row r="89" spans="1:14" ht="14.4" customHeight="1">
      <c r="A89" s="173" t="s">
        <v>115</v>
      </c>
      <c r="B89" s="173"/>
      <c r="C89" s="173">
        <f t="shared" si="0"/>
        <v>16170.169999999998</v>
      </c>
      <c r="D89" s="173"/>
      <c r="E89" s="173"/>
      <c r="F89" s="187">
        <v>13051.45</v>
      </c>
      <c r="G89" s="187">
        <v>16.8</v>
      </c>
      <c r="H89" s="187">
        <v>223.46</v>
      </c>
      <c r="I89" s="187">
        <v>2466.4</v>
      </c>
      <c r="J89" s="188">
        <v>3152.21</v>
      </c>
      <c r="K89" s="192">
        <v>273.75</v>
      </c>
      <c r="L89" s="192"/>
      <c r="M89" s="192"/>
      <c r="N89" s="187">
        <f t="shared" si="1"/>
        <v>2878.46</v>
      </c>
    </row>
    <row r="90" spans="1:14" ht="14.4" customHeight="1">
      <c r="A90" s="173" t="s">
        <v>116</v>
      </c>
      <c r="B90" s="173"/>
      <c r="C90" s="173">
        <f t="shared" si="0"/>
        <v>17619.91</v>
      </c>
      <c r="D90" s="173"/>
      <c r="E90" s="173"/>
      <c r="F90" s="187">
        <v>15402.32</v>
      </c>
      <c r="G90" s="187">
        <v>63.37</v>
      </c>
      <c r="H90" s="187">
        <v>188.26</v>
      </c>
      <c r="I90" s="187">
        <v>1723.69</v>
      </c>
      <c r="J90" s="188">
        <v>2141.96</v>
      </c>
      <c r="K90" s="192">
        <v>176</v>
      </c>
      <c r="L90" s="192"/>
      <c r="M90" s="192"/>
      <c r="N90" s="187">
        <f t="shared" si="1"/>
        <v>1965.96</v>
      </c>
    </row>
    <row r="91" spans="1:14" ht="14.4" customHeight="1">
      <c r="A91" s="173" t="s">
        <v>117</v>
      </c>
      <c r="B91" s="173"/>
      <c r="C91" s="173">
        <f t="shared" si="0"/>
        <v>16280.439999999999</v>
      </c>
      <c r="D91" s="173"/>
      <c r="E91" s="180">
        <v>16181.36</v>
      </c>
      <c r="F91" s="187">
        <v>14028.63</v>
      </c>
      <c r="G91" s="187">
        <v>91.55</v>
      </c>
      <c r="H91" s="187">
        <v>91.14</v>
      </c>
      <c r="I91" s="187">
        <v>1970.04</v>
      </c>
      <c r="J91" s="188">
        <v>2491.7800000000002</v>
      </c>
      <c r="K91" s="192">
        <v>422.66</v>
      </c>
      <c r="L91" s="192"/>
      <c r="M91" s="192"/>
      <c r="N91" s="187">
        <f t="shared" si="1"/>
        <v>2069.1200000000003</v>
      </c>
    </row>
    <row r="92" spans="1:14" ht="14.4" customHeight="1">
      <c r="A92" s="173" t="s">
        <v>118</v>
      </c>
      <c r="B92" s="173"/>
      <c r="C92" s="173">
        <f t="shared" si="0"/>
        <v>17731.8</v>
      </c>
      <c r="D92" s="173"/>
      <c r="E92" s="180">
        <v>17390.45</v>
      </c>
      <c r="F92" s="187">
        <v>15192.66</v>
      </c>
      <c r="G92" s="187">
        <v>30.08</v>
      </c>
      <c r="H92" s="187">
        <v>136.91</v>
      </c>
      <c r="I92" s="187">
        <v>2030.8</v>
      </c>
      <c r="J92" s="192">
        <v>2580.15</v>
      </c>
      <c r="K92" s="192">
        <v>208</v>
      </c>
      <c r="L92" s="192"/>
      <c r="M92" s="192"/>
      <c r="N92" s="187">
        <f t="shared" si="1"/>
        <v>2372.15</v>
      </c>
    </row>
    <row r="93" spans="1:14" ht="14.4" customHeight="1">
      <c r="A93" s="173" t="s">
        <v>119</v>
      </c>
      <c r="B93" s="173"/>
      <c r="C93" s="173">
        <f t="shared" si="0"/>
        <v>17165.91</v>
      </c>
      <c r="D93" s="173"/>
      <c r="E93" s="180">
        <v>16865.13</v>
      </c>
      <c r="F93" s="187">
        <v>14131.51</v>
      </c>
      <c r="G93" s="187">
        <v>98.46</v>
      </c>
      <c r="H93" s="187">
        <v>148.87</v>
      </c>
      <c r="I93" s="187">
        <v>2486.29</v>
      </c>
      <c r="J93" s="188">
        <v>3107.07</v>
      </c>
      <c r="K93" s="192">
        <v>320</v>
      </c>
      <c r="L93" s="192"/>
      <c r="M93" s="192"/>
      <c r="N93" s="187">
        <f t="shared" si="1"/>
        <v>2787.07</v>
      </c>
    </row>
    <row r="94" spans="1:14" ht="14.4" customHeight="1">
      <c r="A94" s="173" t="s">
        <v>120</v>
      </c>
      <c r="B94" s="173"/>
      <c r="C94" s="173">
        <f t="shared" si="0"/>
        <v>19276.900000000001</v>
      </c>
      <c r="D94" s="173"/>
      <c r="E94" s="142">
        <v>19146.400000000001</v>
      </c>
      <c r="F94" s="106">
        <v>16228.53</v>
      </c>
      <c r="G94" s="106">
        <v>21.8</v>
      </c>
      <c r="H94" s="106">
        <v>251.15</v>
      </c>
      <c r="I94" s="106">
        <v>2644.92</v>
      </c>
      <c r="J94" s="143">
        <v>3015.42</v>
      </c>
      <c r="K94" s="145">
        <v>240</v>
      </c>
      <c r="L94" s="192"/>
      <c r="M94" s="192"/>
      <c r="N94" s="187">
        <f t="shared" si="1"/>
        <v>2775.42</v>
      </c>
    </row>
    <row r="95" spans="1:14" ht="14.4" customHeight="1">
      <c r="A95" s="173" t="s">
        <v>121</v>
      </c>
      <c r="B95" s="173"/>
      <c r="C95" s="173">
        <f t="shared" si="0"/>
        <v>22000.12</v>
      </c>
      <c r="D95" s="173"/>
      <c r="E95" s="142">
        <v>21760.9</v>
      </c>
      <c r="F95" s="106">
        <v>18673.66</v>
      </c>
      <c r="G95" s="106">
        <v>58.35</v>
      </c>
      <c r="H95" s="106">
        <v>67.930000000000007</v>
      </c>
      <c r="I95" s="106">
        <v>2960.96</v>
      </c>
      <c r="J95" s="143">
        <v>3616.18</v>
      </c>
      <c r="K95" s="145">
        <v>416</v>
      </c>
      <c r="L95" s="192"/>
      <c r="M95" s="192"/>
      <c r="N95" s="187">
        <f t="shared" si="1"/>
        <v>3200.18</v>
      </c>
    </row>
    <row r="96" spans="1:14" ht="14.4" customHeight="1">
      <c r="A96" s="173" t="s">
        <v>122</v>
      </c>
      <c r="B96" s="173"/>
      <c r="C96" s="173">
        <f t="shared" si="0"/>
        <v>17912.97</v>
      </c>
      <c r="D96" s="173"/>
      <c r="E96" s="142">
        <v>17684.009999999998</v>
      </c>
      <c r="F96" s="106">
        <v>14687.63</v>
      </c>
      <c r="G96" s="106">
        <v>19.62</v>
      </c>
      <c r="H96" s="106">
        <v>358.51</v>
      </c>
      <c r="I96" s="106">
        <v>2618.25</v>
      </c>
      <c r="J96" s="143">
        <v>3119.21</v>
      </c>
      <c r="K96" s="145">
        <v>272</v>
      </c>
      <c r="L96" s="173"/>
      <c r="M96" s="173"/>
      <c r="N96" s="187">
        <f t="shared" si="1"/>
        <v>2847.21</v>
      </c>
    </row>
    <row r="97" spans="1:14" ht="14.4" customHeight="1">
      <c r="A97" s="187" t="s">
        <v>123</v>
      </c>
      <c r="B97" s="187"/>
      <c r="C97" s="173">
        <f t="shared" si="0"/>
        <v>17516.68</v>
      </c>
      <c r="D97" s="187"/>
      <c r="E97" s="142">
        <v>17394.72</v>
      </c>
      <c r="F97" s="106">
        <v>14622.01</v>
      </c>
      <c r="G97" s="106">
        <v>18.66</v>
      </c>
      <c r="H97" s="106">
        <v>268.58999999999997</v>
      </c>
      <c r="I97" s="106">
        <v>2485.46</v>
      </c>
      <c r="J97" s="143">
        <v>2895.42</v>
      </c>
      <c r="K97" s="221">
        <v>288</v>
      </c>
      <c r="L97" s="187"/>
      <c r="M97" s="187"/>
      <c r="N97" s="187">
        <f t="shared" si="1"/>
        <v>2607.42</v>
      </c>
    </row>
    <row r="98" spans="1:14" ht="14.4" customHeight="1">
      <c r="A98" s="187" t="s">
        <v>124</v>
      </c>
      <c r="B98" s="187"/>
      <c r="C98" s="173">
        <f t="shared" si="0"/>
        <v>17475.77</v>
      </c>
      <c r="D98" s="187"/>
      <c r="E98" s="142">
        <v>17356.78</v>
      </c>
      <c r="F98" s="106">
        <v>14263.59</v>
      </c>
      <c r="G98" s="106">
        <v>190.74</v>
      </c>
      <c r="H98" s="106">
        <v>109.76</v>
      </c>
      <c r="I98" s="106">
        <v>2792.69</v>
      </c>
      <c r="J98" s="143">
        <v>3260.36</v>
      </c>
      <c r="K98" s="221">
        <v>348.68</v>
      </c>
      <c r="L98" s="187"/>
      <c r="M98" s="187"/>
      <c r="N98" s="187">
        <f t="shared" si="1"/>
        <v>2911.6800000000003</v>
      </c>
    </row>
    <row r="99" spans="1:14" ht="14.4" customHeight="1">
      <c r="A99" s="187" t="s">
        <v>125</v>
      </c>
      <c r="B99" s="187"/>
      <c r="C99" s="173">
        <f t="shared" si="0"/>
        <v>18753.5</v>
      </c>
      <c r="D99" s="187"/>
      <c r="E99" s="142">
        <v>18326.25</v>
      </c>
      <c r="F99" s="106">
        <v>15286</v>
      </c>
      <c r="G99" s="106">
        <v>251.99</v>
      </c>
      <c r="H99" s="106">
        <v>238.03</v>
      </c>
      <c r="I99" s="106">
        <v>2550.23</v>
      </c>
      <c r="J99" s="143">
        <v>3041.18</v>
      </c>
      <c r="K99" s="221">
        <v>63.7</v>
      </c>
      <c r="L99" s="187"/>
      <c r="M99" s="187"/>
      <c r="N99" s="187">
        <f t="shared" si="1"/>
        <v>2977.48</v>
      </c>
    </row>
    <row r="100" spans="1:14" ht="14.4" customHeight="1">
      <c r="A100" s="187" t="s">
        <v>126</v>
      </c>
      <c r="B100" s="187"/>
      <c r="C100" s="173">
        <f t="shared" si="0"/>
        <v>17762.64</v>
      </c>
      <c r="D100" s="187"/>
      <c r="E100" s="142">
        <v>17307.89</v>
      </c>
      <c r="F100" s="106">
        <v>15576.3</v>
      </c>
      <c r="G100" s="106">
        <v>74.209999999999994</v>
      </c>
      <c r="H100" s="106">
        <v>159.33000000000001</v>
      </c>
      <c r="I100" s="106">
        <v>1498.05</v>
      </c>
      <c r="J100" s="143">
        <v>1965.48</v>
      </c>
      <c r="K100" s="148">
        <v>12.68</v>
      </c>
      <c r="L100" s="187"/>
      <c r="M100" s="187"/>
      <c r="N100" s="187">
        <f t="shared" si="1"/>
        <v>1952.8</v>
      </c>
    </row>
    <row r="101" spans="1:14" ht="14.4" customHeight="1">
      <c r="A101" s="187" t="s">
        <v>127</v>
      </c>
      <c r="B101" s="187"/>
      <c r="C101" s="173">
        <f t="shared" si="0"/>
        <v>16579.27</v>
      </c>
      <c r="D101" s="11">
        <v>468</v>
      </c>
      <c r="E101" s="142">
        <v>16318.32</v>
      </c>
      <c r="F101" s="106">
        <v>14369.87</v>
      </c>
      <c r="G101" s="106">
        <v>121.34</v>
      </c>
      <c r="H101" s="106">
        <v>78.540000000000006</v>
      </c>
      <c r="I101" s="106">
        <v>1748.57</v>
      </c>
      <c r="J101" s="143">
        <v>2041.22</v>
      </c>
      <c r="K101" s="145">
        <v>31.7</v>
      </c>
      <c r="L101" s="187"/>
      <c r="M101" s="187"/>
      <c r="N101" s="187">
        <f t="shared" si="1"/>
        <v>2009.52</v>
      </c>
    </row>
    <row r="102" spans="1:14" ht="14.4" customHeight="1">
      <c r="A102" s="187" t="s">
        <v>128</v>
      </c>
      <c r="B102" s="187"/>
      <c r="C102" s="173">
        <f t="shared" si="0"/>
        <v>19588.48</v>
      </c>
      <c r="D102" s="11">
        <v>550</v>
      </c>
      <c r="E102" s="142">
        <v>19250.84</v>
      </c>
      <c r="F102" s="106">
        <v>16442.689999999999</v>
      </c>
      <c r="G102" s="106">
        <v>52.11</v>
      </c>
      <c r="H102" s="106">
        <v>504.12</v>
      </c>
      <c r="I102" s="106">
        <v>2251.92</v>
      </c>
      <c r="J102" s="143">
        <v>2640.27</v>
      </c>
      <c r="K102" s="145">
        <v>50.71</v>
      </c>
      <c r="L102" s="187"/>
      <c r="M102" s="187"/>
      <c r="N102" s="187">
        <f t="shared" si="1"/>
        <v>2589.56</v>
      </c>
    </row>
    <row r="103" spans="1:14" ht="14.4" customHeight="1">
      <c r="A103" s="187" t="s">
        <v>129</v>
      </c>
      <c r="B103" s="187"/>
      <c r="C103" s="173">
        <f t="shared" si="0"/>
        <v>17781.54</v>
      </c>
      <c r="D103" s="11">
        <v>506</v>
      </c>
      <c r="E103" s="142">
        <v>17443.349999999999</v>
      </c>
      <c r="F103" s="106">
        <v>15595.52</v>
      </c>
      <c r="G103" s="106">
        <v>96.27</v>
      </c>
      <c r="H103" s="106">
        <v>18.59</v>
      </c>
      <c r="I103" s="106">
        <v>1732.97</v>
      </c>
      <c r="J103" s="143">
        <v>2099.6799999999998</v>
      </c>
      <c r="K103" s="145">
        <v>28.52</v>
      </c>
      <c r="L103" s="187"/>
      <c r="M103" s="187"/>
      <c r="N103" s="187">
        <f t="shared" si="1"/>
        <v>2071.16</v>
      </c>
    </row>
    <row r="104" spans="1:14" ht="14.4" customHeight="1">
      <c r="A104" s="187" t="s">
        <v>130</v>
      </c>
      <c r="B104" s="187"/>
      <c r="C104" s="173">
        <f t="shared" si="0"/>
        <v>19284.329999999998</v>
      </c>
      <c r="D104" s="11">
        <v>481</v>
      </c>
      <c r="E104" s="142">
        <v>19115.150000000001</v>
      </c>
      <c r="F104" s="106">
        <v>17187.14</v>
      </c>
      <c r="G104" s="106">
        <v>48.28</v>
      </c>
      <c r="H104" s="106">
        <v>149.36000000000001</v>
      </c>
      <c r="I104" s="106">
        <v>1730.37</v>
      </c>
      <c r="J104" s="143">
        <v>1899.55</v>
      </c>
      <c r="K104" s="145">
        <v>0</v>
      </c>
      <c r="L104" s="187"/>
      <c r="M104" s="187"/>
      <c r="N104" s="187">
        <f t="shared" si="1"/>
        <v>1899.55</v>
      </c>
    </row>
    <row r="105" spans="1:14" ht="14.4" customHeight="1">
      <c r="A105" s="187" t="s">
        <v>131</v>
      </c>
      <c r="B105" s="187"/>
      <c r="C105" s="173">
        <f t="shared" si="0"/>
        <v>17665.55</v>
      </c>
      <c r="D105" s="11">
        <v>544</v>
      </c>
      <c r="E105" s="142">
        <v>17474.330000000002</v>
      </c>
      <c r="F105" s="106">
        <v>16262.77</v>
      </c>
      <c r="G105" s="106">
        <v>73.77</v>
      </c>
      <c r="H105" s="106">
        <v>301.37</v>
      </c>
      <c r="I105" s="106">
        <v>836.42</v>
      </c>
      <c r="J105" s="143">
        <v>1027.6400000000001</v>
      </c>
      <c r="K105" s="145">
        <v>0</v>
      </c>
      <c r="L105" s="187"/>
      <c r="M105" s="187"/>
      <c r="N105" s="187">
        <f t="shared" si="1"/>
        <v>1027.6400000000001</v>
      </c>
    </row>
    <row r="106" spans="1:14" ht="14.4" customHeight="1">
      <c r="A106" s="187" t="s">
        <v>132</v>
      </c>
      <c r="B106" s="187"/>
      <c r="C106" s="173">
        <f t="shared" si="0"/>
        <v>16361.970000000001</v>
      </c>
      <c r="D106" s="11">
        <v>471</v>
      </c>
      <c r="E106" s="142">
        <v>16199.2</v>
      </c>
      <c r="F106" s="106">
        <v>14382.84</v>
      </c>
      <c r="G106" s="106">
        <v>16.79</v>
      </c>
      <c r="H106" s="106">
        <v>176.02</v>
      </c>
      <c r="I106" s="106">
        <v>1623.55</v>
      </c>
      <c r="J106" s="143">
        <v>1786.32</v>
      </c>
      <c r="K106" s="145">
        <v>0</v>
      </c>
      <c r="L106" s="187">
        <v>0</v>
      </c>
      <c r="M106" s="187">
        <v>0</v>
      </c>
      <c r="N106" s="187">
        <f t="shared" si="1"/>
        <v>1786.32</v>
      </c>
    </row>
    <row r="107" spans="1:14" ht="14.4" customHeight="1">
      <c r="A107" s="187" t="s">
        <v>133</v>
      </c>
      <c r="B107" s="187"/>
      <c r="C107" s="173">
        <f t="shared" ref="C107:C138" si="2">SUM(F107,G107,H107,N107)</f>
        <v>19302.2</v>
      </c>
      <c r="D107" s="56">
        <v>506</v>
      </c>
      <c r="E107" s="142">
        <v>19083.93</v>
      </c>
      <c r="F107" s="106">
        <v>17664.64</v>
      </c>
      <c r="G107" s="106">
        <v>40.200000000000003</v>
      </c>
      <c r="H107" s="106">
        <v>284.79000000000002</v>
      </c>
      <c r="I107" s="106">
        <v>1094.3</v>
      </c>
      <c r="J107" s="145">
        <v>1312.57</v>
      </c>
      <c r="K107" s="145">
        <v>0</v>
      </c>
      <c r="L107" s="187">
        <v>0</v>
      </c>
      <c r="M107" s="187">
        <v>0</v>
      </c>
      <c r="N107" s="187">
        <f t="shared" si="1"/>
        <v>1312.57</v>
      </c>
    </row>
    <row r="108" spans="1:14" ht="14.4" customHeight="1">
      <c r="A108" s="187" t="s">
        <v>134</v>
      </c>
      <c r="B108" s="187"/>
      <c r="C108" s="173">
        <f t="shared" si="2"/>
        <v>15827.95</v>
      </c>
      <c r="D108" s="56">
        <v>422</v>
      </c>
      <c r="E108" s="142">
        <v>15524.34</v>
      </c>
      <c r="F108" s="106">
        <v>13926.86</v>
      </c>
      <c r="G108" s="118">
        <v>0</v>
      </c>
      <c r="H108" s="106">
        <v>101.18</v>
      </c>
      <c r="I108" s="106">
        <v>1496.3</v>
      </c>
      <c r="J108" s="143">
        <v>1799.91</v>
      </c>
      <c r="K108" s="145">
        <v>0</v>
      </c>
      <c r="L108" s="143">
        <v>35.97</v>
      </c>
      <c r="M108" s="145">
        <v>13.58</v>
      </c>
      <c r="N108" s="187">
        <f t="shared" si="1"/>
        <v>1799.91</v>
      </c>
    </row>
    <row r="109" spans="1:14" ht="14.4" customHeight="1">
      <c r="A109" s="187" t="s">
        <v>135</v>
      </c>
      <c r="B109" s="187"/>
      <c r="C109" s="173">
        <f t="shared" si="2"/>
        <v>15869.35</v>
      </c>
      <c r="D109" s="11">
        <v>424</v>
      </c>
      <c r="E109" s="142">
        <v>15558.56</v>
      </c>
      <c r="F109" s="106">
        <v>14364.77</v>
      </c>
      <c r="G109" s="106">
        <v>89.96</v>
      </c>
      <c r="H109" s="106">
        <v>90.51</v>
      </c>
      <c r="I109" s="106">
        <v>1013.32</v>
      </c>
      <c r="J109" s="143">
        <v>1324.11</v>
      </c>
      <c r="K109" s="145">
        <v>0</v>
      </c>
      <c r="L109" s="143">
        <v>71.95</v>
      </c>
      <c r="M109" s="145">
        <v>20.37</v>
      </c>
      <c r="N109" s="187">
        <f t="shared" si="1"/>
        <v>1324.11</v>
      </c>
    </row>
    <row r="110" spans="1:14" ht="14.4" customHeight="1">
      <c r="A110" s="187" t="s">
        <v>136</v>
      </c>
      <c r="B110" s="187"/>
      <c r="C110" s="173">
        <f t="shared" si="2"/>
        <v>16554.18</v>
      </c>
      <c r="D110" s="11">
        <v>448</v>
      </c>
      <c r="E110" s="142">
        <v>16173.27</v>
      </c>
      <c r="F110" s="106">
        <v>15074.13</v>
      </c>
      <c r="G110" s="106">
        <v>300.69</v>
      </c>
      <c r="H110" s="106">
        <v>50.8</v>
      </c>
      <c r="I110" s="106">
        <v>747.65</v>
      </c>
      <c r="J110" s="143">
        <v>1128.56</v>
      </c>
      <c r="K110" s="145">
        <v>0</v>
      </c>
      <c r="L110" s="143">
        <v>64.75</v>
      </c>
      <c r="M110" s="145">
        <v>20.97</v>
      </c>
      <c r="N110" s="187">
        <f t="shared" si="1"/>
        <v>1128.56</v>
      </c>
    </row>
    <row r="111" spans="1:14" ht="14.4" customHeight="1">
      <c r="A111" s="187" t="s">
        <v>137</v>
      </c>
      <c r="B111" s="187"/>
      <c r="C111" s="173">
        <f t="shared" si="2"/>
        <v>14618.260000000002</v>
      </c>
      <c r="D111" s="11">
        <v>401</v>
      </c>
      <c r="E111" s="142">
        <v>14572.18</v>
      </c>
      <c r="F111" s="106">
        <v>12695.29</v>
      </c>
      <c r="G111" s="106">
        <v>206.01</v>
      </c>
      <c r="H111" s="106">
        <v>384.94</v>
      </c>
      <c r="I111" s="173"/>
      <c r="J111" s="143">
        <v>1332.02</v>
      </c>
      <c r="K111" s="145">
        <v>0</v>
      </c>
      <c r="L111" s="143">
        <v>56.36</v>
      </c>
      <c r="M111" s="145">
        <v>20.37</v>
      </c>
      <c r="N111" s="187">
        <f t="shared" si="1"/>
        <v>1332.02</v>
      </c>
    </row>
    <row r="112" spans="1:14" ht="14.4" customHeight="1">
      <c r="A112" s="187" t="s">
        <v>138</v>
      </c>
      <c r="B112" s="187"/>
      <c r="C112" s="173">
        <f t="shared" si="2"/>
        <v>14396.650000000001</v>
      </c>
      <c r="D112" s="11">
        <v>410</v>
      </c>
      <c r="E112" s="142">
        <v>14113</v>
      </c>
      <c r="F112" s="106">
        <v>13440.59</v>
      </c>
      <c r="G112" s="106">
        <v>105.57</v>
      </c>
      <c r="H112" s="106">
        <v>128.54</v>
      </c>
      <c r="I112" s="173"/>
      <c r="J112" s="143">
        <v>721.95</v>
      </c>
      <c r="K112" s="145">
        <v>0</v>
      </c>
      <c r="L112" s="143">
        <v>0</v>
      </c>
      <c r="M112" s="145">
        <v>0</v>
      </c>
      <c r="N112" s="187">
        <f t="shared" si="1"/>
        <v>721.95</v>
      </c>
    </row>
    <row r="113" spans="1:14" ht="14.4" customHeight="1">
      <c r="A113" s="187" t="s">
        <v>139</v>
      </c>
      <c r="B113" s="187"/>
      <c r="C113" s="173">
        <f t="shared" si="2"/>
        <v>14525.36</v>
      </c>
      <c r="D113" s="11">
        <v>399</v>
      </c>
      <c r="E113" s="142">
        <v>14272.3</v>
      </c>
      <c r="F113" s="106">
        <v>12482.04</v>
      </c>
      <c r="G113" s="106">
        <v>216.85</v>
      </c>
      <c r="H113" s="106">
        <v>387.18</v>
      </c>
      <c r="I113" s="106">
        <v>1186.23</v>
      </c>
      <c r="J113" s="145">
        <v>1439.29</v>
      </c>
      <c r="K113" s="145">
        <v>0</v>
      </c>
      <c r="L113" s="143">
        <v>0</v>
      </c>
      <c r="M113" s="145">
        <v>0</v>
      </c>
      <c r="N113" s="187">
        <f t="shared" si="1"/>
        <v>1439.29</v>
      </c>
    </row>
    <row r="114" spans="1:14" ht="14.4" customHeight="1">
      <c r="A114" s="187" t="s">
        <v>140</v>
      </c>
      <c r="B114" s="187"/>
      <c r="C114" s="173">
        <f t="shared" si="2"/>
        <v>16654.760000000002</v>
      </c>
      <c r="D114" s="11"/>
      <c r="E114" s="187">
        <v>16467.97</v>
      </c>
      <c r="F114" s="187">
        <v>15056.75</v>
      </c>
      <c r="G114" s="187">
        <v>106.02</v>
      </c>
      <c r="H114" s="187">
        <v>265.57</v>
      </c>
      <c r="I114" s="187">
        <v>1039.6300000000001</v>
      </c>
      <c r="J114" s="298">
        <v>1226.42</v>
      </c>
      <c r="K114" s="145">
        <v>0</v>
      </c>
      <c r="L114" s="143">
        <v>0</v>
      </c>
      <c r="M114" s="145">
        <v>0</v>
      </c>
      <c r="N114" s="187">
        <f t="shared" si="1"/>
        <v>1226.42</v>
      </c>
    </row>
    <row r="115" spans="1:14" ht="14.4" customHeight="1">
      <c r="A115" s="187" t="s">
        <v>141</v>
      </c>
      <c r="B115" s="187"/>
      <c r="C115" s="173">
        <f t="shared" si="2"/>
        <v>13941.02</v>
      </c>
      <c r="D115" s="299">
        <v>402</v>
      </c>
      <c r="E115" s="187">
        <v>13914.64</v>
      </c>
      <c r="F115" s="187">
        <v>12581.93</v>
      </c>
      <c r="G115" s="187">
        <v>16.75</v>
      </c>
      <c r="H115" s="187">
        <v>105.62</v>
      </c>
      <c r="I115" s="187">
        <v>1210.3399999999999</v>
      </c>
      <c r="J115" s="148">
        <v>1218.73</v>
      </c>
      <c r="K115" s="145">
        <v>0</v>
      </c>
      <c r="L115" s="145">
        <v>17.989999999999998</v>
      </c>
      <c r="M115" s="145">
        <v>0</v>
      </c>
      <c r="N115" s="187">
        <f t="shared" ref="N115:N139" si="3">(J115-K115)+(L115-M115)</f>
        <v>1236.72</v>
      </c>
    </row>
    <row r="116" spans="1:14" ht="14.4" customHeight="1">
      <c r="A116" s="187" t="s">
        <v>142</v>
      </c>
      <c r="B116" s="187"/>
      <c r="C116" s="173">
        <f t="shared" si="2"/>
        <v>15573.300000000001</v>
      </c>
      <c r="D116" s="303">
        <v>419</v>
      </c>
      <c r="E116" s="187">
        <v>15460.77</v>
      </c>
      <c r="F116" s="187">
        <v>14139.67</v>
      </c>
      <c r="G116" s="187">
        <v>262.04000000000002</v>
      </c>
      <c r="H116" s="187">
        <v>274.76</v>
      </c>
      <c r="I116" s="187">
        <v>784.3</v>
      </c>
      <c r="J116" s="145">
        <v>896.83</v>
      </c>
      <c r="K116" s="145">
        <v>0</v>
      </c>
      <c r="L116" s="143">
        <v>0</v>
      </c>
      <c r="M116" s="145">
        <v>0</v>
      </c>
      <c r="N116" s="187">
        <f t="shared" si="3"/>
        <v>896.83</v>
      </c>
    </row>
    <row r="117" spans="1:14" ht="14.4" customHeight="1">
      <c r="A117" s="187" t="s">
        <v>143</v>
      </c>
      <c r="B117" s="187"/>
      <c r="C117" s="173">
        <f t="shared" si="2"/>
        <v>15102.74</v>
      </c>
      <c r="D117" s="187" t="s">
        <v>202</v>
      </c>
      <c r="E117" s="187">
        <v>14992.51</v>
      </c>
      <c r="F117" s="187">
        <v>12944.71</v>
      </c>
      <c r="G117" s="187">
        <v>166.23</v>
      </c>
      <c r="H117" s="187">
        <v>191.44</v>
      </c>
      <c r="I117" s="187">
        <v>1690.13</v>
      </c>
      <c r="J117" s="145">
        <v>1800.36</v>
      </c>
      <c r="K117" s="145">
        <v>0</v>
      </c>
      <c r="L117" s="143">
        <v>0</v>
      </c>
      <c r="M117" s="145">
        <v>0</v>
      </c>
      <c r="N117" s="187">
        <f t="shared" si="3"/>
        <v>1800.36</v>
      </c>
    </row>
    <row r="118" spans="1:14" ht="14.4" customHeight="1">
      <c r="A118" s="187" t="s">
        <v>145</v>
      </c>
      <c r="B118" s="187"/>
      <c r="C118" s="173">
        <f t="shared" si="2"/>
        <v>14148.970000000001</v>
      </c>
      <c r="D118" s="303" t="s">
        <v>203</v>
      </c>
      <c r="E118" s="187">
        <v>14148.97</v>
      </c>
      <c r="F118" s="187">
        <v>12257.74</v>
      </c>
      <c r="G118" s="187">
        <v>319.62</v>
      </c>
      <c r="H118" s="187">
        <v>181.59</v>
      </c>
      <c r="I118" s="187">
        <v>1390.02</v>
      </c>
      <c r="J118" s="145">
        <v>1390.02</v>
      </c>
      <c r="K118" s="145">
        <v>0</v>
      </c>
      <c r="L118" s="143">
        <v>0</v>
      </c>
      <c r="M118" s="145">
        <v>0</v>
      </c>
      <c r="N118" s="187">
        <f t="shared" si="3"/>
        <v>1390.02</v>
      </c>
    </row>
    <row r="119" spans="1:14" ht="14.4" customHeight="1">
      <c r="A119" s="2" t="s">
        <v>147</v>
      </c>
      <c r="B119" s="187"/>
      <c r="C119" s="173">
        <f t="shared" si="2"/>
        <v>13645.93</v>
      </c>
      <c r="D119" s="303" t="s">
        <v>204</v>
      </c>
      <c r="E119" s="299">
        <v>13645.93</v>
      </c>
      <c r="F119" s="187">
        <v>12298.1</v>
      </c>
      <c r="G119" s="187">
        <v>200.82</v>
      </c>
      <c r="H119" s="187">
        <v>215.03</v>
      </c>
      <c r="I119" s="187">
        <v>931.98</v>
      </c>
      <c r="J119" s="145">
        <v>931.98</v>
      </c>
      <c r="K119" s="145">
        <v>0</v>
      </c>
      <c r="L119" s="143">
        <v>0</v>
      </c>
      <c r="M119" s="145">
        <v>0</v>
      </c>
      <c r="N119" s="187">
        <f t="shared" si="3"/>
        <v>931.98</v>
      </c>
    </row>
    <row r="120" spans="1:14" ht="14.4" customHeight="1">
      <c r="A120" s="2" t="s">
        <v>149</v>
      </c>
      <c r="B120" s="187"/>
      <c r="C120" s="173">
        <f t="shared" si="2"/>
        <v>16560.599999999999</v>
      </c>
      <c r="D120" s="187">
        <v>426</v>
      </c>
      <c r="E120" s="187">
        <v>16367.82</v>
      </c>
      <c r="F120" s="303">
        <v>14586.76</v>
      </c>
      <c r="G120" s="299">
        <v>140.06</v>
      </c>
      <c r="H120" s="187">
        <v>209.52</v>
      </c>
      <c r="I120" s="187">
        <v>1431.48</v>
      </c>
      <c r="J120" s="145">
        <v>1452.53</v>
      </c>
      <c r="K120" s="145">
        <v>0</v>
      </c>
      <c r="L120" s="145">
        <v>247.02</v>
      </c>
      <c r="M120" s="145">
        <v>75.290000000000006</v>
      </c>
      <c r="N120" s="187">
        <f t="shared" si="3"/>
        <v>1624.26</v>
      </c>
    </row>
    <row r="121" spans="1:14" ht="14.4" customHeight="1">
      <c r="A121" s="2" t="s">
        <v>150</v>
      </c>
      <c r="B121" s="187"/>
      <c r="C121" s="173">
        <f t="shared" si="2"/>
        <v>12906.630000000001</v>
      </c>
      <c r="D121" s="187">
        <v>345</v>
      </c>
      <c r="E121" s="187">
        <v>12906.63</v>
      </c>
      <c r="F121" s="187">
        <v>11121.57</v>
      </c>
      <c r="G121" s="187">
        <v>94.62</v>
      </c>
      <c r="H121" s="187">
        <v>226.27</v>
      </c>
      <c r="I121" s="187">
        <v>1464.17</v>
      </c>
      <c r="J121" s="145">
        <v>1431.79</v>
      </c>
      <c r="K121" s="145">
        <v>0</v>
      </c>
      <c r="L121" s="145">
        <v>32.380000000000003</v>
      </c>
      <c r="M121" s="145">
        <v>0</v>
      </c>
      <c r="N121" s="187">
        <f t="shared" si="3"/>
        <v>1464.17</v>
      </c>
    </row>
    <row r="122" spans="1:14" ht="14.4" customHeight="1">
      <c r="A122" s="118" t="s">
        <v>151</v>
      </c>
      <c r="B122" s="187"/>
      <c r="C122" s="173">
        <f t="shared" si="2"/>
        <v>14096.420000000002</v>
      </c>
      <c r="D122" s="187" t="s">
        <v>205</v>
      </c>
      <c r="E122" s="187">
        <v>14096.42</v>
      </c>
      <c r="F122" s="187">
        <v>12319.92</v>
      </c>
      <c r="G122" s="187">
        <v>31.19</v>
      </c>
      <c r="H122" s="187">
        <v>408.04</v>
      </c>
      <c r="I122" s="187">
        <v>1337.27</v>
      </c>
      <c r="J122" s="140">
        <v>1304.94</v>
      </c>
      <c r="K122" s="140">
        <v>0</v>
      </c>
      <c r="L122" s="140">
        <v>32.33</v>
      </c>
      <c r="M122" s="140">
        <v>0</v>
      </c>
      <c r="N122" s="187">
        <f t="shared" si="3"/>
        <v>1337.27</v>
      </c>
    </row>
    <row r="123" spans="1:14" ht="14.4" customHeight="1">
      <c r="A123" s="11" t="s">
        <v>153</v>
      </c>
      <c r="B123" s="187"/>
      <c r="C123" s="173">
        <f t="shared" si="2"/>
        <v>14185.289999999999</v>
      </c>
      <c r="D123" s="300" t="s">
        <v>206</v>
      </c>
      <c r="E123" s="187">
        <v>14227.25</v>
      </c>
      <c r="F123" s="187">
        <v>12411.62</v>
      </c>
      <c r="G123" s="187">
        <v>342.55</v>
      </c>
      <c r="H123" s="187">
        <v>284.56</v>
      </c>
      <c r="I123" s="187">
        <v>1188.52</v>
      </c>
      <c r="J123" s="305">
        <v>1188.52</v>
      </c>
      <c r="K123" s="305">
        <v>41.96</v>
      </c>
      <c r="L123" s="142">
        <v>0</v>
      </c>
      <c r="M123" s="140">
        <v>0</v>
      </c>
      <c r="N123" s="187">
        <f t="shared" si="3"/>
        <v>1146.56</v>
      </c>
    </row>
    <row r="124" spans="1:14" ht="14.4" customHeight="1">
      <c r="A124" s="11" t="s">
        <v>154</v>
      </c>
      <c r="B124" s="187"/>
      <c r="C124" s="173">
        <f t="shared" si="2"/>
        <v>18194.47</v>
      </c>
      <c r="D124" s="300">
        <v>493</v>
      </c>
      <c r="E124" s="187">
        <v>18278.39</v>
      </c>
      <c r="F124" s="187">
        <v>16380.94</v>
      </c>
      <c r="G124" s="187">
        <v>124.14</v>
      </c>
      <c r="H124" s="187">
        <v>177.73</v>
      </c>
      <c r="I124" s="187">
        <v>1595.58</v>
      </c>
      <c r="J124" s="140">
        <v>1595.58</v>
      </c>
      <c r="K124" s="140">
        <v>83.92</v>
      </c>
      <c r="L124" s="142">
        <v>0</v>
      </c>
      <c r="M124" s="140">
        <v>0</v>
      </c>
      <c r="N124" s="187">
        <f t="shared" si="3"/>
        <v>1511.6599999999999</v>
      </c>
    </row>
    <row r="125" spans="1:14" ht="14.4" customHeight="1">
      <c r="A125" s="30" t="s">
        <v>155</v>
      </c>
      <c r="B125" s="191"/>
      <c r="C125" s="190">
        <f t="shared" si="2"/>
        <v>20021.650000000001</v>
      </c>
      <c r="D125" s="308" t="s">
        <v>207</v>
      </c>
      <c r="E125" s="191">
        <v>20220.2</v>
      </c>
      <c r="F125" s="191">
        <v>16916.080000000002</v>
      </c>
      <c r="G125" s="191">
        <v>431.32</v>
      </c>
      <c r="H125" s="191">
        <v>619.24</v>
      </c>
      <c r="I125" s="191">
        <v>2253.56</v>
      </c>
      <c r="J125" s="309">
        <v>2269.06</v>
      </c>
      <c r="K125" s="309">
        <v>214.05</v>
      </c>
      <c r="L125" s="310">
        <v>0</v>
      </c>
      <c r="M125" s="309">
        <v>0</v>
      </c>
      <c r="N125" s="191">
        <f t="shared" si="3"/>
        <v>2055.0099999999998</v>
      </c>
    </row>
    <row r="126" spans="1:14" ht="14.4" customHeight="1">
      <c r="A126" s="30" t="s">
        <v>157</v>
      </c>
      <c r="B126" s="191"/>
      <c r="C126" s="190">
        <f t="shared" si="2"/>
        <v>12936.51</v>
      </c>
      <c r="D126" s="308" t="s">
        <v>208</v>
      </c>
      <c r="E126" s="109">
        <v>13041.41</v>
      </c>
      <c r="F126" s="191">
        <v>11353.52</v>
      </c>
      <c r="G126" s="191">
        <v>139.19</v>
      </c>
      <c r="H126" s="191">
        <v>73.3</v>
      </c>
      <c r="I126" s="191">
        <v>1475.4</v>
      </c>
      <c r="J126" s="309">
        <v>1475.4</v>
      </c>
      <c r="K126" s="309">
        <v>104.9</v>
      </c>
      <c r="L126" s="310">
        <v>0</v>
      </c>
      <c r="M126" s="309">
        <v>0</v>
      </c>
      <c r="N126" s="191">
        <f t="shared" si="3"/>
        <v>1370.5</v>
      </c>
    </row>
    <row r="127" spans="1:14" ht="14.4" customHeight="1">
      <c r="A127" s="30" t="s">
        <v>159</v>
      </c>
      <c r="B127" s="191"/>
      <c r="C127" s="190">
        <f t="shared" si="2"/>
        <v>14564.39</v>
      </c>
      <c r="D127" s="191" t="s">
        <v>209</v>
      </c>
      <c r="E127" s="191">
        <v>14648.31</v>
      </c>
      <c r="F127" s="191">
        <v>12652.81</v>
      </c>
      <c r="G127" s="191">
        <v>232.94</v>
      </c>
      <c r="H127" s="191">
        <v>330.21</v>
      </c>
      <c r="I127" s="191">
        <v>1432.35</v>
      </c>
      <c r="J127" s="309">
        <v>1432.35</v>
      </c>
      <c r="K127" s="309">
        <v>83.92</v>
      </c>
      <c r="L127" s="310">
        <v>0</v>
      </c>
      <c r="M127" s="309">
        <v>0</v>
      </c>
      <c r="N127" s="191">
        <f t="shared" si="3"/>
        <v>1348.4299999999998</v>
      </c>
    </row>
    <row r="128" spans="1:14" ht="14.4" customHeight="1">
      <c r="A128" s="30" t="s">
        <v>161</v>
      </c>
      <c r="B128" s="191"/>
      <c r="C128" s="190">
        <f t="shared" si="2"/>
        <v>10904.27</v>
      </c>
      <c r="D128" s="191" t="s">
        <v>210</v>
      </c>
      <c r="E128" s="191">
        <v>11047.93</v>
      </c>
      <c r="F128" s="191">
        <v>9211.32</v>
      </c>
      <c r="G128" s="191">
        <v>77.78</v>
      </c>
      <c r="H128" s="191">
        <v>165.21</v>
      </c>
      <c r="I128" s="191">
        <v>1593.62</v>
      </c>
      <c r="J128" s="309">
        <v>1596.82</v>
      </c>
      <c r="K128" s="309">
        <v>146.86000000000001</v>
      </c>
      <c r="L128" s="310">
        <v>0</v>
      </c>
      <c r="M128" s="309">
        <v>0</v>
      </c>
      <c r="N128" s="191">
        <f t="shared" si="3"/>
        <v>1449.96</v>
      </c>
    </row>
    <row r="129" spans="1:27" ht="14.4" customHeight="1">
      <c r="A129" s="30" t="s">
        <v>163</v>
      </c>
      <c r="B129" s="191"/>
      <c r="C129" s="190">
        <f t="shared" si="2"/>
        <v>13523.95</v>
      </c>
      <c r="D129" s="187" t="s">
        <v>211</v>
      </c>
      <c r="E129" s="187">
        <v>13762.54</v>
      </c>
      <c r="F129" s="187">
        <v>10890.59</v>
      </c>
      <c r="G129" s="187">
        <v>158.31</v>
      </c>
      <c r="H129" s="187">
        <v>321.04000000000002</v>
      </c>
      <c r="I129" s="187">
        <v>2392.6</v>
      </c>
      <c r="J129" s="145">
        <v>2392.6</v>
      </c>
      <c r="K129" s="145">
        <v>238.59</v>
      </c>
      <c r="L129" s="310">
        <v>0</v>
      </c>
      <c r="M129" s="309">
        <v>0</v>
      </c>
      <c r="N129" s="191">
        <f t="shared" si="3"/>
        <v>2154.0099999999998</v>
      </c>
    </row>
    <row r="130" spans="1:27" ht="14.4" customHeight="1">
      <c r="A130" s="30" t="s">
        <v>165</v>
      </c>
      <c r="B130" s="191"/>
      <c r="C130" s="190">
        <f t="shared" si="2"/>
        <v>14063.04</v>
      </c>
      <c r="D130" s="187" t="s">
        <v>212</v>
      </c>
      <c r="E130" s="187">
        <v>14010.06</v>
      </c>
      <c r="F130" s="187">
        <v>11235.93</v>
      </c>
      <c r="G130" s="187">
        <v>181.24</v>
      </c>
      <c r="H130" s="187">
        <v>334.1</v>
      </c>
      <c r="I130" s="187">
        <v>2258.79</v>
      </c>
      <c r="J130" s="145">
        <v>2311.77</v>
      </c>
      <c r="K130" s="309">
        <v>0</v>
      </c>
      <c r="L130" s="310">
        <v>0</v>
      </c>
      <c r="M130" s="309">
        <v>0</v>
      </c>
      <c r="N130" s="191">
        <f t="shared" si="3"/>
        <v>2311.77</v>
      </c>
    </row>
    <row r="131" spans="1:27" ht="14.4" customHeight="1">
      <c r="A131" s="11" t="s">
        <v>166</v>
      </c>
      <c r="B131" s="191"/>
      <c r="C131" s="190">
        <f t="shared" si="2"/>
        <v>16882.16</v>
      </c>
      <c r="D131" s="187" t="s">
        <v>213</v>
      </c>
      <c r="E131" s="187">
        <v>17037.02</v>
      </c>
      <c r="F131" s="187">
        <v>15142.87</v>
      </c>
      <c r="G131" s="187">
        <v>11.74</v>
      </c>
      <c r="H131" s="187">
        <v>387.34</v>
      </c>
      <c r="I131" s="187">
        <v>1495.07</v>
      </c>
      <c r="J131" s="106">
        <v>1442.09</v>
      </c>
      <c r="K131" s="106">
        <v>101.88</v>
      </c>
      <c r="L131" s="310">
        <v>0</v>
      </c>
      <c r="M131" s="309">
        <v>0</v>
      </c>
      <c r="N131" s="191">
        <f t="shared" si="3"/>
        <v>1340.21</v>
      </c>
    </row>
    <row r="132" spans="1:27" ht="14.4" customHeight="1">
      <c r="A132" s="11" t="s">
        <v>168</v>
      </c>
      <c r="B132" s="191"/>
      <c r="C132" s="190">
        <f t="shared" si="2"/>
        <v>15100.05</v>
      </c>
      <c r="D132" s="187" t="s">
        <v>214</v>
      </c>
      <c r="E132" s="187">
        <v>15314.7</v>
      </c>
      <c r="F132" s="187">
        <v>12611.59</v>
      </c>
      <c r="G132" s="187">
        <v>205.05</v>
      </c>
      <c r="H132" s="187">
        <v>422.72</v>
      </c>
      <c r="I132" s="187">
        <v>2075.34</v>
      </c>
      <c r="J132" s="106">
        <v>1962.57</v>
      </c>
      <c r="K132" s="106">
        <v>101.88</v>
      </c>
      <c r="L132" s="310">
        <v>0</v>
      </c>
      <c r="M132" s="309">
        <v>0</v>
      </c>
      <c r="N132" s="191">
        <f t="shared" si="3"/>
        <v>1860.69</v>
      </c>
    </row>
    <row r="133" spans="1:27" ht="14.4" customHeight="1">
      <c r="A133" s="11" t="s">
        <v>170</v>
      </c>
      <c r="B133" s="191"/>
      <c r="C133" s="190">
        <f t="shared" si="2"/>
        <v>14004.98</v>
      </c>
      <c r="D133" s="187" t="s">
        <v>215</v>
      </c>
      <c r="E133" s="187">
        <v>14122.67</v>
      </c>
      <c r="F133" s="187">
        <v>12083.89</v>
      </c>
      <c r="G133" s="187">
        <v>103.53</v>
      </c>
      <c r="H133" s="187">
        <v>84.15</v>
      </c>
      <c r="I133" s="187">
        <v>1851.1</v>
      </c>
      <c r="J133" s="106">
        <v>1801.33</v>
      </c>
      <c r="K133" s="106">
        <v>67.92</v>
      </c>
      <c r="L133" s="310">
        <v>0</v>
      </c>
      <c r="M133" s="309">
        <v>0</v>
      </c>
      <c r="N133" s="191">
        <f t="shared" si="3"/>
        <v>1733.4099999999999</v>
      </c>
    </row>
    <row r="134" spans="1:27" ht="14.4" customHeight="1">
      <c r="A134" s="11" t="s">
        <v>172</v>
      </c>
      <c r="B134" s="191"/>
      <c r="C134" s="190">
        <f t="shared" si="2"/>
        <v>12526.66</v>
      </c>
      <c r="D134" s="187" t="s">
        <v>216</v>
      </c>
      <c r="E134" s="187">
        <v>12691.12</v>
      </c>
      <c r="F134" s="187">
        <v>10699.07</v>
      </c>
      <c r="G134" s="187">
        <v>107.74</v>
      </c>
      <c r="H134" s="187">
        <v>219.77</v>
      </c>
      <c r="I134" s="187">
        <v>1664.54</v>
      </c>
      <c r="J134" s="106">
        <v>1649.28</v>
      </c>
      <c r="K134" s="106">
        <v>169.8</v>
      </c>
      <c r="L134" s="106">
        <v>35.979999999999997</v>
      </c>
      <c r="M134" s="106">
        <v>15.38</v>
      </c>
      <c r="N134" s="191">
        <f t="shared" si="3"/>
        <v>1500.08</v>
      </c>
    </row>
    <row r="135" spans="1:27" ht="14.4" customHeight="1">
      <c r="A135" s="11" t="s">
        <v>174</v>
      </c>
      <c r="B135" s="191"/>
      <c r="C135" s="190">
        <f t="shared" si="2"/>
        <v>12151.46</v>
      </c>
      <c r="D135" s="187" t="s">
        <v>217</v>
      </c>
      <c r="E135" s="187">
        <v>12362.53</v>
      </c>
      <c r="F135" s="187">
        <v>10560.06</v>
      </c>
      <c r="G135" s="187">
        <v>46.5</v>
      </c>
      <c r="H135" s="187">
        <v>0</v>
      </c>
      <c r="I135" s="187">
        <v>1755.97</v>
      </c>
      <c r="J135" s="106">
        <v>1646.78</v>
      </c>
      <c r="K135" s="106">
        <v>101.88</v>
      </c>
      <c r="L135" s="310">
        <v>0</v>
      </c>
      <c r="M135" s="309">
        <v>0</v>
      </c>
      <c r="N135" s="191">
        <f t="shared" si="3"/>
        <v>1544.9</v>
      </c>
    </row>
    <row r="136" spans="1:27" ht="14.4" customHeight="1">
      <c r="A136" s="11" t="s">
        <v>176</v>
      </c>
      <c r="B136" s="191"/>
      <c r="C136" s="190">
        <f t="shared" si="2"/>
        <v>24770.570000000003</v>
      </c>
      <c r="D136" s="187" t="s">
        <v>218</v>
      </c>
      <c r="E136" s="187">
        <v>24836.080000000002</v>
      </c>
      <c r="F136" s="187">
        <v>21982.720000000001</v>
      </c>
      <c r="G136" s="187">
        <v>349.54</v>
      </c>
      <c r="H136" s="187">
        <v>0</v>
      </c>
      <c r="I136" s="187">
        <v>2503.8200000000002</v>
      </c>
      <c r="J136" s="312">
        <v>2591.13</v>
      </c>
      <c r="K136" s="118">
        <v>152.82</v>
      </c>
      <c r="L136" s="310">
        <v>0</v>
      </c>
      <c r="M136" s="309">
        <v>0</v>
      </c>
      <c r="N136" s="191">
        <f t="shared" si="3"/>
        <v>2438.31</v>
      </c>
    </row>
    <row r="137" spans="1:27" ht="14.4" customHeight="1">
      <c r="A137" s="11" t="s">
        <v>178</v>
      </c>
      <c r="B137" s="191"/>
      <c r="C137" s="190">
        <f t="shared" si="2"/>
        <v>14955.6</v>
      </c>
      <c r="D137" s="187" t="s">
        <v>206</v>
      </c>
      <c r="E137" s="187">
        <v>15012.25</v>
      </c>
      <c r="F137" s="187">
        <v>13417.62</v>
      </c>
      <c r="G137" s="187">
        <v>84.5</v>
      </c>
      <c r="H137" s="187">
        <v>202.42</v>
      </c>
      <c r="I137" s="187">
        <v>1307.71</v>
      </c>
      <c r="J137" s="106">
        <v>1352.94</v>
      </c>
      <c r="K137" s="106">
        <v>101.88</v>
      </c>
      <c r="L137" s="310">
        <v>0</v>
      </c>
      <c r="M137" s="309">
        <v>0</v>
      </c>
      <c r="N137" s="191">
        <f t="shared" si="3"/>
        <v>1251.06</v>
      </c>
    </row>
    <row r="138" spans="1:27" ht="14.4" customHeight="1">
      <c r="A138" s="11" t="s">
        <v>180</v>
      </c>
      <c r="B138" s="191"/>
      <c r="C138" s="190">
        <f t="shared" si="2"/>
        <v>16935.810000000001</v>
      </c>
      <c r="D138" s="187" t="s">
        <v>219</v>
      </c>
      <c r="E138" s="187">
        <v>17000.66</v>
      </c>
      <c r="F138" s="187">
        <v>15373.95</v>
      </c>
      <c r="G138" s="187">
        <v>31</v>
      </c>
      <c r="H138" s="187">
        <v>365.15</v>
      </c>
      <c r="I138" s="187">
        <v>1230.56</v>
      </c>
      <c r="J138" s="106">
        <v>1175.48</v>
      </c>
      <c r="K138" s="106">
        <v>33.96</v>
      </c>
      <c r="L138" s="106">
        <v>40.369999999999997</v>
      </c>
      <c r="M138" s="106">
        <v>16.18</v>
      </c>
      <c r="N138" s="191">
        <f t="shared" si="3"/>
        <v>1165.71</v>
      </c>
    </row>
    <row r="139" spans="1:27" ht="14.4" customHeight="1">
      <c r="A139" s="2" t="s">
        <v>182</v>
      </c>
      <c r="B139" s="191"/>
      <c r="C139" s="190">
        <f t="shared" ref="C139:C146" si="4">SUM(F139,G139,H139,N139)</f>
        <v>15482.39</v>
      </c>
      <c r="D139" s="318" t="s">
        <v>220</v>
      </c>
      <c r="E139" s="318">
        <v>15514.34</v>
      </c>
      <c r="F139" s="318">
        <v>13690.81</v>
      </c>
      <c r="G139" s="318">
        <v>35.72</v>
      </c>
      <c r="H139" s="318">
        <v>450.58</v>
      </c>
      <c r="I139" s="318">
        <v>1337.23</v>
      </c>
      <c r="J139" s="106">
        <v>1305.28</v>
      </c>
      <c r="K139" s="320">
        <v>0</v>
      </c>
      <c r="L139" s="310">
        <v>0</v>
      </c>
      <c r="M139" s="309">
        <v>0</v>
      </c>
      <c r="N139" s="191">
        <f t="shared" si="3"/>
        <v>1305.28</v>
      </c>
    </row>
    <row r="140" spans="1:27" ht="14.4" customHeight="1">
      <c r="A140" s="11" t="s">
        <v>184</v>
      </c>
      <c r="B140" s="191"/>
      <c r="C140" s="190">
        <f t="shared" si="4"/>
        <v>16004.830000000002</v>
      </c>
      <c r="D140" s="324" t="s">
        <v>221</v>
      </c>
      <c r="E140" s="324">
        <v>15918.27</v>
      </c>
      <c r="F140" s="324">
        <v>13968.1</v>
      </c>
      <c r="G140" s="324">
        <v>132.69</v>
      </c>
      <c r="H140" s="324">
        <v>387.69</v>
      </c>
      <c r="I140" s="324">
        <v>1429.79</v>
      </c>
      <c r="J140" s="106" t="s">
        <v>222</v>
      </c>
      <c r="K140" s="106">
        <v>0</v>
      </c>
      <c r="L140" s="310">
        <v>0</v>
      </c>
      <c r="M140" s="309">
        <v>0</v>
      </c>
      <c r="N140" s="191">
        <v>1516.35</v>
      </c>
    </row>
    <row r="141" spans="1:27" ht="14.4" customHeight="1">
      <c r="A141" s="11" t="s">
        <v>186</v>
      </c>
      <c r="B141" s="191"/>
      <c r="C141" s="190">
        <f t="shared" si="4"/>
        <v>14512.87</v>
      </c>
      <c r="D141" s="324" t="s">
        <v>223</v>
      </c>
      <c r="E141" s="324">
        <v>14784.64</v>
      </c>
      <c r="F141" s="324">
        <v>12887.62</v>
      </c>
      <c r="G141" s="324">
        <v>0</v>
      </c>
      <c r="H141" s="324">
        <v>89.75</v>
      </c>
      <c r="I141" s="324">
        <v>1807.27</v>
      </c>
      <c r="J141" s="106">
        <v>1800.88</v>
      </c>
      <c r="K141" s="106">
        <v>265.38</v>
      </c>
      <c r="L141" s="310">
        <v>0</v>
      </c>
      <c r="M141" s="309">
        <v>0</v>
      </c>
      <c r="N141" s="191">
        <f t="shared" ref="N141:N146" si="5">(J141-K141)+(L141-M141)</f>
        <v>1535.5</v>
      </c>
    </row>
    <row r="142" spans="1:27" ht="14.4" customHeight="1">
      <c r="A142" s="191" t="s">
        <v>188</v>
      </c>
      <c r="B142" s="191"/>
      <c r="C142" s="190">
        <f t="shared" si="4"/>
        <v>15776.71</v>
      </c>
      <c r="D142" s="323">
        <v>469</v>
      </c>
      <c r="E142" s="324">
        <v>15974.43</v>
      </c>
      <c r="F142" s="324">
        <v>13940.75</v>
      </c>
      <c r="G142" s="324">
        <v>38.9</v>
      </c>
      <c r="H142" s="324">
        <v>240.08</v>
      </c>
      <c r="I142" s="324">
        <v>1754.7</v>
      </c>
      <c r="J142" s="339" t="s">
        <v>224</v>
      </c>
      <c r="K142" s="339" t="s">
        <v>225</v>
      </c>
      <c r="L142" s="324">
        <v>0</v>
      </c>
      <c r="M142" s="324">
        <v>0</v>
      </c>
      <c r="N142" s="191">
        <f t="shared" si="5"/>
        <v>1556.98</v>
      </c>
      <c r="O142" s="324"/>
      <c r="P142" s="324"/>
      <c r="Q142" s="324"/>
      <c r="R142" s="324"/>
      <c r="S142" s="324"/>
      <c r="T142" s="324"/>
      <c r="U142" s="324"/>
      <c r="V142" s="324"/>
      <c r="W142" s="324"/>
      <c r="X142" s="324"/>
      <c r="Y142" s="324"/>
      <c r="Z142" s="324"/>
      <c r="AA142" s="324"/>
    </row>
    <row r="143" spans="1:27" ht="14.4" customHeight="1">
      <c r="A143" s="191" t="s">
        <v>192</v>
      </c>
      <c r="B143" s="191"/>
      <c r="C143" s="190">
        <f t="shared" si="4"/>
        <v>16708.87</v>
      </c>
      <c r="D143" s="323">
        <v>487</v>
      </c>
      <c r="E143" s="324">
        <v>17148.84</v>
      </c>
      <c r="F143" s="324">
        <v>14275.98</v>
      </c>
      <c r="G143" s="324">
        <v>127.87</v>
      </c>
      <c r="H143" s="324">
        <v>267.42</v>
      </c>
      <c r="I143" s="324">
        <v>2477.5700000000002</v>
      </c>
      <c r="J143" s="335">
        <v>2360.58</v>
      </c>
      <c r="K143" s="335">
        <v>322.98</v>
      </c>
      <c r="L143" s="324">
        <v>0</v>
      </c>
      <c r="M143" s="324">
        <v>0</v>
      </c>
      <c r="N143" s="191">
        <f t="shared" si="5"/>
        <v>2037.6</v>
      </c>
      <c r="O143" s="324"/>
      <c r="P143" s="324"/>
      <c r="Q143" s="324"/>
      <c r="R143" s="324"/>
      <c r="S143" s="324"/>
      <c r="T143" s="324"/>
      <c r="U143" s="324"/>
      <c r="V143" s="324"/>
      <c r="W143" s="324"/>
      <c r="X143" s="324"/>
      <c r="Y143" s="324"/>
      <c r="Z143" s="324"/>
      <c r="AA143" s="324"/>
    </row>
    <row r="144" spans="1:27" ht="14.4" customHeight="1">
      <c r="A144" s="346" t="s">
        <v>193</v>
      </c>
      <c r="B144" s="346"/>
      <c r="C144" s="349">
        <f t="shared" si="4"/>
        <v>16279.46</v>
      </c>
      <c r="D144" s="323">
        <v>461</v>
      </c>
      <c r="E144" s="324">
        <v>16630.39</v>
      </c>
      <c r="F144" s="324">
        <v>14190.46</v>
      </c>
      <c r="G144" s="324">
        <v>55.19</v>
      </c>
      <c r="H144" s="324">
        <v>344.17</v>
      </c>
      <c r="I144" s="324">
        <v>2040.57</v>
      </c>
      <c r="J144" s="335">
        <v>2027.38</v>
      </c>
      <c r="K144" s="335">
        <v>337.74</v>
      </c>
      <c r="L144" s="324">
        <v>0</v>
      </c>
      <c r="M144" s="324">
        <v>0</v>
      </c>
      <c r="N144" s="191">
        <f t="shared" si="5"/>
        <v>1689.64</v>
      </c>
      <c r="O144" s="324"/>
      <c r="P144" s="324"/>
      <c r="Q144" s="324"/>
      <c r="R144" s="324"/>
      <c r="S144" s="324"/>
      <c r="T144" s="324"/>
      <c r="U144" s="324"/>
      <c r="V144" s="324"/>
      <c r="W144" s="324"/>
      <c r="X144" s="324"/>
      <c r="Y144" s="324"/>
      <c r="Z144" s="324"/>
      <c r="AA144" s="324"/>
    </row>
    <row r="145" spans="1:27" ht="27.6" customHeight="1">
      <c r="A145" s="346" t="s">
        <v>194</v>
      </c>
      <c r="B145" s="346"/>
      <c r="C145" s="349">
        <f t="shared" si="4"/>
        <v>15628.16</v>
      </c>
      <c r="D145" s="323">
        <v>458</v>
      </c>
      <c r="E145" s="324">
        <v>15889.77</v>
      </c>
      <c r="F145" s="324">
        <v>13236.13</v>
      </c>
      <c r="G145" s="324">
        <v>48.33</v>
      </c>
      <c r="H145" s="324">
        <v>530.02</v>
      </c>
      <c r="I145" s="324">
        <v>2075.29</v>
      </c>
      <c r="J145" s="335">
        <v>2107.12</v>
      </c>
      <c r="K145" s="335">
        <v>293.44</v>
      </c>
      <c r="L145" s="324">
        <v>0</v>
      </c>
      <c r="M145" s="324">
        <v>0</v>
      </c>
      <c r="N145" s="191">
        <f t="shared" si="5"/>
        <v>1813.6799999999998</v>
      </c>
      <c r="O145" s="324"/>
      <c r="P145" s="324"/>
      <c r="Q145" s="324"/>
      <c r="R145" s="324"/>
      <c r="S145" s="324"/>
      <c r="T145" s="324"/>
      <c r="U145" s="324"/>
      <c r="V145" s="324"/>
      <c r="W145" s="324"/>
      <c r="X145" s="324"/>
      <c r="Y145" s="324"/>
      <c r="Z145" s="324"/>
      <c r="AA145" s="324"/>
    </row>
    <row r="146" spans="1:27" ht="27.6" customHeight="1">
      <c r="A146" s="346" t="s">
        <v>482</v>
      </c>
      <c r="B146" s="346"/>
      <c r="C146" s="349">
        <f t="shared" si="4"/>
        <v>18724.219999999998</v>
      </c>
      <c r="D146" s="323">
        <v>455</v>
      </c>
      <c r="E146" s="324">
        <v>19078.48</v>
      </c>
      <c r="F146" s="324">
        <v>16351.38</v>
      </c>
      <c r="G146" s="324">
        <v>63.72</v>
      </c>
      <c r="H146" s="324">
        <v>242.19</v>
      </c>
      <c r="I146" s="324">
        <v>2421.19</v>
      </c>
      <c r="J146" s="335">
        <v>2421.19</v>
      </c>
      <c r="K146" s="335">
        <v>354.26</v>
      </c>
      <c r="L146" s="324">
        <v>0</v>
      </c>
      <c r="M146" s="324">
        <v>0</v>
      </c>
      <c r="N146" s="191">
        <f t="shared" si="5"/>
        <v>2066.9300000000003</v>
      </c>
      <c r="O146" s="324"/>
      <c r="P146" s="324"/>
      <c r="Q146" s="324"/>
      <c r="R146" s="324"/>
      <c r="S146" s="324"/>
      <c r="T146" s="324"/>
      <c r="U146" s="324"/>
      <c r="V146" s="324"/>
      <c r="W146" s="324"/>
      <c r="X146" s="324"/>
      <c r="Y146" s="324"/>
      <c r="Z146" s="324"/>
      <c r="AA146" s="324"/>
    </row>
    <row r="147" spans="1:27" ht="14.4" customHeight="1">
      <c r="A147" s="346"/>
      <c r="B147" s="346"/>
      <c r="C147" s="349"/>
      <c r="D147" s="323"/>
      <c r="E147" s="324"/>
      <c r="F147" s="324"/>
      <c r="G147" s="324"/>
      <c r="H147" s="324"/>
      <c r="I147" s="324"/>
      <c r="J147" s="335"/>
      <c r="K147" s="335"/>
      <c r="L147" s="324"/>
      <c r="M147" s="324"/>
      <c r="N147" s="191"/>
      <c r="O147" s="324"/>
      <c r="P147" s="324"/>
      <c r="Q147" s="324"/>
      <c r="R147" s="324"/>
      <c r="S147" s="324"/>
      <c r="T147" s="324"/>
      <c r="U147" s="324"/>
      <c r="V147" s="324"/>
      <c r="W147" s="324"/>
      <c r="X147" s="324"/>
      <c r="Y147" s="324"/>
      <c r="Z147" s="324"/>
      <c r="AA147" s="324"/>
    </row>
    <row r="148" spans="1:27" ht="14.4" customHeight="1">
      <c r="A148" s="224" t="s">
        <v>226</v>
      </c>
      <c r="B148" s="327"/>
      <c r="C148" s="326"/>
      <c r="D148" s="224"/>
      <c r="E148" s="224"/>
      <c r="F148" s="45"/>
      <c r="G148" s="45"/>
      <c r="H148" s="45"/>
      <c r="I148" s="30"/>
      <c r="J148" s="191"/>
      <c r="K148" s="191"/>
      <c r="L148" s="191"/>
      <c r="M148" s="191"/>
      <c r="N148" s="191"/>
    </row>
    <row r="149" spans="1:27" ht="14.4" customHeight="1">
      <c r="A149" s="198" t="s">
        <v>0</v>
      </c>
      <c r="B149" s="191"/>
      <c r="C149" s="198" t="s">
        <v>1</v>
      </c>
      <c r="D149" s="198"/>
      <c r="E149" s="198"/>
      <c r="F149" s="191"/>
      <c r="G149" s="191"/>
      <c r="H149" s="191"/>
      <c r="I149" s="191"/>
      <c r="J149" s="191"/>
      <c r="K149" s="191"/>
      <c r="L149" s="191"/>
      <c r="M149" s="191"/>
      <c r="N149" s="191"/>
    </row>
    <row r="150" spans="1:27" ht="14.4" customHeight="1">
      <c r="A150" s="11" t="s">
        <v>174</v>
      </c>
      <c r="B150" s="173"/>
      <c r="C150" s="173">
        <v>12151.46</v>
      </c>
      <c r="D150" s="173"/>
      <c r="E150" s="173"/>
      <c r="F150" s="173"/>
      <c r="G150" s="173"/>
      <c r="H150" s="173"/>
      <c r="I150" s="173"/>
      <c r="J150" s="173"/>
      <c r="K150" s="173"/>
      <c r="L150" s="173"/>
      <c r="M150" s="173"/>
      <c r="N150" s="173"/>
    </row>
    <row r="151" spans="1:27" ht="14.4" customHeight="1">
      <c r="A151" s="11" t="s">
        <v>176</v>
      </c>
      <c r="B151" s="173"/>
      <c r="C151" s="190">
        <v>24770.57</v>
      </c>
      <c r="D151" s="173"/>
      <c r="E151" s="173"/>
      <c r="F151" s="173"/>
      <c r="G151" s="173"/>
      <c r="H151" s="173"/>
      <c r="I151" s="173"/>
      <c r="J151" s="173"/>
      <c r="K151" s="173"/>
      <c r="L151" s="173"/>
      <c r="M151" s="173"/>
      <c r="N151" s="173"/>
    </row>
    <row r="152" spans="1:27" ht="14.4" customHeight="1">
      <c r="A152" s="11" t="s">
        <v>178</v>
      </c>
      <c r="B152" s="173"/>
      <c r="C152" s="173">
        <v>14955.6</v>
      </c>
      <c r="D152" s="173"/>
      <c r="E152" s="173"/>
      <c r="F152" s="173"/>
      <c r="G152" s="173"/>
      <c r="H152" s="173"/>
      <c r="I152" s="173"/>
      <c r="J152" s="173"/>
      <c r="K152" s="173"/>
      <c r="L152" s="173"/>
      <c r="M152" s="173"/>
      <c r="N152" s="173"/>
    </row>
    <row r="153" spans="1:27" ht="14.4">
      <c r="A153" s="11" t="s">
        <v>180</v>
      </c>
      <c r="B153" s="173"/>
      <c r="C153" s="190">
        <v>16935.810000000001</v>
      </c>
      <c r="D153" s="173"/>
      <c r="E153" s="173"/>
      <c r="F153" s="173"/>
      <c r="G153" s="173"/>
      <c r="H153" s="173"/>
      <c r="I153" s="173"/>
      <c r="J153" s="173"/>
      <c r="K153" s="173"/>
      <c r="L153" s="173"/>
      <c r="M153" s="173"/>
      <c r="N153" s="173"/>
    </row>
    <row r="154" spans="1:27">
      <c r="A154" s="2" t="s">
        <v>182</v>
      </c>
      <c r="B154" s="191"/>
      <c r="C154" s="190">
        <v>15482.39</v>
      </c>
    </row>
    <row r="155" spans="1:27">
      <c r="A155" s="2" t="s">
        <v>184</v>
      </c>
      <c r="B155" s="191"/>
      <c r="C155" s="190">
        <v>16004.83</v>
      </c>
    </row>
    <row r="156" spans="1:27">
      <c r="A156" s="2" t="s">
        <v>186</v>
      </c>
      <c r="B156" s="191"/>
      <c r="C156" s="190">
        <v>14512.87</v>
      </c>
    </row>
    <row r="157" spans="1:27">
      <c r="A157" s="2" t="s">
        <v>188</v>
      </c>
      <c r="B157" s="191"/>
      <c r="C157" s="190">
        <v>15776.71</v>
      </c>
    </row>
    <row r="158" spans="1:27">
      <c r="A158" s="2" t="s">
        <v>192</v>
      </c>
      <c r="B158" s="191"/>
      <c r="C158" s="190">
        <v>16708.87</v>
      </c>
    </row>
    <row r="159" spans="1:27">
      <c r="A159" s="2" t="s">
        <v>193</v>
      </c>
      <c r="B159" s="191"/>
      <c r="C159" s="190">
        <v>16279.46</v>
      </c>
    </row>
    <row r="160" spans="1:27">
      <c r="A160" s="2" t="s">
        <v>194</v>
      </c>
      <c r="B160" s="191"/>
      <c r="C160" s="190">
        <v>15628.16</v>
      </c>
    </row>
    <row r="161" spans="1:3">
      <c r="A161" s="2" t="s">
        <v>482</v>
      </c>
      <c r="B161" s="191"/>
      <c r="C161" s="190">
        <v>18724.219999999998</v>
      </c>
    </row>
  </sheetData>
  <mergeCells count="2">
    <mergeCell ref="K1:O1"/>
    <mergeCell ref="H1:I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60"/>
  <sheetViews>
    <sheetView topLeftCell="A74" zoomScaleNormal="100" workbookViewId="0">
      <pane ySplit="2" topLeftCell="A122" activePane="bottomLeft" state="frozen"/>
      <selection activeCell="F74" sqref="F74"/>
      <selection pane="bottomLeft" activeCell="F148" sqref="F148"/>
    </sheetView>
  </sheetViews>
  <sheetFormatPr defaultRowHeight="14.4"/>
  <cols>
    <col min="1" max="1" width="31.109375" customWidth="1"/>
    <col min="3" max="3" width="30.33203125" style="14" customWidth="1"/>
    <col min="4" max="4" width="18" style="14" customWidth="1"/>
    <col min="5" max="5" width="30.33203125" style="14" customWidth="1"/>
    <col min="6" max="6" width="18" customWidth="1"/>
    <col min="7" max="7" width="15.6640625" customWidth="1"/>
    <col min="8" max="8" width="16.5546875" customWidth="1"/>
    <col min="9" max="9" width="17" customWidth="1"/>
    <col min="10" max="10" width="18.5546875" customWidth="1"/>
    <col min="11" max="13" width="23.109375" customWidth="1"/>
    <col min="14" max="14" width="15.109375" customWidth="1"/>
    <col min="15" max="15" width="16.109375" customWidth="1"/>
  </cols>
  <sheetData>
    <row r="1" spans="1:16" ht="32.4" customHeight="1">
      <c r="A1" s="7" t="s">
        <v>0</v>
      </c>
      <c r="B1" s="19"/>
      <c r="C1" s="8" t="s">
        <v>1</v>
      </c>
      <c r="D1" s="163"/>
      <c r="E1" s="163"/>
      <c r="I1" s="370">
        <v>2021</v>
      </c>
      <c r="J1" s="365"/>
      <c r="K1" s="370">
        <v>2022</v>
      </c>
      <c r="L1" s="364"/>
      <c r="M1" s="364"/>
      <c r="N1" s="365"/>
      <c r="O1" s="371">
        <v>2023</v>
      </c>
      <c r="P1" s="365"/>
    </row>
    <row r="2" spans="1:16" ht="27.6" customHeight="1">
      <c r="A2" s="2" t="s">
        <v>2</v>
      </c>
      <c r="B2" s="19"/>
      <c r="C2" s="16">
        <v>26049.7</v>
      </c>
      <c r="D2" s="229"/>
      <c r="E2" s="229"/>
      <c r="I2" s="2" t="s">
        <v>3</v>
      </c>
      <c r="J2" s="1"/>
      <c r="K2" s="2" t="s">
        <v>3</v>
      </c>
      <c r="L2" s="2"/>
      <c r="M2" s="2"/>
      <c r="N2" s="4"/>
      <c r="O2" s="2" t="s">
        <v>3</v>
      </c>
      <c r="P2" s="4"/>
    </row>
    <row r="3" spans="1:16" ht="27.6" customHeight="1">
      <c r="A3" s="2" t="s">
        <v>4</v>
      </c>
      <c r="B3" s="11"/>
      <c r="C3" s="16">
        <v>22729.95</v>
      </c>
      <c r="D3" s="229"/>
      <c r="E3" s="229"/>
      <c r="I3" s="2" t="s">
        <v>5</v>
      </c>
      <c r="J3" s="1"/>
      <c r="K3" s="2" t="s">
        <v>5</v>
      </c>
      <c r="L3" s="2"/>
      <c r="M3" s="2"/>
      <c r="N3" s="4"/>
      <c r="O3" s="2" t="s">
        <v>5</v>
      </c>
      <c r="P3" s="4"/>
    </row>
    <row r="4" spans="1:16" ht="27.6" customHeight="1">
      <c r="A4" s="2" t="s">
        <v>6</v>
      </c>
      <c r="B4" s="19"/>
      <c r="C4" s="16">
        <v>19150.68</v>
      </c>
      <c r="D4" s="229"/>
      <c r="E4" s="229"/>
      <c r="I4" s="2" t="s">
        <v>7</v>
      </c>
      <c r="J4" s="1"/>
      <c r="K4" s="2" t="s">
        <v>7</v>
      </c>
      <c r="L4" s="2"/>
      <c r="M4" s="2"/>
      <c r="N4" s="4"/>
      <c r="O4" s="2" t="s">
        <v>7</v>
      </c>
      <c r="P4" s="4"/>
    </row>
    <row r="5" spans="1:16" ht="27.6" customHeight="1">
      <c r="A5" s="2" t="s">
        <v>8</v>
      </c>
      <c r="B5" s="19"/>
      <c r="C5" s="16">
        <v>20976.15</v>
      </c>
      <c r="D5" s="229"/>
      <c r="E5" s="229"/>
      <c r="I5" s="2" t="s">
        <v>9</v>
      </c>
      <c r="J5" s="1"/>
      <c r="K5" s="2" t="s">
        <v>9</v>
      </c>
      <c r="L5" s="2"/>
      <c r="M5" s="2"/>
      <c r="N5" s="4"/>
      <c r="O5" s="2" t="s">
        <v>9</v>
      </c>
      <c r="P5" s="4"/>
    </row>
    <row r="6" spans="1:16" ht="27.6" customHeight="1">
      <c r="A6" s="2" t="s">
        <v>10</v>
      </c>
      <c r="B6" s="19"/>
      <c r="C6" s="16">
        <v>19281.47</v>
      </c>
      <c r="D6" s="229"/>
      <c r="E6" s="229"/>
      <c r="I6" s="2" t="s">
        <v>11</v>
      </c>
      <c r="J6" s="1"/>
      <c r="K6" s="2" t="s">
        <v>11</v>
      </c>
      <c r="L6" s="2"/>
      <c r="M6" s="2"/>
      <c r="N6" s="4"/>
      <c r="O6" s="2" t="s">
        <v>11</v>
      </c>
      <c r="P6" s="4"/>
    </row>
    <row r="7" spans="1:16" ht="27.6" customHeight="1">
      <c r="A7" s="2" t="s">
        <v>12</v>
      </c>
      <c r="B7" s="19"/>
      <c r="C7" s="24">
        <v>21980.84</v>
      </c>
      <c r="D7" s="230"/>
      <c r="E7" s="230"/>
      <c r="I7" s="2" t="s">
        <v>13</v>
      </c>
      <c r="J7" s="1"/>
      <c r="K7" s="2" t="s">
        <v>13</v>
      </c>
      <c r="L7" s="2"/>
      <c r="M7" s="2"/>
      <c r="N7" s="4"/>
      <c r="O7" s="2" t="s">
        <v>13</v>
      </c>
      <c r="P7" s="4"/>
    </row>
    <row r="8" spans="1:16" ht="27.6" customHeight="1">
      <c r="A8" s="2" t="s">
        <v>14</v>
      </c>
      <c r="B8" s="19"/>
      <c r="C8" s="16">
        <v>22217.19</v>
      </c>
      <c r="D8" s="229"/>
      <c r="E8" s="229"/>
      <c r="I8" s="2" t="s">
        <v>15</v>
      </c>
      <c r="J8" s="4"/>
      <c r="K8" s="2" t="s">
        <v>15</v>
      </c>
      <c r="L8" s="2"/>
      <c r="M8" s="2"/>
      <c r="N8" s="4"/>
      <c r="O8" s="2" t="s">
        <v>15</v>
      </c>
      <c r="P8" s="4"/>
    </row>
    <row r="9" spans="1:16" ht="27.6" customHeight="1">
      <c r="A9" s="2" t="s">
        <v>16</v>
      </c>
      <c r="B9" s="19"/>
      <c r="C9" s="16">
        <v>20227.23</v>
      </c>
      <c r="D9" s="229"/>
      <c r="E9" s="229"/>
      <c r="I9" s="2" t="s">
        <v>17</v>
      </c>
      <c r="J9" s="4"/>
      <c r="K9" s="2" t="s">
        <v>17</v>
      </c>
      <c r="L9" s="2"/>
      <c r="M9" s="2"/>
      <c r="N9" s="4"/>
      <c r="O9" s="2" t="s">
        <v>17</v>
      </c>
      <c r="P9" s="4"/>
    </row>
    <row r="10" spans="1:16" ht="27.6" customHeight="1">
      <c r="A10" s="2" t="s">
        <v>18</v>
      </c>
      <c r="B10" s="19"/>
      <c r="C10" s="16">
        <v>21580.85</v>
      </c>
      <c r="D10" s="229"/>
      <c r="E10" s="229"/>
      <c r="I10" s="2" t="s">
        <v>19</v>
      </c>
      <c r="J10" s="4"/>
      <c r="K10" s="2" t="s">
        <v>19</v>
      </c>
      <c r="L10" s="2"/>
      <c r="M10" s="2"/>
      <c r="N10" s="4"/>
      <c r="O10" s="2" t="s">
        <v>19</v>
      </c>
      <c r="P10" s="4"/>
    </row>
    <row r="11" spans="1:16" ht="27.6" customHeight="1">
      <c r="A11" s="2" t="s">
        <v>20</v>
      </c>
      <c r="B11" s="19"/>
      <c r="C11" s="16">
        <v>21160.1</v>
      </c>
      <c r="D11" s="229"/>
      <c r="E11" s="229"/>
      <c r="I11" s="2" t="s">
        <v>21</v>
      </c>
      <c r="J11" s="4"/>
      <c r="K11" s="2" t="s">
        <v>21</v>
      </c>
      <c r="L11" s="2"/>
      <c r="M11" s="2"/>
      <c r="N11" s="4"/>
      <c r="O11" s="2" t="s">
        <v>21</v>
      </c>
      <c r="P11" s="4"/>
    </row>
    <row r="12" spans="1:16" ht="27.6" customHeight="1">
      <c r="A12" s="2" t="s">
        <v>22</v>
      </c>
      <c r="B12" s="19"/>
      <c r="C12" s="16">
        <v>21675.23</v>
      </c>
      <c r="D12" s="229"/>
      <c r="E12" s="229"/>
      <c r="I12" s="2" t="s">
        <v>23</v>
      </c>
      <c r="J12" s="4"/>
      <c r="K12" s="2" t="s">
        <v>23</v>
      </c>
      <c r="L12" s="2"/>
      <c r="M12" s="2"/>
      <c r="N12" s="4"/>
      <c r="O12" s="2" t="s">
        <v>23</v>
      </c>
      <c r="P12" s="1"/>
    </row>
    <row r="13" spans="1:16" ht="27.6" customHeight="1">
      <c r="A13" s="2" t="s">
        <v>24</v>
      </c>
      <c r="B13" s="19"/>
      <c r="C13" s="16">
        <v>21532.99</v>
      </c>
      <c r="D13" s="229"/>
      <c r="E13" s="229"/>
      <c r="I13" s="2" t="s">
        <v>25</v>
      </c>
      <c r="J13" s="4"/>
      <c r="K13" s="2" t="s">
        <v>25</v>
      </c>
      <c r="L13" s="2"/>
      <c r="M13" s="2"/>
      <c r="N13" s="4"/>
      <c r="O13" s="2" t="s">
        <v>25</v>
      </c>
      <c r="P13" s="1"/>
    </row>
    <row r="14" spans="1:16" ht="27.6" customHeight="1">
      <c r="A14" s="2" t="s">
        <v>26</v>
      </c>
      <c r="B14" s="19"/>
      <c r="C14" s="16">
        <v>21351.69</v>
      </c>
      <c r="D14" s="229"/>
      <c r="E14" s="229"/>
      <c r="I14" s="5"/>
      <c r="J14" s="6"/>
      <c r="K14" s="5"/>
      <c r="L14" s="5"/>
      <c r="M14" s="5"/>
      <c r="N14" s="6"/>
      <c r="O14" s="5"/>
    </row>
    <row r="15" spans="1:16" ht="27.6" customHeight="1">
      <c r="A15" s="2" t="s">
        <v>27</v>
      </c>
      <c r="B15" s="19"/>
      <c r="C15" s="16">
        <v>18942.47</v>
      </c>
      <c r="D15" s="229"/>
      <c r="E15" s="229"/>
      <c r="I15" s="5"/>
      <c r="J15" s="6"/>
      <c r="K15" s="5"/>
      <c r="L15" s="5"/>
      <c r="M15" s="5"/>
      <c r="N15" s="6"/>
      <c r="O15" s="5"/>
    </row>
    <row r="16" spans="1:16" ht="27.6" customHeight="1">
      <c r="A16" s="2" t="s">
        <v>28</v>
      </c>
      <c r="B16" s="19"/>
      <c r="C16" s="16">
        <v>18663.72</v>
      </c>
      <c r="D16" s="229"/>
      <c r="E16" s="229"/>
      <c r="I16" s="5"/>
      <c r="J16" s="6"/>
      <c r="K16" s="5"/>
      <c r="L16" s="5"/>
      <c r="M16" s="5"/>
      <c r="N16" s="6"/>
      <c r="O16" s="5"/>
    </row>
    <row r="17" spans="1:15" ht="27.6" customHeight="1">
      <c r="A17" s="2" t="s">
        <v>29</v>
      </c>
      <c r="B17" s="19"/>
      <c r="C17" s="16">
        <v>17784.97</v>
      </c>
      <c r="D17" s="229"/>
      <c r="E17" s="229"/>
      <c r="I17" s="5"/>
      <c r="J17" s="6"/>
      <c r="K17" s="5"/>
      <c r="L17" s="5"/>
      <c r="M17" s="5"/>
      <c r="N17" s="6"/>
      <c r="O17" s="5"/>
    </row>
    <row r="18" spans="1:15" ht="27.6" customHeight="1">
      <c r="A18" s="2" t="s">
        <v>30</v>
      </c>
      <c r="B18" s="19"/>
      <c r="C18" s="16">
        <v>20137.82</v>
      </c>
      <c r="D18" s="229"/>
      <c r="E18" s="229"/>
      <c r="I18" s="5"/>
      <c r="J18" s="6"/>
      <c r="K18" s="5"/>
      <c r="L18" s="5"/>
      <c r="M18" s="5"/>
      <c r="N18" s="6"/>
      <c r="O18" s="5"/>
    </row>
    <row r="19" spans="1:15" ht="27.6" customHeight="1">
      <c r="A19" s="2" t="s">
        <v>31</v>
      </c>
      <c r="B19" s="19"/>
      <c r="C19" s="25">
        <v>29483.599999999999</v>
      </c>
      <c r="D19" s="231"/>
      <c r="E19" s="231"/>
      <c r="I19" s="5"/>
      <c r="J19" s="6"/>
      <c r="K19" s="5"/>
      <c r="L19" s="5"/>
      <c r="M19" s="5"/>
      <c r="N19" s="6"/>
      <c r="O19" s="5"/>
    </row>
    <row r="20" spans="1:15">
      <c r="A20" s="2" t="s">
        <v>32</v>
      </c>
      <c r="B20" s="19"/>
      <c r="C20" s="25">
        <v>19057.18</v>
      </c>
      <c r="D20" s="231"/>
      <c r="E20" s="231"/>
      <c r="I20" s="5"/>
      <c r="J20" s="6"/>
      <c r="K20" s="5"/>
      <c r="L20" s="5"/>
      <c r="M20" s="5"/>
      <c r="N20" s="6"/>
      <c r="O20" s="5"/>
    </row>
    <row r="21" spans="1:15">
      <c r="A21" s="2" t="s">
        <v>33</v>
      </c>
      <c r="B21" s="19"/>
      <c r="C21" s="25">
        <v>16748.41</v>
      </c>
      <c r="D21" s="231"/>
      <c r="E21" s="231"/>
      <c r="I21" s="5"/>
      <c r="J21" s="6"/>
      <c r="K21" s="5"/>
      <c r="L21" s="5"/>
      <c r="M21" s="5"/>
      <c r="N21" s="6"/>
      <c r="O21" s="5"/>
    </row>
    <row r="22" spans="1:15">
      <c r="A22" s="2" t="s">
        <v>34</v>
      </c>
      <c r="B22" s="19"/>
      <c r="C22" s="16">
        <v>17827.580000000002</v>
      </c>
      <c r="D22" s="229"/>
      <c r="E22" s="229"/>
      <c r="I22" s="5"/>
      <c r="J22" s="6"/>
      <c r="K22" s="5"/>
      <c r="L22" s="5"/>
      <c r="M22" s="5"/>
      <c r="N22" s="6"/>
      <c r="O22" s="5"/>
    </row>
    <row r="23" spans="1:15">
      <c r="A23" s="2" t="s">
        <v>35</v>
      </c>
      <c r="B23" s="19"/>
      <c r="C23" s="25">
        <v>15105.89</v>
      </c>
      <c r="D23" s="231"/>
      <c r="E23" s="231"/>
      <c r="I23" s="5"/>
      <c r="J23" s="6"/>
      <c r="K23" s="5"/>
      <c r="L23" s="5"/>
      <c r="M23" s="5"/>
      <c r="N23" s="6"/>
      <c r="O23" s="5"/>
    </row>
    <row r="24" spans="1:15">
      <c r="A24" s="2" t="s">
        <v>36</v>
      </c>
      <c r="B24" s="1"/>
      <c r="C24" s="17">
        <v>15592.57</v>
      </c>
      <c r="D24" s="232"/>
      <c r="E24" s="232"/>
      <c r="I24" s="5"/>
      <c r="J24" s="6"/>
      <c r="K24" s="5"/>
      <c r="L24" s="5"/>
      <c r="M24" s="5"/>
      <c r="N24" s="6"/>
      <c r="O24" s="5"/>
    </row>
    <row r="25" spans="1:15">
      <c r="A25" s="2" t="s">
        <v>37</v>
      </c>
      <c r="B25" s="1"/>
      <c r="C25" s="25">
        <v>15907.12</v>
      </c>
      <c r="D25" s="231"/>
      <c r="E25" s="231"/>
      <c r="I25" s="5"/>
      <c r="J25" s="6"/>
      <c r="K25" s="5"/>
      <c r="L25" s="5"/>
      <c r="M25" s="5"/>
      <c r="N25" s="6"/>
      <c r="O25" s="5"/>
    </row>
    <row r="26" spans="1:15">
      <c r="A26" s="2" t="s">
        <v>38</v>
      </c>
      <c r="B26" s="9"/>
      <c r="C26" s="25">
        <v>15923.94</v>
      </c>
      <c r="D26" s="231"/>
      <c r="E26" s="231"/>
      <c r="I26" s="5"/>
      <c r="J26" s="6"/>
      <c r="K26" s="5"/>
      <c r="L26" s="5"/>
      <c r="M26" s="5"/>
      <c r="N26" s="6"/>
      <c r="O26" s="5"/>
    </row>
    <row r="27" spans="1:15">
      <c r="A27" s="2" t="s">
        <v>39</v>
      </c>
      <c r="B27" s="19"/>
      <c r="C27" s="17">
        <v>17147.16</v>
      </c>
      <c r="D27" s="232"/>
      <c r="E27" s="232"/>
      <c r="I27" s="5"/>
      <c r="J27" s="6"/>
      <c r="K27" s="5"/>
      <c r="L27" s="5"/>
      <c r="M27" s="5"/>
      <c r="N27" s="6"/>
      <c r="O27" s="5"/>
    </row>
    <row r="28" spans="1:15">
      <c r="A28" s="45" t="s">
        <v>40</v>
      </c>
      <c r="B28" s="19"/>
      <c r="C28" s="17">
        <v>14994.2</v>
      </c>
      <c r="D28" s="232"/>
      <c r="E28" s="232"/>
      <c r="I28" s="5"/>
      <c r="J28" s="6"/>
      <c r="K28" s="5"/>
      <c r="L28" s="5"/>
      <c r="M28" s="5"/>
      <c r="N28" s="6"/>
      <c r="O28" s="5"/>
    </row>
    <row r="29" spans="1:15">
      <c r="A29" s="45" t="s">
        <v>41</v>
      </c>
      <c r="B29" s="19"/>
      <c r="C29" s="17">
        <v>16291.42</v>
      </c>
      <c r="D29" s="232"/>
      <c r="E29" s="232"/>
      <c r="I29" s="5"/>
      <c r="J29" s="6"/>
      <c r="K29" s="5"/>
      <c r="L29" s="5"/>
      <c r="M29" s="5"/>
      <c r="N29" s="6"/>
      <c r="O29" s="5"/>
    </row>
    <row r="30" spans="1:15">
      <c r="A30" s="45" t="s">
        <v>42</v>
      </c>
      <c r="B30" s="19"/>
      <c r="C30" s="17">
        <v>12530.45</v>
      </c>
      <c r="D30" s="232"/>
      <c r="E30" s="232"/>
      <c r="I30" s="5"/>
      <c r="J30" s="6"/>
      <c r="K30" s="5"/>
      <c r="L30" s="5"/>
      <c r="M30" s="5"/>
      <c r="N30" s="6"/>
      <c r="O30" s="5"/>
    </row>
    <row r="31" spans="1:15">
      <c r="A31" s="45" t="s">
        <v>43</v>
      </c>
      <c r="B31" s="19"/>
      <c r="C31" s="28">
        <v>14591.22</v>
      </c>
      <c r="D31" s="232"/>
      <c r="E31" s="232"/>
      <c r="I31" s="5"/>
      <c r="J31" s="6"/>
      <c r="K31" s="5"/>
      <c r="L31" s="5"/>
      <c r="M31" s="5"/>
      <c r="N31" s="6"/>
      <c r="O31" s="5"/>
    </row>
    <row r="32" spans="1:15">
      <c r="A32" s="45" t="s">
        <v>44</v>
      </c>
      <c r="B32" s="48"/>
      <c r="C32" s="17">
        <v>16213.1</v>
      </c>
      <c r="D32" s="232"/>
      <c r="E32" s="232"/>
      <c r="I32" s="5"/>
      <c r="J32" s="6"/>
      <c r="K32" s="5"/>
      <c r="L32" s="5"/>
      <c r="M32" s="5"/>
      <c r="N32" s="6"/>
      <c r="O32" s="5"/>
    </row>
    <row r="33" spans="1:15">
      <c r="A33" s="2" t="s">
        <v>45</v>
      </c>
      <c r="B33" s="48"/>
      <c r="C33" s="17">
        <v>16391.150000000001</v>
      </c>
      <c r="D33" s="232"/>
      <c r="E33" s="232"/>
      <c r="I33" s="5"/>
      <c r="J33" s="6"/>
      <c r="K33" s="5"/>
      <c r="L33" s="5"/>
      <c r="M33" s="5"/>
      <c r="N33" s="6"/>
      <c r="O33" s="5"/>
    </row>
    <row r="34" spans="1:15">
      <c r="A34" s="27" t="s">
        <v>46</v>
      </c>
      <c r="B34" s="50"/>
      <c r="C34" s="28" t="s">
        <v>227</v>
      </c>
      <c r="D34" s="232"/>
      <c r="E34" s="232"/>
      <c r="I34" s="5"/>
      <c r="J34" s="6"/>
      <c r="K34" s="5"/>
      <c r="L34" s="5"/>
      <c r="M34" s="5"/>
      <c r="N34" s="6"/>
      <c r="O34" s="5"/>
    </row>
    <row r="35" spans="1:15">
      <c r="A35" s="27" t="s">
        <v>47</v>
      </c>
      <c r="B35" s="52"/>
      <c r="C35" s="28">
        <v>16814.71</v>
      </c>
      <c r="D35" s="232"/>
      <c r="E35" s="232"/>
      <c r="I35" s="5"/>
      <c r="J35" s="6"/>
      <c r="K35" s="5"/>
      <c r="L35" s="5"/>
      <c r="M35" s="5"/>
      <c r="N35" s="6"/>
      <c r="O35" s="5"/>
    </row>
    <row r="36" spans="1:15">
      <c r="A36" s="2" t="s">
        <v>48</v>
      </c>
      <c r="B36" s="19"/>
      <c r="C36" s="17">
        <v>14692.87</v>
      </c>
      <c r="D36" s="232"/>
      <c r="E36" s="232"/>
      <c r="I36" s="5"/>
      <c r="J36" s="6"/>
      <c r="K36" s="5"/>
      <c r="L36" s="5"/>
      <c r="M36" s="5"/>
      <c r="N36" s="6"/>
      <c r="O36" s="5"/>
    </row>
    <row r="37" spans="1:15">
      <c r="A37" s="2" t="s">
        <v>49</v>
      </c>
      <c r="B37" s="19"/>
      <c r="C37" s="17">
        <v>16252.68</v>
      </c>
      <c r="D37" s="232"/>
      <c r="E37" s="232"/>
      <c r="I37" s="5"/>
      <c r="J37" s="6"/>
      <c r="K37" s="5"/>
      <c r="L37" s="5"/>
      <c r="M37" s="5"/>
      <c r="N37" s="6"/>
      <c r="O37" s="5"/>
    </row>
    <row r="38" spans="1:15">
      <c r="A38" s="2" t="s">
        <v>50</v>
      </c>
      <c r="B38" s="9"/>
      <c r="C38" s="17">
        <v>14728.67</v>
      </c>
      <c r="D38" s="232"/>
      <c r="E38" s="232"/>
      <c r="I38" s="5"/>
      <c r="J38" s="6"/>
      <c r="K38" s="5"/>
      <c r="L38" s="5"/>
      <c r="M38" s="5"/>
      <c r="N38" s="6"/>
      <c r="O38" s="5"/>
    </row>
    <row r="39" spans="1:15">
      <c r="A39" s="27" t="s">
        <v>51</v>
      </c>
      <c r="B39" s="52"/>
      <c r="C39" s="28">
        <v>16675.46</v>
      </c>
      <c r="D39" s="232"/>
      <c r="E39" s="232"/>
      <c r="I39" s="5"/>
      <c r="J39" s="6"/>
      <c r="K39" s="5"/>
      <c r="L39" s="5"/>
      <c r="M39" s="5"/>
      <c r="N39" s="6"/>
      <c r="O39" s="5"/>
    </row>
    <row r="40" spans="1:15">
      <c r="A40" s="27" t="s">
        <v>52</v>
      </c>
      <c r="B40" s="52"/>
      <c r="C40" s="28">
        <v>15420.47</v>
      </c>
      <c r="D40" s="232"/>
      <c r="E40" s="232"/>
      <c r="I40" s="5"/>
      <c r="J40" s="6"/>
      <c r="K40" s="5"/>
      <c r="L40" s="5"/>
      <c r="M40" s="5"/>
      <c r="N40" s="6"/>
      <c r="O40" s="5"/>
    </row>
    <row r="41" spans="1:15">
      <c r="A41" s="27" t="s">
        <v>53</v>
      </c>
      <c r="B41" s="52"/>
      <c r="C41" s="28">
        <v>15964.98</v>
      </c>
      <c r="D41" s="232"/>
      <c r="E41" s="232"/>
      <c r="I41" s="5"/>
      <c r="J41" s="6"/>
      <c r="K41" s="5"/>
      <c r="L41" s="5"/>
      <c r="M41" s="5"/>
      <c r="N41" s="6"/>
      <c r="O41" s="5"/>
    </row>
    <row r="42" spans="1:15">
      <c r="A42" s="2" t="s">
        <v>54</v>
      </c>
      <c r="B42" s="1"/>
      <c r="C42" s="17">
        <v>16516.16</v>
      </c>
      <c r="D42" s="232"/>
      <c r="E42" s="232"/>
    </row>
    <row r="43" spans="1:15">
      <c r="A43" s="2" t="s">
        <v>55</v>
      </c>
      <c r="B43" s="1"/>
      <c r="C43" s="17">
        <v>17167.97</v>
      </c>
      <c r="D43" s="232"/>
      <c r="E43" s="232"/>
    </row>
    <row r="44" spans="1:15">
      <c r="A44" s="27" t="s">
        <v>56</v>
      </c>
      <c r="B44" s="29"/>
      <c r="C44" s="28">
        <v>17725.560000000001</v>
      </c>
      <c r="D44" s="232"/>
      <c r="E44" s="232"/>
    </row>
    <row r="45" spans="1:15">
      <c r="A45" s="27" t="s">
        <v>57</v>
      </c>
      <c r="B45" s="52"/>
      <c r="C45" s="28">
        <v>19207.7</v>
      </c>
      <c r="D45" s="232"/>
      <c r="E45" s="232"/>
      <c r="I45" s="5"/>
      <c r="J45" s="6"/>
      <c r="K45" s="5"/>
      <c r="L45" s="5"/>
      <c r="M45" s="5"/>
      <c r="N45" s="6"/>
      <c r="O45" s="5"/>
    </row>
    <row r="46" spans="1:15">
      <c r="A46" s="2" t="s">
        <v>58</v>
      </c>
      <c r="B46" s="19"/>
      <c r="C46" s="17">
        <v>18274.48</v>
      </c>
      <c r="D46" s="232"/>
      <c r="E46" s="232"/>
      <c r="I46" s="5"/>
      <c r="J46" s="6"/>
      <c r="K46" s="5"/>
      <c r="L46" s="5"/>
      <c r="M46" s="5"/>
      <c r="N46" s="6"/>
      <c r="O46" s="5"/>
    </row>
    <row r="47" spans="1:15">
      <c r="A47" s="27" t="s">
        <v>59</v>
      </c>
      <c r="B47" s="29"/>
      <c r="C47" s="28">
        <v>15121.44</v>
      </c>
      <c r="D47" s="232"/>
      <c r="E47" s="232"/>
      <c r="I47" s="5"/>
      <c r="J47" s="6"/>
      <c r="K47" s="5"/>
      <c r="L47" s="5"/>
      <c r="M47" s="5"/>
      <c r="N47" s="6"/>
      <c r="O47" s="5"/>
    </row>
    <row r="48" spans="1:15">
      <c r="A48" s="27" t="s">
        <v>60</v>
      </c>
      <c r="B48" s="52"/>
      <c r="C48" s="28">
        <v>17213.23</v>
      </c>
      <c r="D48" s="232"/>
      <c r="E48" s="232"/>
      <c r="I48" s="5"/>
      <c r="J48" s="6"/>
      <c r="K48" s="5"/>
      <c r="L48" s="5"/>
      <c r="M48" s="5"/>
      <c r="N48" s="6"/>
      <c r="O48" s="5"/>
    </row>
    <row r="49" spans="1:15">
      <c r="A49" s="27" t="s">
        <v>61</v>
      </c>
      <c r="B49" s="52"/>
      <c r="C49" s="28">
        <v>16555.990000000002</v>
      </c>
      <c r="D49" s="232"/>
      <c r="E49" s="232"/>
      <c r="I49" s="5"/>
      <c r="J49" s="6"/>
      <c r="K49" s="5"/>
      <c r="L49" s="5"/>
      <c r="M49" s="5"/>
      <c r="N49" s="6"/>
      <c r="O49" s="5"/>
    </row>
    <row r="50" spans="1:15">
      <c r="A50" s="27" t="s">
        <v>62</v>
      </c>
      <c r="B50" s="52"/>
      <c r="C50" s="28">
        <v>17876.72</v>
      </c>
      <c r="D50" s="232"/>
      <c r="E50" s="232"/>
      <c r="I50" s="5"/>
      <c r="J50" s="6"/>
      <c r="K50" s="5"/>
      <c r="L50" s="5"/>
      <c r="M50" s="5"/>
      <c r="N50" s="6"/>
      <c r="O50" s="5"/>
    </row>
    <row r="51" spans="1:15">
      <c r="A51" s="27" t="s">
        <v>63</v>
      </c>
      <c r="B51" s="52"/>
      <c r="C51" s="28">
        <v>17313.240000000002</v>
      </c>
      <c r="D51" s="232"/>
      <c r="E51" s="232"/>
      <c r="I51" s="5"/>
      <c r="J51" s="6"/>
      <c r="K51" s="5"/>
      <c r="L51" s="5"/>
      <c r="M51" s="5"/>
      <c r="N51" s="6"/>
      <c r="O51" s="5"/>
    </row>
    <row r="52" spans="1:15">
      <c r="A52" s="2" t="s">
        <v>64</v>
      </c>
      <c r="B52" s="118"/>
      <c r="C52" s="119">
        <v>17470.75</v>
      </c>
      <c r="D52" s="233"/>
      <c r="E52" s="233"/>
    </row>
    <row r="53" spans="1:15">
      <c r="A53" s="2" t="s">
        <v>65</v>
      </c>
      <c r="B53" s="118"/>
      <c r="C53" s="119">
        <v>15272.82</v>
      </c>
      <c r="D53" s="233"/>
      <c r="E53" s="233"/>
    </row>
    <row r="54" spans="1:15">
      <c r="A54" s="2" t="s">
        <v>66</v>
      </c>
      <c r="B54" s="118"/>
      <c r="C54" s="119">
        <v>16538.689999999999</v>
      </c>
      <c r="D54" s="233"/>
      <c r="E54" s="233"/>
    </row>
    <row r="55" spans="1:15">
      <c r="A55" s="2" t="s">
        <v>67</v>
      </c>
      <c r="B55" s="118"/>
      <c r="C55" s="119">
        <v>15876.83</v>
      </c>
      <c r="D55" s="233"/>
      <c r="E55" s="233"/>
    </row>
    <row r="56" spans="1:15">
      <c r="A56" s="2" t="s">
        <v>68</v>
      </c>
      <c r="B56" s="118"/>
      <c r="C56" s="119">
        <v>15365.8</v>
      </c>
      <c r="D56" s="233"/>
      <c r="E56" s="233"/>
    </row>
    <row r="57" spans="1:15">
      <c r="A57" s="2" t="s">
        <v>69</v>
      </c>
      <c r="B57" s="118"/>
      <c r="C57" s="119">
        <v>15923.78</v>
      </c>
      <c r="D57" s="233"/>
      <c r="E57" s="233"/>
    </row>
    <row r="58" spans="1:15">
      <c r="A58" s="2" t="s">
        <v>70</v>
      </c>
      <c r="B58" s="118"/>
      <c r="C58" s="119">
        <v>16340.08</v>
      </c>
      <c r="D58" s="233"/>
      <c r="E58" s="233"/>
    </row>
    <row r="59" spans="1:15">
      <c r="A59" s="2" t="s">
        <v>71</v>
      </c>
      <c r="B59" s="118"/>
      <c r="C59" s="119">
        <v>15675.29</v>
      </c>
      <c r="D59" s="233"/>
      <c r="E59" s="233"/>
    </row>
    <row r="60" spans="1:15">
      <c r="A60" s="2" t="s">
        <v>72</v>
      </c>
      <c r="B60" s="118"/>
      <c r="C60" s="119">
        <v>15568.1</v>
      </c>
      <c r="D60" s="233"/>
      <c r="E60" s="233"/>
    </row>
    <row r="61" spans="1:15">
      <c r="A61" s="2" t="s">
        <v>73</v>
      </c>
      <c r="B61" s="118"/>
      <c r="C61" s="119">
        <v>17250.189999999999</v>
      </c>
      <c r="D61" s="233"/>
      <c r="E61" s="233"/>
    </row>
    <row r="62" spans="1:15">
      <c r="A62" s="2" t="s">
        <v>74</v>
      </c>
      <c r="B62" s="118"/>
      <c r="C62" s="119">
        <v>14175.99</v>
      </c>
      <c r="D62" s="233"/>
      <c r="E62" s="233"/>
    </row>
    <row r="63" spans="1:15">
      <c r="A63" s="2" t="s">
        <v>75</v>
      </c>
      <c r="B63" s="118"/>
      <c r="C63" s="119">
        <v>15709.1</v>
      </c>
      <c r="D63" s="233"/>
      <c r="E63" s="233"/>
    </row>
    <row r="64" spans="1:15">
      <c r="A64" s="2" t="s">
        <v>76</v>
      </c>
      <c r="B64" s="118"/>
      <c r="C64" s="119">
        <v>15474.42</v>
      </c>
      <c r="D64" s="233"/>
      <c r="E64" s="233"/>
    </row>
    <row r="65" spans="1:16" ht="15" customHeight="1" thickBot="1">
      <c r="A65" s="2" t="s">
        <v>77</v>
      </c>
      <c r="B65" s="118"/>
      <c r="C65" s="106">
        <f>SUM(13899.62+1,994.45)</f>
        <v>14895.070000000002</v>
      </c>
      <c r="D65" s="144"/>
      <c r="E65" s="144"/>
    </row>
    <row r="66" spans="1:16" ht="18" customHeight="1" thickBot="1">
      <c r="A66" s="2" t="s">
        <v>78</v>
      </c>
      <c r="B66" s="118"/>
      <c r="C66" s="106">
        <v>16341.37</v>
      </c>
      <c r="D66" s="144"/>
      <c r="E66" s="144"/>
      <c r="G66" s="121"/>
      <c r="H66" s="134"/>
      <c r="I66" s="135"/>
    </row>
    <row r="67" spans="1:16" ht="18" customHeight="1" thickBot="1">
      <c r="A67" s="2" t="s">
        <v>79</v>
      </c>
      <c r="B67" s="118"/>
      <c r="C67" s="106">
        <v>16532.36</v>
      </c>
      <c r="D67" s="144"/>
      <c r="E67" s="144"/>
      <c r="G67" s="126"/>
      <c r="H67" s="133"/>
      <c r="I67" s="132"/>
    </row>
    <row r="68" spans="1:16" ht="18" customHeight="1" thickBot="1">
      <c r="A68" s="2" t="s">
        <v>85</v>
      </c>
      <c r="B68" s="118"/>
      <c r="C68" s="106">
        <v>15030.78</v>
      </c>
      <c r="D68" s="144"/>
      <c r="E68" s="144"/>
      <c r="G68" s="129"/>
      <c r="H68" s="133"/>
      <c r="I68" s="132"/>
    </row>
    <row r="69" spans="1:16">
      <c r="A69" s="2" t="s">
        <v>86</v>
      </c>
      <c r="B69" s="118"/>
      <c r="C69" s="106">
        <v>16764.57</v>
      </c>
      <c r="D69" s="144"/>
      <c r="E69" s="144"/>
      <c r="I69" s="13"/>
    </row>
    <row r="70" spans="1:16">
      <c r="A70" s="2" t="s">
        <v>87</v>
      </c>
      <c r="B70" s="118"/>
      <c r="C70" s="106">
        <v>16721.169999999998</v>
      </c>
      <c r="D70" s="144"/>
      <c r="E70" s="144"/>
    </row>
    <row r="71" spans="1:16">
      <c r="A71" s="2" t="s">
        <v>88</v>
      </c>
      <c r="B71" s="118"/>
      <c r="C71" s="106">
        <v>21254.87</v>
      </c>
      <c r="D71" s="144"/>
      <c r="E71" s="144"/>
    </row>
    <row r="72" spans="1:16">
      <c r="A72" s="2" t="s">
        <v>89</v>
      </c>
      <c r="B72" s="118"/>
      <c r="C72" s="106">
        <v>20346.11</v>
      </c>
      <c r="D72" s="144"/>
      <c r="E72" s="144"/>
    </row>
    <row r="73" spans="1:16">
      <c r="A73" s="2" t="s">
        <v>90</v>
      </c>
      <c r="B73" s="118"/>
      <c r="C73" s="106">
        <v>14240.06</v>
      </c>
      <c r="D73" s="144"/>
      <c r="E73" s="144"/>
    </row>
    <row r="74" spans="1:16">
      <c r="A74" s="2" t="s">
        <v>93</v>
      </c>
      <c r="B74" s="118"/>
      <c r="C74" s="142">
        <v>16283.67</v>
      </c>
      <c r="D74" s="234"/>
      <c r="E74" s="234"/>
    </row>
    <row r="75" spans="1:16">
      <c r="A75" s="2" t="s">
        <v>94</v>
      </c>
      <c r="B75" s="118"/>
      <c r="C75" s="140">
        <v>14767.44</v>
      </c>
      <c r="D75" s="140" t="s">
        <v>100</v>
      </c>
      <c r="E75" s="235" t="s">
        <v>101</v>
      </c>
      <c r="F75" s="147" t="s">
        <v>228</v>
      </c>
      <c r="G75" s="147" t="s">
        <v>81</v>
      </c>
      <c r="H75" s="147" t="s">
        <v>82</v>
      </c>
      <c r="I75" s="147" t="s">
        <v>229</v>
      </c>
      <c r="J75" s="147" t="s">
        <v>230</v>
      </c>
      <c r="K75" s="147" t="s">
        <v>231</v>
      </c>
      <c r="L75" s="147" t="s">
        <v>232</v>
      </c>
      <c r="M75" s="147" t="s">
        <v>233</v>
      </c>
      <c r="N75" s="147" t="s">
        <v>234</v>
      </c>
      <c r="O75" s="147" t="s">
        <v>1</v>
      </c>
    </row>
    <row r="76" spans="1:16">
      <c r="A76" s="2" t="s">
        <v>95</v>
      </c>
      <c r="B76" s="118"/>
      <c r="C76" s="142">
        <v>14748.59</v>
      </c>
      <c r="D76" s="142"/>
      <c r="E76" s="142"/>
      <c r="F76" s="56"/>
      <c r="G76" s="56"/>
      <c r="H76" s="56"/>
      <c r="I76" s="56"/>
      <c r="J76" s="56"/>
      <c r="K76" s="56"/>
      <c r="L76" s="56"/>
      <c r="M76" s="56"/>
      <c r="N76" s="56"/>
      <c r="O76" s="56"/>
    </row>
    <row r="77" spans="1:16">
      <c r="A77" s="27" t="s">
        <v>96</v>
      </c>
      <c r="B77" s="174"/>
      <c r="C77" s="175">
        <v>15602.64</v>
      </c>
      <c r="D77" s="175"/>
      <c r="E77" s="175"/>
      <c r="F77" s="56"/>
      <c r="G77" s="56"/>
      <c r="H77" s="56"/>
      <c r="I77" s="56"/>
      <c r="J77" s="56"/>
      <c r="K77" s="56"/>
      <c r="L77" s="56"/>
      <c r="M77" s="56"/>
      <c r="N77" s="56"/>
      <c r="O77" s="56"/>
    </row>
    <row r="78" spans="1:16">
      <c r="A78" s="27" t="s">
        <v>97</v>
      </c>
      <c r="B78" s="174"/>
      <c r="C78" s="175">
        <v>15478.89</v>
      </c>
      <c r="D78" s="175"/>
      <c r="E78" s="175"/>
      <c r="F78" s="55"/>
      <c r="G78" s="55"/>
      <c r="H78" s="55"/>
      <c r="I78" s="55"/>
      <c r="J78" s="55"/>
      <c r="K78" s="55"/>
      <c r="L78" s="55"/>
      <c r="M78" s="55"/>
      <c r="N78" s="55"/>
      <c r="O78" s="55"/>
    </row>
    <row r="79" spans="1:16" s="115" customFormat="1" ht="13.95" customHeight="1">
      <c r="A79" s="2" t="s">
        <v>98</v>
      </c>
      <c r="B79" s="118"/>
      <c r="C79" s="142">
        <v>14771.2</v>
      </c>
      <c r="D79" s="142"/>
      <c r="E79" s="142"/>
      <c r="F79" s="56"/>
      <c r="G79" s="56"/>
      <c r="H79" s="56"/>
      <c r="I79" s="56"/>
      <c r="J79" s="56"/>
      <c r="K79" s="56"/>
      <c r="L79" s="56"/>
      <c r="M79" s="56"/>
      <c r="N79" s="56"/>
      <c r="O79" s="56"/>
    </row>
    <row r="80" spans="1:16" s="56" customFormat="1" ht="13.95" customHeight="1">
      <c r="A80" s="179" t="s">
        <v>99</v>
      </c>
      <c r="B80" s="187"/>
      <c r="C80" s="187">
        <v>15040.69</v>
      </c>
      <c r="D80" s="187"/>
      <c r="E80" s="187"/>
      <c r="F80" s="173">
        <v>8797.31</v>
      </c>
      <c r="G80" s="173">
        <v>0</v>
      </c>
      <c r="H80" s="187">
        <v>592.94000000000005</v>
      </c>
      <c r="I80" s="187">
        <v>6194.86</v>
      </c>
      <c r="J80" s="188">
        <v>6504.26</v>
      </c>
      <c r="K80" s="188">
        <v>853.82</v>
      </c>
      <c r="L80" s="188"/>
      <c r="M80" s="188"/>
      <c r="N80" s="173">
        <f t="shared" ref="N80:N90" si="0">(J80-K80)</f>
        <v>5650.4400000000005</v>
      </c>
      <c r="O80" s="173">
        <f t="shared" ref="O80:O111" si="1">SUM(F80,G80,H80,N80)</f>
        <v>15040.69</v>
      </c>
      <c r="P80" s="185"/>
    </row>
    <row r="81" spans="1:16" s="56" customFormat="1" ht="13.95" customHeight="1">
      <c r="A81" s="179" t="s">
        <v>108</v>
      </c>
      <c r="B81" s="187"/>
      <c r="C81" s="187">
        <v>14005.79</v>
      </c>
      <c r="D81" s="187"/>
      <c r="E81" s="187"/>
      <c r="F81" s="187">
        <v>8498.44</v>
      </c>
      <c r="G81" s="187">
        <v>18</v>
      </c>
      <c r="H81" s="187">
        <v>618.26</v>
      </c>
      <c r="I81" s="187">
        <v>5654.05</v>
      </c>
      <c r="J81" s="192">
        <v>5545.45</v>
      </c>
      <c r="K81" s="192">
        <v>674.36</v>
      </c>
      <c r="L81" s="192"/>
      <c r="M81" s="192"/>
      <c r="N81" s="173">
        <f t="shared" si="0"/>
        <v>4871.09</v>
      </c>
      <c r="O81" s="173">
        <f t="shared" si="1"/>
        <v>14005.79</v>
      </c>
      <c r="P81" s="185"/>
    </row>
    <row r="82" spans="1:16" s="115" customFormat="1" ht="13.95" customHeight="1">
      <c r="A82" s="179" t="s">
        <v>109</v>
      </c>
      <c r="B82" s="187"/>
      <c r="C82" s="187">
        <v>17960.77</v>
      </c>
      <c r="D82" s="187"/>
      <c r="E82" s="187"/>
      <c r="F82" s="173">
        <v>11737.05</v>
      </c>
      <c r="G82" s="187">
        <v>18</v>
      </c>
      <c r="H82" s="187">
        <v>836.45</v>
      </c>
      <c r="I82" s="187">
        <v>6107.47</v>
      </c>
      <c r="J82" s="188">
        <v>6192.2</v>
      </c>
      <c r="K82" s="192">
        <v>822.93</v>
      </c>
      <c r="L82" s="192"/>
      <c r="M82" s="192"/>
      <c r="N82" s="173">
        <f t="shared" si="0"/>
        <v>5369.2699999999995</v>
      </c>
      <c r="O82" s="173">
        <f t="shared" si="1"/>
        <v>17960.77</v>
      </c>
      <c r="P82" s="186"/>
    </row>
    <row r="83" spans="1:16" s="115" customFormat="1" ht="13.95" customHeight="1">
      <c r="A83" s="179" t="s">
        <v>110</v>
      </c>
      <c r="B83" s="187"/>
      <c r="C83" s="187">
        <v>16952.080000000002</v>
      </c>
      <c r="D83" s="187"/>
      <c r="E83" s="187"/>
      <c r="F83" s="187">
        <v>10632.6</v>
      </c>
      <c r="G83" s="173">
        <v>0</v>
      </c>
      <c r="H83" s="187">
        <v>752.41</v>
      </c>
      <c r="I83" s="187">
        <v>6265.03</v>
      </c>
      <c r="J83" s="188">
        <v>6315.3</v>
      </c>
      <c r="K83" s="200">
        <v>748.23</v>
      </c>
      <c r="L83" s="200"/>
      <c r="M83" s="200"/>
      <c r="N83" s="173">
        <f t="shared" si="0"/>
        <v>5567.07</v>
      </c>
      <c r="O83" s="173">
        <f t="shared" si="1"/>
        <v>16952.080000000002</v>
      </c>
      <c r="P83" s="186"/>
    </row>
    <row r="84" spans="1:16" s="115" customFormat="1" ht="13.95" customHeight="1">
      <c r="A84" s="173" t="s">
        <v>111</v>
      </c>
      <c r="B84" s="187"/>
      <c r="C84" s="187">
        <v>22509.7</v>
      </c>
      <c r="D84" s="187"/>
      <c r="E84" s="187"/>
      <c r="F84" s="187">
        <v>13752.97</v>
      </c>
      <c r="G84" s="106">
        <v>33.6</v>
      </c>
      <c r="H84" s="106">
        <v>766.22</v>
      </c>
      <c r="I84" s="106">
        <v>9114.3799999999992</v>
      </c>
      <c r="J84" s="143">
        <v>8843.0400000000009</v>
      </c>
      <c r="K84" s="143">
        <v>886.13</v>
      </c>
      <c r="L84" s="143"/>
      <c r="M84" s="143"/>
      <c r="N84" s="173">
        <f t="shared" si="0"/>
        <v>7956.9100000000008</v>
      </c>
      <c r="O84" s="173">
        <f t="shared" si="1"/>
        <v>22509.7</v>
      </c>
      <c r="P84" s="186"/>
    </row>
    <row r="85" spans="1:16" s="115" customFormat="1" ht="13.95" customHeight="1">
      <c r="A85" s="173" t="s">
        <v>112</v>
      </c>
      <c r="B85" s="187"/>
      <c r="C85" s="187">
        <v>18697.919999999998</v>
      </c>
      <c r="D85" s="187"/>
      <c r="E85" s="187"/>
      <c r="F85" s="106">
        <v>11613.99</v>
      </c>
      <c r="G85" s="106">
        <v>16.8</v>
      </c>
      <c r="H85" s="106">
        <v>618.54999999999995</v>
      </c>
      <c r="I85" s="106">
        <v>6317.19</v>
      </c>
      <c r="J85" s="143">
        <v>6540.64</v>
      </c>
      <c r="K85" s="143">
        <v>92.06</v>
      </c>
      <c r="L85" s="143"/>
      <c r="M85" s="143"/>
      <c r="N85" s="173">
        <f t="shared" si="0"/>
        <v>6448.58</v>
      </c>
      <c r="O85" s="173">
        <f t="shared" si="1"/>
        <v>18697.919999999998</v>
      </c>
      <c r="P85" s="186"/>
    </row>
    <row r="86" spans="1:16" s="115" customFormat="1" ht="13.95" customHeight="1">
      <c r="A86" s="173" t="s">
        <v>113</v>
      </c>
      <c r="B86" s="187"/>
      <c r="C86" s="187">
        <v>18346.93</v>
      </c>
      <c r="D86" s="187"/>
      <c r="E86" s="187"/>
      <c r="F86" s="56">
        <v>11330.03</v>
      </c>
      <c r="G86" s="118">
        <v>0</v>
      </c>
      <c r="H86" s="106">
        <v>795.99</v>
      </c>
      <c r="I86" s="106">
        <v>6615.11</v>
      </c>
      <c r="J86" s="145">
        <v>6659.11</v>
      </c>
      <c r="K86" s="145">
        <v>438.2</v>
      </c>
      <c r="L86" s="145"/>
      <c r="M86" s="145"/>
      <c r="N86" s="173">
        <f t="shared" si="0"/>
        <v>6220.91</v>
      </c>
      <c r="O86" s="173">
        <f t="shared" si="1"/>
        <v>18346.93</v>
      </c>
      <c r="P86" s="186"/>
    </row>
    <row r="87" spans="1:16" s="115" customFormat="1" ht="13.95" customHeight="1">
      <c r="A87" s="173" t="s">
        <v>114</v>
      </c>
      <c r="B87" s="187"/>
      <c r="C87" s="187">
        <v>22019.119999999999</v>
      </c>
      <c r="D87" s="187"/>
      <c r="E87" s="187"/>
      <c r="F87" s="118">
        <v>15405.08</v>
      </c>
      <c r="G87" s="173">
        <v>0</v>
      </c>
      <c r="H87" s="106">
        <v>766.89</v>
      </c>
      <c r="I87" s="106">
        <v>6185.37</v>
      </c>
      <c r="J87" s="143">
        <v>6199.77</v>
      </c>
      <c r="K87" s="145">
        <v>352.62</v>
      </c>
      <c r="L87" s="145"/>
      <c r="M87" s="145"/>
      <c r="N87" s="173">
        <f t="shared" si="0"/>
        <v>5847.1500000000005</v>
      </c>
      <c r="O87" s="173">
        <f t="shared" si="1"/>
        <v>22019.119999999999</v>
      </c>
      <c r="P87" s="186"/>
    </row>
    <row r="88" spans="1:16" s="115" customFormat="1" ht="13.95" customHeight="1">
      <c r="A88" s="173" t="s">
        <v>115</v>
      </c>
      <c r="B88" s="187"/>
      <c r="C88" s="142">
        <v>19924.78</v>
      </c>
      <c r="D88" s="142"/>
      <c r="E88" s="142"/>
      <c r="F88" s="118">
        <v>13208.43</v>
      </c>
      <c r="G88" s="173">
        <v>0</v>
      </c>
      <c r="H88" s="106">
        <v>760.95</v>
      </c>
      <c r="I88" s="106">
        <v>6037.59</v>
      </c>
      <c r="J88" s="145">
        <v>6273.42</v>
      </c>
      <c r="K88" s="145">
        <v>318.02</v>
      </c>
      <c r="L88" s="145"/>
      <c r="M88" s="145"/>
      <c r="N88" s="173">
        <f t="shared" si="0"/>
        <v>5955.4</v>
      </c>
      <c r="O88" s="173">
        <f t="shared" si="1"/>
        <v>19924.78</v>
      </c>
      <c r="P88" s="186"/>
    </row>
    <row r="89" spans="1:16" s="115" customFormat="1" ht="13.95" customHeight="1">
      <c r="A89" s="173" t="s">
        <v>116</v>
      </c>
      <c r="B89" s="187"/>
      <c r="C89" s="187">
        <v>18624.93</v>
      </c>
      <c r="D89" s="187"/>
      <c r="E89" s="187"/>
      <c r="F89" s="118">
        <v>12668.7</v>
      </c>
      <c r="G89" s="173">
        <v>0</v>
      </c>
      <c r="H89" s="106">
        <v>761.11</v>
      </c>
      <c r="I89" s="106">
        <v>5482.23</v>
      </c>
      <c r="J89" s="143">
        <v>5433.03</v>
      </c>
      <c r="K89" s="145">
        <v>237.91</v>
      </c>
      <c r="L89" s="145"/>
      <c r="M89" s="145"/>
      <c r="N89" s="173">
        <f t="shared" si="0"/>
        <v>5195.12</v>
      </c>
      <c r="O89" s="173">
        <f t="shared" si="1"/>
        <v>18624.93</v>
      </c>
      <c r="P89" s="186"/>
    </row>
    <row r="90" spans="1:16" s="115" customFormat="1" ht="13.95" customHeight="1">
      <c r="A90" s="173" t="s">
        <v>117</v>
      </c>
      <c r="B90" s="187"/>
      <c r="C90" s="56">
        <v>19498.52</v>
      </c>
      <c r="D90" s="56"/>
      <c r="E90" s="142">
        <v>19737.830000000002</v>
      </c>
      <c r="F90" s="106">
        <v>12744.63</v>
      </c>
      <c r="G90" s="173">
        <v>0</v>
      </c>
      <c r="H90" s="106">
        <v>654.27</v>
      </c>
      <c r="I90" s="106">
        <v>6338.93</v>
      </c>
      <c r="J90" s="145">
        <v>6414.53</v>
      </c>
      <c r="K90" s="145">
        <v>314.91000000000003</v>
      </c>
      <c r="L90" s="145"/>
      <c r="M90" s="145"/>
      <c r="N90" s="173">
        <f t="shared" si="0"/>
        <v>6099.62</v>
      </c>
      <c r="O90" s="173">
        <f t="shared" si="1"/>
        <v>19498.52</v>
      </c>
      <c r="P90" s="186"/>
    </row>
    <row r="91" spans="1:16" s="115" customFormat="1" ht="13.95" customHeight="1">
      <c r="A91" s="173" t="s">
        <v>118</v>
      </c>
      <c r="B91" s="187"/>
      <c r="C91" s="187">
        <v>20394.580000000002</v>
      </c>
      <c r="D91" s="187"/>
      <c r="E91" s="142">
        <v>20649.48</v>
      </c>
      <c r="F91" s="106">
        <v>14025.42</v>
      </c>
      <c r="G91" s="173">
        <v>0</v>
      </c>
      <c r="H91" s="106">
        <v>592.16999999999996</v>
      </c>
      <c r="I91" s="106">
        <v>6031.89</v>
      </c>
      <c r="J91" s="143">
        <v>6045.59</v>
      </c>
      <c r="K91" s="145">
        <v>268.60000000000002</v>
      </c>
      <c r="L91" s="145">
        <v>0</v>
      </c>
      <c r="M91" s="145">
        <v>0</v>
      </c>
      <c r="N91" s="173">
        <f t="shared" ref="N91:N138" si="2">(J91-K91)+(L91-M91)</f>
        <v>5776.99</v>
      </c>
      <c r="O91" s="173">
        <f t="shared" si="1"/>
        <v>20394.580000000002</v>
      </c>
      <c r="P91" s="186"/>
    </row>
    <row r="92" spans="1:16" s="115" customFormat="1" ht="13.95" customHeight="1">
      <c r="A92" s="173" t="s">
        <v>119</v>
      </c>
      <c r="B92" s="187"/>
      <c r="C92" s="187">
        <v>20875.25</v>
      </c>
      <c r="D92" s="187"/>
      <c r="E92" s="142">
        <v>21289.71</v>
      </c>
      <c r="F92" s="106">
        <v>14091.25</v>
      </c>
      <c r="G92" s="173">
        <v>0</v>
      </c>
      <c r="H92" s="106">
        <v>788.06</v>
      </c>
      <c r="I92" s="106">
        <v>6410.4</v>
      </c>
      <c r="J92" s="143">
        <v>6403.2</v>
      </c>
      <c r="K92" s="145">
        <v>407.26</v>
      </c>
      <c r="L92" s="145">
        <v>0</v>
      </c>
      <c r="M92" s="145">
        <v>0</v>
      </c>
      <c r="N92" s="173">
        <f t="shared" si="2"/>
        <v>5995.94</v>
      </c>
      <c r="O92" s="173">
        <f t="shared" si="1"/>
        <v>20875.25</v>
      </c>
      <c r="P92" s="186"/>
    </row>
    <row r="93" spans="1:16" s="115" customFormat="1" ht="13.95" customHeight="1">
      <c r="A93" s="173" t="s">
        <v>120</v>
      </c>
      <c r="B93" s="187"/>
      <c r="C93" s="187">
        <v>17203.22</v>
      </c>
      <c r="D93" s="187"/>
      <c r="E93" s="142">
        <v>17476.95</v>
      </c>
      <c r="F93" s="106">
        <v>12195.79</v>
      </c>
      <c r="G93" s="173">
        <v>0</v>
      </c>
      <c r="H93" s="106">
        <v>191.68</v>
      </c>
      <c r="I93" s="106">
        <v>5089.4799999999996</v>
      </c>
      <c r="J93" s="145">
        <v>5056.95</v>
      </c>
      <c r="K93" s="145">
        <v>241.2</v>
      </c>
      <c r="L93" s="145">
        <v>0</v>
      </c>
      <c r="M93" s="145">
        <v>0</v>
      </c>
      <c r="N93" s="173">
        <f t="shared" si="2"/>
        <v>4815.75</v>
      </c>
      <c r="O93" s="173">
        <f t="shared" si="1"/>
        <v>17203.22</v>
      </c>
      <c r="P93" s="186"/>
    </row>
    <row r="94" spans="1:16" s="115" customFormat="1" ht="13.95" customHeight="1">
      <c r="A94" s="173" t="s">
        <v>121</v>
      </c>
      <c r="B94" s="187"/>
      <c r="C94" s="187">
        <v>20126.240000000002</v>
      </c>
      <c r="D94" s="187"/>
      <c r="E94" s="142">
        <v>20551.169999999998</v>
      </c>
      <c r="F94" s="106">
        <v>14724.33</v>
      </c>
      <c r="G94" s="173">
        <v>0</v>
      </c>
      <c r="H94" s="118">
        <v>0</v>
      </c>
      <c r="I94" s="106">
        <v>5826.84</v>
      </c>
      <c r="J94" s="143">
        <v>5722.64</v>
      </c>
      <c r="K94" s="145">
        <v>337.51</v>
      </c>
      <c r="L94" s="143">
        <v>16.78</v>
      </c>
      <c r="M94" s="145">
        <v>0</v>
      </c>
      <c r="N94" s="173">
        <f t="shared" si="2"/>
        <v>5401.91</v>
      </c>
      <c r="O94" s="173">
        <f t="shared" si="1"/>
        <v>20126.239999999998</v>
      </c>
      <c r="P94" s="186"/>
    </row>
    <row r="95" spans="1:16" s="115" customFormat="1" ht="13.95" customHeight="1">
      <c r="A95" s="173" t="s">
        <v>122</v>
      </c>
      <c r="B95" s="187"/>
      <c r="C95" s="187">
        <v>18988.3</v>
      </c>
      <c r="D95" s="187"/>
      <c r="E95" s="142">
        <v>19206.439999999999</v>
      </c>
      <c r="F95" s="106">
        <v>13152.36</v>
      </c>
      <c r="G95" s="173">
        <v>0</v>
      </c>
      <c r="H95" s="118">
        <v>0</v>
      </c>
      <c r="I95" s="106">
        <v>6054.08</v>
      </c>
      <c r="J95" s="143">
        <v>6194.41</v>
      </c>
      <c r="K95" s="145">
        <v>358.47</v>
      </c>
      <c r="L95" s="173">
        <v>0</v>
      </c>
      <c r="M95" s="173">
        <v>0</v>
      </c>
      <c r="N95" s="173">
        <f t="shared" si="2"/>
        <v>5835.94</v>
      </c>
      <c r="O95" s="173">
        <f t="shared" si="1"/>
        <v>18988.3</v>
      </c>
      <c r="P95" s="186"/>
    </row>
    <row r="96" spans="1:16" s="115" customFormat="1" ht="13.95" customHeight="1">
      <c r="A96" s="173" t="s">
        <v>123</v>
      </c>
      <c r="B96" s="187"/>
      <c r="C96" s="187">
        <v>19779.16</v>
      </c>
      <c r="D96" s="187"/>
      <c r="E96" s="142"/>
      <c r="F96" s="106">
        <v>13642.9</v>
      </c>
      <c r="G96" s="173">
        <v>0</v>
      </c>
      <c r="H96" s="118">
        <v>0</v>
      </c>
      <c r="I96" s="106">
        <v>6320.19</v>
      </c>
      <c r="J96" s="288">
        <v>6420.25</v>
      </c>
      <c r="K96" s="289">
        <v>283.99</v>
      </c>
      <c r="L96" s="173">
        <v>0</v>
      </c>
      <c r="M96" s="173">
        <v>0</v>
      </c>
      <c r="N96" s="173">
        <f t="shared" si="2"/>
        <v>6136.26</v>
      </c>
      <c r="O96" s="173">
        <f t="shared" si="1"/>
        <v>19779.16</v>
      </c>
      <c r="P96" s="186"/>
    </row>
    <row r="97" spans="1:16" s="115" customFormat="1" ht="13.95" customHeight="1">
      <c r="A97" s="173" t="s">
        <v>124</v>
      </c>
      <c r="B97" s="187"/>
      <c r="C97" s="187">
        <v>19888.39</v>
      </c>
      <c r="D97" s="187"/>
      <c r="E97" s="142">
        <v>20181.46</v>
      </c>
      <c r="F97" s="106">
        <v>13603.1</v>
      </c>
      <c r="G97" s="173">
        <v>0</v>
      </c>
      <c r="H97" s="118">
        <v>0</v>
      </c>
      <c r="I97" s="106">
        <v>6578.36</v>
      </c>
      <c r="J97" s="145">
        <v>6623.24</v>
      </c>
      <c r="K97" s="145">
        <v>337.95</v>
      </c>
      <c r="L97" s="173">
        <v>0</v>
      </c>
      <c r="M97" s="173">
        <v>0</v>
      </c>
      <c r="N97" s="173">
        <f t="shared" si="2"/>
        <v>6285.29</v>
      </c>
      <c r="O97" s="173">
        <f t="shared" si="1"/>
        <v>19888.39</v>
      </c>
      <c r="P97" s="186"/>
    </row>
    <row r="98" spans="1:16" s="115" customFormat="1" ht="13.95" customHeight="1">
      <c r="A98" s="173" t="s">
        <v>125</v>
      </c>
      <c r="B98" s="187"/>
      <c r="C98" s="187">
        <v>20241.86</v>
      </c>
      <c r="D98" s="187"/>
      <c r="E98" s="142">
        <v>20244.38</v>
      </c>
      <c r="F98" s="106">
        <v>15069.42</v>
      </c>
      <c r="G98" s="173">
        <v>0</v>
      </c>
      <c r="H98" s="118">
        <v>0</v>
      </c>
      <c r="I98" s="106">
        <v>5174.96</v>
      </c>
      <c r="J98" s="143">
        <v>5205.26</v>
      </c>
      <c r="K98" s="145">
        <v>32.82</v>
      </c>
      <c r="L98" s="173">
        <v>0</v>
      </c>
      <c r="M98" s="173">
        <v>0</v>
      </c>
      <c r="N98" s="173">
        <f t="shared" si="2"/>
        <v>5172.4400000000005</v>
      </c>
      <c r="O98" s="173">
        <f t="shared" si="1"/>
        <v>20241.86</v>
      </c>
      <c r="P98" s="186"/>
    </row>
    <row r="99" spans="1:16" s="115" customFormat="1" ht="13.95" customHeight="1">
      <c r="A99" s="187" t="s">
        <v>126</v>
      </c>
      <c r="B99" s="187"/>
      <c r="C99" s="187">
        <v>21032.52</v>
      </c>
      <c r="D99" s="187"/>
      <c r="E99" s="142">
        <v>21199.52</v>
      </c>
      <c r="F99" s="106">
        <v>15061.68</v>
      </c>
      <c r="G99" s="173">
        <v>0</v>
      </c>
      <c r="H99" s="118">
        <v>0</v>
      </c>
      <c r="I99" s="106">
        <v>6137.84</v>
      </c>
      <c r="J99" s="143">
        <v>6190.04</v>
      </c>
      <c r="K99" s="148">
        <v>251.59</v>
      </c>
      <c r="L99" s="143">
        <v>32.39</v>
      </c>
      <c r="M99" s="173">
        <v>0</v>
      </c>
      <c r="N99" s="173">
        <f t="shared" si="2"/>
        <v>5970.84</v>
      </c>
      <c r="O99" s="173">
        <f t="shared" si="1"/>
        <v>21032.52</v>
      </c>
      <c r="P99" s="186"/>
    </row>
    <row r="100" spans="1:16" s="115" customFormat="1" ht="13.95" customHeight="1">
      <c r="A100" s="187" t="s">
        <v>127</v>
      </c>
      <c r="B100" s="187"/>
      <c r="C100" s="187">
        <v>19977.28</v>
      </c>
      <c r="D100" s="11">
        <v>658</v>
      </c>
      <c r="E100" s="142">
        <v>20083.650000000001</v>
      </c>
      <c r="F100" s="106">
        <v>14254.69</v>
      </c>
      <c r="G100" s="173">
        <v>0</v>
      </c>
      <c r="H100" s="118">
        <v>0</v>
      </c>
      <c r="I100" s="106">
        <v>5828.96</v>
      </c>
      <c r="J100" s="143">
        <v>5950.15</v>
      </c>
      <c r="K100" s="145">
        <v>227.56</v>
      </c>
      <c r="L100" s="173">
        <v>0</v>
      </c>
      <c r="M100" s="173">
        <v>0</v>
      </c>
      <c r="N100" s="173">
        <f t="shared" si="2"/>
        <v>5722.5899999999992</v>
      </c>
      <c r="O100" s="173">
        <f t="shared" si="1"/>
        <v>19977.28</v>
      </c>
      <c r="P100" s="186"/>
    </row>
    <row r="101" spans="1:16" s="115" customFormat="1" ht="13.95" customHeight="1">
      <c r="A101" s="187" t="s">
        <v>128</v>
      </c>
      <c r="B101" s="187"/>
      <c r="C101" s="187">
        <v>19420.830000000002</v>
      </c>
      <c r="D101" s="11">
        <v>656</v>
      </c>
      <c r="E101" s="142">
        <v>19855.689999999999</v>
      </c>
      <c r="F101" s="106">
        <v>13933.81</v>
      </c>
      <c r="G101" s="173">
        <v>0</v>
      </c>
      <c r="H101" s="118">
        <v>0</v>
      </c>
      <c r="I101" s="106">
        <v>5921.88</v>
      </c>
      <c r="J101" s="143">
        <v>5744.43</v>
      </c>
      <c r="K101" s="145">
        <v>270.60000000000002</v>
      </c>
      <c r="L101" s="143">
        <v>13.19</v>
      </c>
      <c r="M101" s="173">
        <v>0</v>
      </c>
      <c r="N101" s="173">
        <f t="shared" si="2"/>
        <v>5487.0199999999995</v>
      </c>
      <c r="O101" s="173">
        <f t="shared" si="1"/>
        <v>19420.829999999998</v>
      </c>
      <c r="P101" s="186"/>
    </row>
    <row r="102" spans="1:16" s="115" customFormat="1" ht="13.95" customHeight="1">
      <c r="A102" s="187" t="s">
        <v>129</v>
      </c>
      <c r="B102" s="187"/>
      <c r="C102" s="187">
        <v>22466.31</v>
      </c>
      <c r="D102" s="11">
        <v>727</v>
      </c>
      <c r="E102" s="142">
        <v>22680.53</v>
      </c>
      <c r="F102" s="106">
        <v>16293.58</v>
      </c>
      <c r="G102" s="173">
        <v>0</v>
      </c>
      <c r="H102" s="118">
        <v>0</v>
      </c>
      <c r="I102" s="106">
        <v>6386.95</v>
      </c>
      <c r="J102" s="145">
        <v>6463.45</v>
      </c>
      <c r="K102" s="145">
        <v>290.72000000000003</v>
      </c>
      <c r="L102" s="173">
        <v>0</v>
      </c>
      <c r="M102" s="173">
        <v>0</v>
      </c>
      <c r="N102" s="173">
        <f t="shared" si="2"/>
        <v>6172.73</v>
      </c>
      <c r="O102" s="173">
        <f t="shared" si="1"/>
        <v>22466.309999999998</v>
      </c>
      <c r="P102" s="186"/>
    </row>
    <row r="103" spans="1:16" s="115" customFormat="1" ht="13.95" customHeight="1">
      <c r="A103" s="187" t="s">
        <v>130</v>
      </c>
      <c r="B103" s="187"/>
      <c r="C103" s="187">
        <v>19727.34</v>
      </c>
      <c r="D103" s="11">
        <v>656</v>
      </c>
      <c r="E103" s="142">
        <v>20015.349999999999</v>
      </c>
      <c r="F103" s="106">
        <v>14186.27</v>
      </c>
      <c r="G103" s="173">
        <v>0</v>
      </c>
      <c r="H103" s="118">
        <v>0</v>
      </c>
      <c r="I103" s="106">
        <v>5829.08</v>
      </c>
      <c r="J103" s="143">
        <v>5842.38</v>
      </c>
      <c r="K103" s="145">
        <v>301.31</v>
      </c>
      <c r="L103" s="173">
        <v>0</v>
      </c>
      <c r="M103" s="173">
        <v>0</v>
      </c>
      <c r="N103" s="173">
        <f t="shared" si="2"/>
        <v>5541.07</v>
      </c>
      <c r="O103" s="173">
        <f t="shared" si="1"/>
        <v>19727.34</v>
      </c>
      <c r="P103" s="186"/>
    </row>
    <row r="104" spans="1:16" s="115" customFormat="1" ht="13.95" customHeight="1">
      <c r="A104" s="187" t="s">
        <v>131</v>
      </c>
      <c r="B104" s="187"/>
      <c r="C104" s="187">
        <v>19328.439999999999</v>
      </c>
      <c r="D104" s="11">
        <v>644</v>
      </c>
      <c r="E104" s="142">
        <v>19465.939999999999</v>
      </c>
      <c r="F104" s="106">
        <v>14629.82</v>
      </c>
      <c r="G104" s="106">
        <v>26.4</v>
      </c>
      <c r="H104" s="118">
        <v>0</v>
      </c>
      <c r="I104" s="106">
        <v>4809.72</v>
      </c>
      <c r="J104" s="143">
        <v>4889.08</v>
      </c>
      <c r="K104" s="145">
        <v>216.86</v>
      </c>
      <c r="L104" s="173">
        <v>0</v>
      </c>
      <c r="M104" s="173">
        <v>0</v>
      </c>
      <c r="N104" s="173">
        <f t="shared" si="2"/>
        <v>4672.22</v>
      </c>
      <c r="O104" s="173">
        <f t="shared" si="1"/>
        <v>19328.439999999999</v>
      </c>
      <c r="P104" s="186"/>
    </row>
    <row r="105" spans="1:16" s="115" customFormat="1" ht="13.95" customHeight="1">
      <c r="A105" s="187" t="s">
        <v>132</v>
      </c>
      <c r="B105" s="187"/>
      <c r="C105" s="187">
        <v>16117.06</v>
      </c>
      <c r="D105" s="11">
        <v>464</v>
      </c>
      <c r="E105" s="142">
        <v>14428.94</v>
      </c>
      <c r="F105" s="106">
        <v>10294.77</v>
      </c>
      <c r="G105" s="106">
        <v>49.2</v>
      </c>
      <c r="H105" s="118">
        <v>0</v>
      </c>
      <c r="I105" s="106">
        <v>4084.97</v>
      </c>
      <c r="J105" s="143">
        <v>5994.63</v>
      </c>
      <c r="K105" s="145">
        <v>286.89999999999998</v>
      </c>
      <c r="L105" s="143">
        <v>65.36</v>
      </c>
      <c r="M105" s="173">
        <v>0</v>
      </c>
      <c r="N105" s="173">
        <f t="shared" si="2"/>
        <v>5773.09</v>
      </c>
      <c r="O105" s="173">
        <f t="shared" si="1"/>
        <v>16117.060000000001</v>
      </c>
      <c r="P105" s="186"/>
    </row>
    <row r="106" spans="1:16" s="115" customFormat="1" ht="13.95" customHeight="1">
      <c r="A106" s="187" t="s">
        <v>133</v>
      </c>
      <c r="B106" s="187"/>
      <c r="C106" s="187">
        <v>20858.45</v>
      </c>
      <c r="D106" s="11">
        <v>719</v>
      </c>
      <c r="E106" s="142">
        <v>21168.34</v>
      </c>
      <c r="F106" s="106">
        <v>14667.93</v>
      </c>
      <c r="G106" s="106">
        <v>112.8</v>
      </c>
      <c r="H106" s="118">
        <v>0</v>
      </c>
      <c r="I106" s="106">
        <v>6387.61</v>
      </c>
      <c r="J106" s="143">
        <v>6384.76</v>
      </c>
      <c r="K106" s="145">
        <v>307.04000000000002</v>
      </c>
      <c r="L106" s="173">
        <v>0</v>
      </c>
      <c r="M106" s="173">
        <v>0</v>
      </c>
      <c r="N106" s="173">
        <f t="shared" si="2"/>
        <v>6077.72</v>
      </c>
      <c r="O106" s="173">
        <f t="shared" si="1"/>
        <v>20858.45</v>
      </c>
      <c r="P106" s="186"/>
    </row>
    <row r="107" spans="1:16" s="115" customFormat="1" ht="13.95" customHeight="1">
      <c r="A107" s="187" t="s">
        <v>134</v>
      </c>
      <c r="B107" s="187"/>
      <c r="C107" s="187">
        <v>19794.599999999999</v>
      </c>
      <c r="D107" s="11">
        <v>646</v>
      </c>
      <c r="E107" s="142">
        <v>20016.5</v>
      </c>
      <c r="F107" s="106">
        <v>13212.82</v>
      </c>
      <c r="G107" s="106">
        <v>139.19999999999999</v>
      </c>
      <c r="H107" s="118">
        <v>0</v>
      </c>
      <c r="I107" s="106">
        <v>6664.48</v>
      </c>
      <c r="J107" s="143">
        <v>6730.37</v>
      </c>
      <c r="K107" s="145">
        <v>334.57</v>
      </c>
      <c r="L107" s="143">
        <v>46.78</v>
      </c>
      <c r="M107" s="173">
        <v>0</v>
      </c>
      <c r="N107" s="173">
        <f t="shared" si="2"/>
        <v>6442.58</v>
      </c>
      <c r="O107" s="173">
        <f t="shared" si="1"/>
        <v>19794.599999999999</v>
      </c>
      <c r="P107" s="186"/>
    </row>
    <row r="108" spans="1:16" s="115" customFormat="1" ht="13.95" customHeight="1">
      <c r="A108" s="187" t="s">
        <v>135</v>
      </c>
      <c r="B108" s="187"/>
      <c r="C108" s="187">
        <v>18399.97</v>
      </c>
      <c r="D108" s="11">
        <v>629</v>
      </c>
      <c r="E108" s="142">
        <v>18653.2</v>
      </c>
      <c r="F108" s="106">
        <v>12159.6</v>
      </c>
      <c r="G108" s="106">
        <v>68.400000000000006</v>
      </c>
      <c r="H108" s="118">
        <v>0</v>
      </c>
      <c r="I108" s="106">
        <v>6425.2</v>
      </c>
      <c r="J108" s="143">
        <v>6427.92</v>
      </c>
      <c r="K108" s="145">
        <v>298.82</v>
      </c>
      <c r="L108" s="143">
        <v>42.87</v>
      </c>
      <c r="M108" s="173">
        <v>0</v>
      </c>
      <c r="N108" s="173">
        <f t="shared" si="2"/>
        <v>6171.97</v>
      </c>
      <c r="O108" s="173">
        <f t="shared" si="1"/>
        <v>18399.97</v>
      </c>
      <c r="P108" s="186"/>
    </row>
    <row r="109" spans="1:16" s="115" customFormat="1" ht="13.95" customHeight="1">
      <c r="A109" s="187" t="s">
        <v>136</v>
      </c>
      <c r="B109" s="187"/>
      <c r="C109" s="187">
        <v>17783.03</v>
      </c>
      <c r="D109" s="11">
        <v>583</v>
      </c>
      <c r="E109" s="142">
        <v>17957.97</v>
      </c>
      <c r="F109" s="106">
        <v>12433.88</v>
      </c>
      <c r="G109" s="106">
        <v>147.22</v>
      </c>
      <c r="H109" s="118">
        <v>0</v>
      </c>
      <c r="I109" s="106">
        <v>5376.87</v>
      </c>
      <c r="J109" s="143">
        <v>5421.27</v>
      </c>
      <c r="K109" s="145">
        <v>219.34</v>
      </c>
      <c r="L109" s="173">
        <v>0</v>
      </c>
      <c r="M109" s="173">
        <v>0</v>
      </c>
      <c r="N109" s="173">
        <f t="shared" si="2"/>
        <v>5201.93</v>
      </c>
      <c r="O109" s="173">
        <f t="shared" si="1"/>
        <v>17783.03</v>
      </c>
      <c r="P109" s="186"/>
    </row>
    <row r="110" spans="1:16" s="115" customFormat="1" ht="13.95" customHeight="1">
      <c r="A110" s="187" t="s">
        <v>137</v>
      </c>
      <c r="B110" s="187"/>
      <c r="C110" s="187">
        <v>16305.69</v>
      </c>
      <c r="D110" s="11">
        <v>581</v>
      </c>
      <c r="E110" s="142">
        <v>16525.32</v>
      </c>
      <c r="F110" s="106">
        <v>11080.55</v>
      </c>
      <c r="G110" s="106">
        <v>283.20999999999998</v>
      </c>
      <c r="H110" s="118">
        <v>0</v>
      </c>
      <c r="I110" s="106">
        <v>5161.5600000000004</v>
      </c>
      <c r="J110" s="296">
        <v>5209.26</v>
      </c>
      <c r="K110" s="297">
        <v>267.33</v>
      </c>
      <c r="L110" s="173">
        <v>0</v>
      </c>
      <c r="M110" s="173">
        <v>0</v>
      </c>
      <c r="N110" s="173">
        <f t="shared" si="2"/>
        <v>4941.93</v>
      </c>
      <c r="O110" s="173">
        <f t="shared" si="1"/>
        <v>16305.689999999999</v>
      </c>
      <c r="P110" s="186"/>
    </row>
    <row r="111" spans="1:16" s="115" customFormat="1" ht="13.95" customHeight="1">
      <c r="A111" s="187" t="s">
        <v>138</v>
      </c>
      <c r="B111" s="187"/>
      <c r="C111" s="187">
        <v>16431.849999999999</v>
      </c>
      <c r="D111" s="11">
        <v>546</v>
      </c>
      <c r="E111" s="142">
        <v>16536.189999999999</v>
      </c>
      <c r="F111" s="106">
        <v>12265.58</v>
      </c>
      <c r="G111" s="106">
        <v>187.19</v>
      </c>
      <c r="H111" s="118">
        <v>0</v>
      </c>
      <c r="I111" s="106">
        <v>4083.42</v>
      </c>
      <c r="J111" s="143">
        <v>4096.91</v>
      </c>
      <c r="K111" s="145">
        <v>117.83</v>
      </c>
      <c r="L111" s="173">
        <v>0</v>
      </c>
      <c r="M111" s="173">
        <v>0</v>
      </c>
      <c r="N111" s="173">
        <f t="shared" si="2"/>
        <v>3979.08</v>
      </c>
      <c r="O111" s="173">
        <f t="shared" si="1"/>
        <v>16431.849999999999</v>
      </c>
      <c r="P111" s="186"/>
    </row>
    <row r="112" spans="1:16" s="115" customFormat="1" ht="13.95" customHeight="1">
      <c r="A112" s="187" t="s">
        <v>139</v>
      </c>
      <c r="B112" s="187"/>
      <c r="C112" s="187">
        <v>17769.13</v>
      </c>
      <c r="D112" s="11">
        <v>570</v>
      </c>
      <c r="E112" s="142">
        <v>17821.14</v>
      </c>
      <c r="F112" s="106">
        <v>13504.86</v>
      </c>
      <c r="G112" s="106">
        <v>254.57</v>
      </c>
      <c r="H112" s="118">
        <v>0</v>
      </c>
      <c r="I112" s="106">
        <v>4061.71</v>
      </c>
      <c r="J112" s="145">
        <v>4009.7</v>
      </c>
      <c r="K112" s="145">
        <v>0</v>
      </c>
      <c r="L112" s="173">
        <v>0</v>
      </c>
      <c r="M112" s="173">
        <v>0</v>
      </c>
      <c r="N112" s="173">
        <f t="shared" si="2"/>
        <v>4009.7</v>
      </c>
      <c r="O112" s="173">
        <f t="shared" ref="O112:O138" si="3">SUM(F112,G112,H112,N112)</f>
        <v>17769.13</v>
      </c>
      <c r="P112" s="186"/>
    </row>
    <row r="113" spans="1:16" s="115" customFormat="1" ht="13.95" customHeight="1">
      <c r="A113" s="187" t="s">
        <v>140</v>
      </c>
      <c r="B113" s="187"/>
      <c r="C113" s="187">
        <v>17376.310000000001</v>
      </c>
      <c r="D113" s="11"/>
      <c r="E113" s="187">
        <v>17252.3</v>
      </c>
      <c r="F113" s="187">
        <v>13234.44</v>
      </c>
      <c r="G113" s="187">
        <v>200.1</v>
      </c>
      <c r="H113" s="187">
        <v>0</v>
      </c>
      <c r="I113" s="187">
        <v>3817.76</v>
      </c>
      <c r="J113" s="298">
        <v>3941.77</v>
      </c>
      <c r="K113" s="145">
        <v>0</v>
      </c>
      <c r="L113" s="173">
        <v>0</v>
      </c>
      <c r="M113" s="173">
        <v>0</v>
      </c>
      <c r="N113" s="173">
        <f t="shared" si="2"/>
        <v>3941.77</v>
      </c>
      <c r="O113" s="173">
        <f t="shared" si="3"/>
        <v>17376.310000000001</v>
      </c>
      <c r="P113" s="186"/>
    </row>
    <row r="114" spans="1:16" s="115" customFormat="1" ht="13.95" customHeight="1">
      <c r="A114" s="187" t="s">
        <v>141</v>
      </c>
      <c r="B114" s="187"/>
      <c r="C114" s="187">
        <v>18726.79</v>
      </c>
      <c r="D114" s="2">
        <v>575</v>
      </c>
      <c r="E114" s="187">
        <v>18506.599999999999</v>
      </c>
      <c r="F114" s="187">
        <v>13467.13</v>
      </c>
      <c r="G114" s="187">
        <v>255.15</v>
      </c>
      <c r="H114" s="187">
        <v>0</v>
      </c>
      <c r="I114" s="187">
        <v>4784.32</v>
      </c>
      <c r="J114" s="145">
        <v>5004.51</v>
      </c>
      <c r="K114" s="145">
        <v>0</v>
      </c>
      <c r="L114" s="173">
        <v>0</v>
      </c>
      <c r="M114" s="173">
        <v>0</v>
      </c>
      <c r="N114" s="173">
        <f t="shared" si="2"/>
        <v>5004.51</v>
      </c>
      <c r="O114" s="173">
        <f t="shared" si="3"/>
        <v>18726.79</v>
      </c>
      <c r="P114" s="186"/>
    </row>
    <row r="115" spans="1:16" s="115" customFormat="1" ht="13.95" customHeight="1">
      <c r="A115" s="187" t="s">
        <v>142</v>
      </c>
      <c r="B115" s="187"/>
      <c r="C115" s="187">
        <v>17425.060000000001</v>
      </c>
      <c r="D115" s="302">
        <v>535</v>
      </c>
      <c r="E115" s="187">
        <v>17425.060000000001</v>
      </c>
      <c r="F115" s="187">
        <v>12637.58</v>
      </c>
      <c r="G115" s="187">
        <v>367.19</v>
      </c>
      <c r="H115" s="187">
        <v>0</v>
      </c>
      <c r="I115" s="187">
        <v>4420.29</v>
      </c>
      <c r="J115" s="145">
        <v>4420.29</v>
      </c>
      <c r="K115" s="145">
        <v>0</v>
      </c>
      <c r="L115" s="173">
        <v>0</v>
      </c>
      <c r="M115" s="173">
        <v>0</v>
      </c>
      <c r="N115" s="173">
        <f t="shared" si="2"/>
        <v>4420.29</v>
      </c>
      <c r="O115" s="173">
        <f t="shared" si="3"/>
        <v>17425.060000000001</v>
      </c>
      <c r="P115" s="186"/>
    </row>
    <row r="116" spans="1:16" s="115" customFormat="1" ht="13.95" customHeight="1">
      <c r="A116" s="187" t="s">
        <v>143</v>
      </c>
      <c r="B116" s="187"/>
      <c r="C116" s="187">
        <v>16256.28</v>
      </c>
      <c r="D116" s="302" t="s">
        <v>235</v>
      </c>
      <c r="E116" s="187">
        <v>16264.56</v>
      </c>
      <c r="F116" s="187">
        <v>11402.71</v>
      </c>
      <c r="G116" s="187">
        <v>192.68</v>
      </c>
      <c r="H116" s="187">
        <v>0</v>
      </c>
      <c r="I116" s="187">
        <v>4669.17</v>
      </c>
      <c r="J116" s="301">
        <v>4660.8900000000003</v>
      </c>
      <c r="K116" s="145">
        <v>0</v>
      </c>
      <c r="L116" s="173">
        <v>0</v>
      </c>
      <c r="M116" s="173">
        <v>0</v>
      </c>
      <c r="N116" s="173">
        <f t="shared" si="2"/>
        <v>4660.8900000000003</v>
      </c>
      <c r="O116" s="173">
        <f t="shared" si="3"/>
        <v>16256.279999999999</v>
      </c>
      <c r="P116" s="186"/>
    </row>
    <row r="117" spans="1:16" s="115" customFormat="1" ht="13.95" customHeight="1">
      <c r="A117" s="187" t="s">
        <v>145</v>
      </c>
      <c r="B117" s="187"/>
      <c r="C117" s="187">
        <v>17706.84</v>
      </c>
      <c r="D117" s="302" t="s">
        <v>236</v>
      </c>
      <c r="E117" s="187">
        <v>17748.23</v>
      </c>
      <c r="F117" s="187">
        <v>12929.35</v>
      </c>
      <c r="G117" s="187">
        <v>337.96</v>
      </c>
      <c r="H117" s="187">
        <v>0</v>
      </c>
      <c r="I117" s="187">
        <v>4480.92</v>
      </c>
      <c r="J117" s="145">
        <v>4402.3599999999997</v>
      </c>
      <c r="K117" s="145">
        <v>0</v>
      </c>
      <c r="L117" s="145">
        <v>37.17</v>
      </c>
      <c r="M117" s="173">
        <v>0</v>
      </c>
      <c r="N117" s="173">
        <f t="shared" si="2"/>
        <v>4439.53</v>
      </c>
      <c r="O117" s="173">
        <f t="shared" si="3"/>
        <v>17706.84</v>
      </c>
      <c r="P117" s="186"/>
    </row>
    <row r="118" spans="1:16" s="115" customFormat="1" ht="13.95" customHeight="1">
      <c r="A118" s="2" t="s">
        <v>147</v>
      </c>
      <c r="B118" s="187"/>
      <c r="C118" s="187">
        <v>18888.52</v>
      </c>
      <c r="D118" s="302" t="s">
        <v>237</v>
      </c>
      <c r="E118" s="187">
        <v>19214.09</v>
      </c>
      <c r="F118" s="187">
        <v>12834.55</v>
      </c>
      <c r="G118" s="187">
        <v>171.69</v>
      </c>
      <c r="H118" s="187">
        <v>0</v>
      </c>
      <c r="I118" s="187">
        <v>6207.85</v>
      </c>
      <c r="J118" s="145">
        <v>6249.24</v>
      </c>
      <c r="K118" s="145">
        <v>366.96</v>
      </c>
      <c r="L118" s="173">
        <v>0</v>
      </c>
      <c r="M118" s="173">
        <v>0</v>
      </c>
      <c r="N118" s="173">
        <f t="shared" si="2"/>
        <v>5882.28</v>
      </c>
      <c r="O118" s="173">
        <f t="shared" si="3"/>
        <v>18888.52</v>
      </c>
      <c r="P118" s="186"/>
    </row>
    <row r="119" spans="1:16" s="115" customFormat="1" ht="13.95" customHeight="1">
      <c r="A119" s="2" t="s">
        <v>149</v>
      </c>
      <c r="B119" s="187"/>
      <c r="C119" s="187">
        <v>18917.61</v>
      </c>
      <c r="D119" s="304">
        <v>584</v>
      </c>
      <c r="E119" s="187">
        <v>19246.060000000001</v>
      </c>
      <c r="F119" s="302">
        <v>12768.97</v>
      </c>
      <c r="G119" s="187">
        <v>102.93</v>
      </c>
      <c r="H119" s="187">
        <v>0</v>
      </c>
      <c r="I119" s="187">
        <v>6374.16</v>
      </c>
      <c r="J119" s="145">
        <v>6429.86</v>
      </c>
      <c r="K119" s="145">
        <v>384.15</v>
      </c>
      <c r="L119" s="173">
        <v>0</v>
      </c>
      <c r="M119" s="173">
        <v>0</v>
      </c>
      <c r="N119" s="173">
        <f t="shared" si="2"/>
        <v>6045.71</v>
      </c>
      <c r="O119" s="173">
        <f t="shared" si="3"/>
        <v>18917.61</v>
      </c>
      <c r="P119" s="186"/>
    </row>
    <row r="120" spans="1:16" s="115" customFormat="1" ht="13.95" customHeight="1">
      <c r="A120" s="2" t="s">
        <v>150</v>
      </c>
      <c r="B120" s="187"/>
      <c r="C120" s="187">
        <v>19147.39</v>
      </c>
      <c r="D120" s="300">
        <v>617</v>
      </c>
      <c r="E120" s="187">
        <v>19778.599999999999</v>
      </c>
      <c r="F120" s="187">
        <v>11560.99</v>
      </c>
      <c r="G120" s="187">
        <v>137.74</v>
      </c>
      <c r="H120" s="187">
        <v>0</v>
      </c>
      <c r="I120" s="187">
        <v>8079.87</v>
      </c>
      <c r="J120" s="145">
        <v>8124.05</v>
      </c>
      <c r="K120" s="145">
        <v>675.39</v>
      </c>
      <c r="L120" s="173">
        <v>0</v>
      </c>
      <c r="M120" s="173">
        <v>0</v>
      </c>
      <c r="N120" s="173">
        <f t="shared" si="2"/>
        <v>7448.66</v>
      </c>
      <c r="O120" s="173">
        <f t="shared" si="3"/>
        <v>19147.39</v>
      </c>
      <c r="P120" s="186"/>
    </row>
    <row r="121" spans="1:16" s="115" customFormat="1" ht="13.95" customHeight="1">
      <c r="A121" s="299" t="s">
        <v>151</v>
      </c>
      <c r="B121" s="187"/>
      <c r="C121" s="187">
        <v>18451.810000000001</v>
      </c>
      <c r="D121" s="187" t="s">
        <v>238</v>
      </c>
      <c r="E121" s="187">
        <v>18690.72</v>
      </c>
      <c r="F121" s="187">
        <v>12819.93</v>
      </c>
      <c r="G121" s="187">
        <v>140.78</v>
      </c>
      <c r="H121" s="187">
        <v>0</v>
      </c>
      <c r="I121" s="187">
        <v>5730.01</v>
      </c>
      <c r="J121" s="145">
        <v>5842.18</v>
      </c>
      <c r="K121" s="145">
        <v>370.57</v>
      </c>
      <c r="L121" s="145">
        <v>19.489999999999998</v>
      </c>
      <c r="M121" s="173">
        <v>0</v>
      </c>
      <c r="N121" s="173">
        <f t="shared" si="2"/>
        <v>5491.1</v>
      </c>
      <c r="O121" s="173">
        <f t="shared" si="3"/>
        <v>18451.810000000001</v>
      </c>
      <c r="P121" s="186"/>
    </row>
    <row r="122" spans="1:16" s="115" customFormat="1" ht="13.95" customHeight="1">
      <c r="A122" s="2" t="s">
        <v>153</v>
      </c>
      <c r="B122" s="187"/>
      <c r="C122" s="187">
        <v>20513.53</v>
      </c>
      <c r="D122" s="187" t="s">
        <v>239</v>
      </c>
      <c r="E122" s="187">
        <v>21375.78</v>
      </c>
      <c r="F122" s="187">
        <v>12928.07</v>
      </c>
      <c r="G122" s="187">
        <v>239.59</v>
      </c>
      <c r="H122" s="187">
        <v>0</v>
      </c>
      <c r="I122" s="187">
        <v>8208.1200000000008</v>
      </c>
      <c r="J122" s="306">
        <v>8254.59</v>
      </c>
      <c r="K122" s="306">
        <v>908.72</v>
      </c>
      <c r="L122" s="173">
        <v>0</v>
      </c>
      <c r="M122" s="173">
        <v>0</v>
      </c>
      <c r="N122" s="173">
        <f t="shared" si="2"/>
        <v>7345.87</v>
      </c>
      <c r="O122" s="173">
        <f t="shared" si="3"/>
        <v>20513.53</v>
      </c>
      <c r="P122" s="186"/>
    </row>
    <row r="123" spans="1:16" s="115" customFormat="1" ht="13.95" customHeight="1">
      <c r="A123" s="2" t="s">
        <v>154</v>
      </c>
      <c r="B123" s="187"/>
      <c r="C123" s="187">
        <v>25775.68</v>
      </c>
      <c r="D123" s="304">
        <v>737</v>
      </c>
      <c r="E123" s="187">
        <v>26184.32</v>
      </c>
      <c r="F123" s="187">
        <v>17344.72</v>
      </c>
      <c r="G123" s="187">
        <v>135.59</v>
      </c>
      <c r="H123" s="187">
        <v>0</v>
      </c>
      <c r="I123" s="187">
        <v>8704.01</v>
      </c>
      <c r="J123" s="145">
        <v>8807.2099999999991</v>
      </c>
      <c r="K123" s="145">
        <v>511.84</v>
      </c>
      <c r="L123" s="173">
        <v>0</v>
      </c>
      <c r="M123" s="173">
        <v>0</v>
      </c>
      <c r="N123" s="173">
        <f t="shared" si="2"/>
        <v>8295.369999999999</v>
      </c>
      <c r="O123" s="173">
        <f t="shared" si="3"/>
        <v>25775.68</v>
      </c>
      <c r="P123" s="186"/>
    </row>
    <row r="124" spans="1:16" s="115" customFormat="1" ht="13.95" customHeight="1">
      <c r="A124" s="11" t="s">
        <v>155</v>
      </c>
      <c r="B124" s="187"/>
      <c r="C124" s="187">
        <v>25820.83</v>
      </c>
      <c r="D124" s="302" t="s">
        <v>240</v>
      </c>
      <c r="E124" s="2">
        <v>26413.46</v>
      </c>
      <c r="F124" s="187">
        <v>17208.560000000001</v>
      </c>
      <c r="G124" s="187">
        <v>307.47000000000003</v>
      </c>
      <c r="H124" s="187">
        <v>0</v>
      </c>
      <c r="I124" s="187">
        <v>8897.43</v>
      </c>
      <c r="J124" s="145">
        <v>8973.85</v>
      </c>
      <c r="K124" s="145">
        <v>669.05</v>
      </c>
      <c r="L124" s="173">
        <v>0</v>
      </c>
      <c r="M124" s="173">
        <v>0</v>
      </c>
      <c r="N124" s="173">
        <f t="shared" si="2"/>
        <v>8304.8000000000011</v>
      </c>
      <c r="O124" s="173">
        <f t="shared" si="3"/>
        <v>25820.83</v>
      </c>
      <c r="P124" s="186"/>
    </row>
    <row r="125" spans="1:16" s="115" customFormat="1" ht="13.95" customHeight="1">
      <c r="A125" s="11" t="s">
        <v>157</v>
      </c>
      <c r="B125" s="187"/>
      <c r="C125" s="187">
        <v>15959.21</v>
      </c>
      <c r="D125" s="187" t="s">
        <v>241</v>
      </c>
      <c r="E125" s="187">
        <v>16386.68</v>
      </c>
      <c r="F125" s="187">
        <v>10284.57</v>
      </c>
      <c r="G125" s="187">
        <v>226.17</v>
      </c>
      <c r="H125" s="187">
        <v>0</v>
      </c>
      <c r="I125" s="187">
        <v>5875.94</v>
      </c>
      <c r="J125" s="145">
        <v>5929.54</v>
      </c>
      <c r="K125" s="145">
        <v>481.07</v>
      </c>
      <c r="L125" s="173">
        <v>0</v>
      </c>
      <c r="M125" s="173">
        <v>0</v>
      </c>
      <c r="N125" s="173">
        <f t="shared" si="2"/>
        <v>5448.47</v>
      </c>
      <c r="O125" s="173">
        <f t="shared" si="3"/>
        <v>15959.21</v>
      </c>
      <c r="P125" s="186"/>
    </row>
    <row r="126" spans="1:16" s="115" customFormat="1" ht="13.95" customHeight="1">
      <c r="A126" s="11" t="s">
        <v>159</v>
      </c>
      <c r="B126" s="187"/>
      <c r="C126" s="187">
        <v>17411.11</v>
      </c>
      <c r="D126" s="187" t="s">
        <v>242</v>
      </c>
      <c r="E126" s="187">
        <v>17591.650000000001</v>
      </c>
      <c r="F126" s="187">
        <v>11970.36</v>
      </c>
      <c r="G126" s="187">
        <v>148.78</v>
      </c>
      <c r="H126" s="187">
        <v>0</v>
      </c>
      <c r="I126" s="187">
        <v>5472.51</v>
      </c>
      <c r="J126" s="145">
        <v>5538.67</v>
      </c>
      <c r="K126" s="145">
        <v>246.7</v>
      </c>
      <c r="L126" s="173">
        <v>0</v>
      </c>
      <c r="M126" s="173">
        <v>0</v>
      </c>
      <c r="N126" s="173">
        <f t="shared" si="2"/>
        <v>5291.97</v>
      </c>
      <c r="O126" s="173">
        <f t="shared" si="3"/>
        <v>17411.11</v>
      </c>
      <c r="P126" s="186"/>
    </row>
    <row r="127" spans="1:16" s="115" customFormat="1" ht="13.95" customHeight="1">
      <c r="A127" s="30" t="s">
        <v>161</v>
      </c>
      <c r="B127" s="187"/>
      <c r="C127" s="187">
        <v>17086.48</v>
      </c>
      <c r="D127" s="187" t="s">
        <v>243</v>
      </c>
      <c r="E127" s="187">
        <v>17594.5</v>
      </c>
      <c r="F127" s="187">
        <v>9596.89</v>
      </c>
      <c r="G127" s="187">
        <v>254.86</v>
      </c>
      <c r="H127" s="187">
        <v>0</v>
      </c>
      <c r="I127" s="187">
        <v>7742.75</v>
      </c>
      <c r="J127" s="311">
        <v>7918.76</v>
      </c>
      <c r="K127" s="311">
        <v>684.03</v>
      </c>
      <c r="L127" s="173">
        <v>0</v>
      </c>
      <c r="M127" s="173">
        <v>0</v>
      </c>
      <c r="N127" s="173">
        <f t="shared" si="2"/>
        <v>7234.7300000000005</v>
      </c>
      <c r="O127" s="173">
        <f t="shared" si="3"/>
        <v>17086.48</v>
      </c>
      <c r="P127" s="186"/>
    </row>
    <row r="128" spans="1:16" s="115" customFormat="1" ht="13.95" customHeight="1">
      <c r="A128" s="30" t="s">
        <v>163</v>
      </c>
      <c r="B128" s="187"/>
      <c r="C128" s="187">
        <v>18905.45</v>
      </c>
      <c r="D128" s="187" t="s">
        <v>244</v>
      </c>
      <c r="E128" s="187">
        <v>19111.36</v>
      </c>
      <c r="F128" s="187">
        <v>12568.11</v>
      </c>
      <c r="G128" s="187">
        <v>415.58</v>
      </c>
      <c r="H128" s="187">
        <v>0</v>
      </c>
      <c r="I128" s="187">
        <v>6127.67</v>
      </c>
      <c r="J128" s="145">
        <v>6148.89</v>
      </c>
      <c r="K128" s="145">
        <v>227.13</v>
      </c>
      <c r="L128" s="173">
        <v>0</v>
      </c>
      <c r="M128" s="173">
        <v>0</v>
      </c>
      <c r="N128" s="173">
        <f t="shared" si="2"/>
        <v>5921.76</v>
      </c>
      <c r="O128" s="173">
        <f t="shared" si="3"/>
        <v>18905.45</v>
      </c>
      <c r="P128" s="186"/>
    </row>
    <row r="129" spans="1:16" s="115" customFormat="1" ht="13.95" customHeight="1">
      <c r="A129" s="30" t="s">
        <v>165</v>
      </c>
      <c r="B129" s="187"/>
      <c r="C129" s="187">
        <v>18381.18</v>
      </c>
      <c r="D129" s="187" t="s">
        <v>245</v>
      </c>
      <c r="E129" s="187">
        <v>18696.57</v>
      </c>
      <c r="F129" s="187">
        <v>12060.52</v>
      </c>
      <c r="G129" s="187">
        <v>423.52</v>
      </c>
      <c r="H129" s="187">
        <v>0</v>
      </c>
      <c r="I129" s="187">
        <v>6212.53</v>
      </c>
      <c r="J129" s="145">
        <v>6183.36</v>
      </c>
      <c r="K129" s="145">
        <v>326.61</v>
      </c>
      <c r="L129" s="145">
        <v>57.37</v>
      </c>
      <c r="M129" s="145">
        <v>16.98</v>
      </c>
      <c r="N129" s="173">
        <f t="shared" si="2"/>
        <v>5897.14</v>
      </c>
      <c r="O129" s="173">
        <f t="shared" si="3"/>
        <v>18381.18</v>
      </c>
      <c r="P129" s="186"/>
    </row>
    <row r="130" spans="1:16" s="115" customFormat="1" ht="13.95" customHeight="1">
      <c r="A130" s="11" t="s">
        <v>166</v>
      </c>
      <c r="B130" s="187"/>
      <c r="C130" s="187">
        <v>19365.240000000002</v>
      </c>
      <c r="D130" s="187" t="s">
        <v>246</v>
      </c>
      <c r="E130" s="187">
        <v>19918.93</v>
      </c>
      <c r="F130" s="187">
        <v>12665.61</v>
      </c>
      <c r="G130" s="187">
        <v>375.04</v>
      </c>
      <c r="H130" s="187">
        <v>0</v>
      </c>
      <c r="I130" s="187">
        <v>6878.28</v>
      </c>
      <c r="J130" s="106">
        <v>6860.32</v>
      </c>
      <c r="K130" s="106">
        <v>569.30999999999995</v>
      </c>
      <c r="L130" s="106">
        <v>33.58</v>
      </c>
      <c r="M130" s="173">
        <v>0</v>
      </c>
      <c r="N130" s="173">
        <f t="shared" si="2"/>
        <v>6324.59</v>
      </c>
      <c r="O130" s="173">
        <f t="shared" si="3"/>
        <v>19365.240000000002</v>
      </c>
      <c r="P130" s="186"/>
    </row>
    <row r="131" spans="1:16" s="115" customFormat="1" ht="13.95" customHeight="1">
      <c r="A131" s="11" t="s">
        <v>168</v>
      </c>
      <c r="B131" s="187"/>
      <c r="C131" s="187">
        <v>14252.61</v>
      </c>
      <c r="D131" s="187" t="s">
        <v>247</v>
      </c>
      <c r="E131" s="187">
        <v>13373.22</v>
      </c>
      <c r="F131" s="187">
        <v>7832.69</v>
      </c>
      <c r="G131" s="187">
        <v>179.58</v>
      </c>
      <c r="H131" s="187">
        <v>0</v>
      </c>
      <c r="I131" s="187">
        <v>5360.95</v>
      </c>
      <c r="J131" s="106">
        <v>6764.9</v>
      </c>
      <c r="K131" s="106">
        <v>537.75</v>
      </c>
      <c r="L131" s="106">
        <v>13.19</v>
      </c>
      <c r="M131" s="173">
        <v>0</v>
      </c>
      <c r="N131" s="173">
        <f t="shared" si="2"/>
        <v>6240.3399999999992</v>
      </c>
      <c r="O131" s="173">
        <f t="shared" si="3"/>
        <v>14252.609999999999</v>
      </c>
      <c r="P131" s="186"/>
    </row>
    <row r="132" spans="1:16" s="115" customFormat="1" ht="13.95" customHeight="1">
      <c r="A132" s="11" t="s">
        <v>170</v>
      </c>
      <c r="B132" s="187"/>
      <c r="C132" s="187">
        <v>16576.77</v>
      </c>
      <c r="D132" s="187" t="s">
        <v>248</v>
      </c>
      <c r="E132" s="187">
        <v>16721.86</v>
      </c>
      <c r="F132" s="187">
        <v>9985.52</v>
      </c>
      <c r="G132" s="187">
        <v>186.37</v>
      </c>
      <c r="H132" s="187">
        <v>0</v>
      </c>
      <c r="I132" s="187">
        <v>6549.97</v>
      </c>
      <c r="J132" s="106">
        <v>7114.2</v>
      </c>
      <c r="K132" s="106">
        <v>734.31</v>
      </c>
      <c r="L132" s="106">
        <v>24.99</v>
      </c>
      <c r="M132" s="173">
        <v>0</v>
      </c>
      <c r="N132" s="173">
        <f t="shared" si="2"/>
        <v>6404.8799999999992</v>
      </c>
      <c r="O132" s="173">
        <f t="shared" si="3"/>
        <v>16576.77</v>
      </c>
      <c r="P132" s="186"/>
    </row>
    <row r="133" spans="1:16" s="115" customFormat="1" ht="13.95" customHeight="1">
      <c r="A133" s="11" t="s">
        <v>172</v>
      </c>
      <c r="B133" s="187"/>
      <c r="C133" s="187">
        <v>17660.07</v>
      </c>
      <c r="D133" s="187" t="s">
        <v>249</v>
      </c>
      <c r="E133" s="187">
        <v>18657.849999999999</v>
      </c>
      <c r="F133" s="187">
        <v>10767.42</v>
      </c>
      <c r="G133" s="187">
        <v>443.56</v>
      </c>
      <c r="H133" s="187">
        <v>0</v>
      </c>
      <c r="I133" s="187">
        <v>7446.87</v>
      </c>
      <c r="J133" s="145">
        <v>7216.59</v>
      </c>
      <c r="K133" s="145">
        <v>767.5</v>
      </c>
      <c r="L133" s="173">
        <v>0</v>
      </c>
      <c r="M133" s="173">
        <v>0</v>
      </c>
      <c r="N133" s="173">
        <f t="shared" si="2"/>
        <v>6449.09</v>
      </c>
      <c r="O133" s="173">
        <f t="shared" si="3"/>
        <v>17660.07</v>
      </c>
      <c r="P133" s="186"/>
    </row>
    <row r="134" spans="1:16" s="115" customFormat="1" ht="13.95" customHeight="1">
      <c r="A134" s="11" t="s">
        <v>174</v>
      </c>
      <c r="B134" s="187"/>
      <c r="C134" s="187">
        <v>19160.79</v>
      </c>
      <c r="D134" s="187" t="s">
        <v>250</v>
      </c>
      <c r="E134" s="187">
        <v>19775.89</v>
      </c>
      <c r="F134" s="187">
        <v>12743.75</v>
      </c>
      <c r="G134" s="187">
        <v>46.78</v>
      </c>
      <c r="H134" s="187">
        <v>0</v>
      </c>
      <c r="I134" s="187">
        <v>6985.36</v>
      </c>
      <c r="J134" s="106">
        <v>6961.2</v>
      </c>
      <c r="K134" s="106">
        <v>607.13</v>
      </c>
      <c r="L134" s="106">
        <v>16.190000000000001</v>
      </c>
      <c r="M134" s="173">
        <v>0</v>
      </c>
      <c r="N134" s="173">
        <f t="shared" si="2"/>
        <v>6370.2599999999993</v>
      </c>
      <c r="O134" s="173">
        <f t="shared" si="3"/>
        <v>19160.79</v>
      </c>
      <c r="P134" s="186"/>
    </row>
    <row r="135" spans="1:16" s="115" customFormat="1" ht="13.95" customHeight="1">
      <c r="A135" s="11" t="s">
        <v>176</v>
      </c>
      <c r="B135" s="187"/>
      <c r="C135" s="187">
        <v>25373.5</v>
      </c>
      <c r="D135" s="187" t="s">
        <v>251</v>
      </c>
      <c r="E135" s="187">
        <v>26371.200000000001</v>
      </c>
      <c r="F135" s="187">
        <v>17617.939999999999</v>
      </c>
      <c r="G135" s="187">
        <v>194.97</v>
      </c>
      <c r="H135" s="187">
        <v>0</v>
      </c>
      <c r="I135" s="187">
        <v>8558.2900000000009</v>
      </c>
      <c r="J135" s="312">
        <v>8508.91</v>
      </c>
      <c r="K135" s="106">
        <v>948.32</v>
      </c>
      <c r="L135" s="106">
        <v>0</v>
      </c>
      <c r="M135" s="173">
        <v>0</v>
      </c>
      <c r="N135" s="173">
        <f t="shared" si="2"/>
        <v>7560.59</v>
      </c>
      <c r="O135" s="173">
        <f t="shared" si="3"/>
        <v>25373.5</v>
      </c>
      <c r="P135" s="186"/>
    </row>
    <row r="136" spans="1:16" s="115" customFormat="1" ht="13.95" customHeight="1">
      <c r="A136" s="11" t="s">
        <v>178</v>
      </c>
      <c r="B136" s="187"/>
      <c r="C136" s="187">
        <v>18256.37</v>
      </c>
      <c r="D136" s="187" t="s">
        <v>252</v>
      </c>
      <c r="E136" s="187">
        <v>18776.169999999998</v>
      </c>
      <c r="F136" s="187">
        <v>11433.64</v>
      </c>
      <c r="G136" s="187">
        <v>222.17</v>
      </c>
      <c r="H136" s="187">
        <v>0</v>
      </c>
      <c r="I136" s="187">
        <v>7120.36</v>
      </c>
      <c r="J136" s="312">
        <v>7080.76</v>
      </c>
      <c r="K136" s="118">
        <v>536.97</v>
      </c>
      <c r="L136" s="118">
        <v>56.77</v>
      </c>
      <c r="M136" s="173">
        <v>0</v>
      </c>
      <c r="N136" s="173">
        <f t="shared" si="2"/>
        <v>6600.56</v>
      </c>
      <c r="O136" s="173">
        <f t="shared" si="3"/>
        <v>18256.37</v>
      </c>
      <c r="P136" s="186"/>
    </row>
    <row r="137" spans="1:16" s="115" customFormat="1" ht="13.95" customHeight="1">
      <c r="A137" s="11" t="s">
        <v>180</v>
      </c>
      <c r="B137" s="187"/>
      <c r="C137" s="187">
        <v>19869.5</v>
      </c>
      <c r="D137" s="187" t="s">
        <v>253</v>
      </c>
      <c r="E137" s="187">
        <v>20335.7</v>
      </c>
      <c r="F137" s="187">
        <v>14342.6</v>
      </c>
      <c r="G137" s="187">
        <v>185.29</v>
      </c>
      <c r="H137" s="187">
        <v>0</v>
      </c>
      <c r="I137" s="187">
        <v>5807.81</v>
      </c>
      <c r="J137" s="106">
        <v>5795.45</v>
      </c>
      <c r="K137" s="106">
        <v>453.84</v>
      </c>
      <c r="L137" s="106">
        <v>0</v>
      </c>
      <c r="M137" s="173">
        <v>0</v>
      </c>
      <c r="N137" s="173">
        <f t="shared" si="2"/>
        <v>5341.61</v>
      </c>
      <c r="O137" s="173">
        <f t="shared" si="3"/>
        <v>19869.5</v>
      </c>
      <c r="P137" s="186"/>
    </row>
    <row r="138" spans="1:16" s="115" customFormat="1" ht="13.95" customHeight="1">
      <c r="A138" s="2" t="s">
        <v>182</v>
      </c>
      <c r="B138" s="187"/>
      <c r="C138" s="187">
        <v>18326.650000000001</v>
      </c>
      <c r="D138" s="318" t="s">
        <v>237</v>
      </c>
      <c r="E138" s="318">
        <v>18800.32</v>
      </c>
      <c r="F138" s="318">
        <v>12924.64</v>
      </c>
      <c r="G138" s="318">
        <v>265.14999999999998</v>
      </c>
      <c r="H138" s="318">
        <v>0</v>
      </c>
      <c r="I138" s="318">
        <v>5610.53</v>
      </c>
      <c r="J138" s="106">
        <v>5648.03</v>
      </c>
      <c r="K138" s="106">
        <v>511.17</v>
      </c>
      <c r="L138" s="106">
        <v>0</v>
      </c>
      <c r="M138" s="173">
        <v>0</v>
      </c>
      <c r="N138" s="173">
        <f t="shared" si="2"/>
        <v>5136.8599999999997</v>
      </c>
      <c r="O138" s="173">
        <f t="shared" si="3"/>
        <v>18326.649999999998</v>
      </c>
      <c r="P138" s="186"/>
    </row>
    <row r="139" spans="1:16" s="115" customFormat="1" ht="13.95" customHeight="1">
      <c r="A139" s="11" t="s">
        <v>184</v>
      </c>
      <c r="B139" s="187"/>
      <c r="C139" s="187">
        <v>19074.55</v>
      </c>
      <c r="D139" s="324" t="s">
        <v>254</v>
      </c>
      <c r="E139" s="324">
        <v>19777.68</v>
      </c>
      <c r="F139" s="324">
        <v>12084.72</v>
      </c>
      <c r="G139" s="324">
        <v>186.26</v>
      </c>
      <c r="H139" s="324">
        <v>0</v>
      </c>
      <c r="I139" s="324">
        <v>7506.7</v>
      </c>
      <c r="J139" s="106" t="s">
        <v>255</v>
      </c>
      <c r="K139" s="106" t="s">
        <v>256</v>
      </c>
      <c r="L139" s="106">
        <v>16.190000000000001</v>
      </c>
      <c r="M139" s="173">
        <v>0</v>
      </c>
      <c r="N139" s="173">
        <v>6803.57</v>
      </c>
      <c r="O139" s="173">
        <v>19074.55</v>
      </c>
      <c r="P139" s="186"/>
    </row>
    <row r="140" spans="1:16" s="115" customFormat="1" ht="13.95" customHeight="1">
      <c r="A140" s="11" t="s">
        <v>186</v>
      </c>
      <c r="B140" s="187"/>
      <c r="C140" s="187">
        <v>20029.68</v>
      </c>
      <c r="D140" s="324" t="s">
        <v>257</v>
      </c>
      <c r="E140" s="324">
        <v>20501.490000000002</v>
      </c>
      <c r="F140" s="324">
        <v>13642.92</v>
      </c>
      <c r="G140" s="324">
        <v>247.87</v>
      </c>
      <c r="H140" s="324">
        <v>0</v>
      </c>
      <c r="I140" s="324">
        <v>6610.7</v>
      </c>
      <c r="J140" s="106">
        <v>6543.96</v>
      </c>
      <c r="K140" s="106">
        <v>491.22</v>
      </c>
      <c r="L140" s="106">
        <v>86.15</v>
      </c>
      <c r="M140" s="173">
        <v>0</v>
      </c>
      <c r="N140" s="173">
        <f t="shared" ref="N140:N145" si="4">(J140-K140)+(L140-M140)</f>
        <v>6138.8899999999994</v>
      </c>
      <c r="O140" s="173">
        <f t="shared" ref="O140:O145" si="5">SUM(F140,G140,H140,N140)</f>
        <v>20029.68</v>
      </c>
      <c r="P140" s="186"/>
    </row>
    <row r="141" spans="1:16" s="115" customFormat="1">
      <c r="A141" s="187" t="s">
        <v>188</v>
      </c>
      <c r="B141" s="187"/>
      <c r="C141" s="187">
        <v>18234.87</v>
      </c>
      <c r="D141" s="302" t="s">
        <v>258</v>
      </c>
      <c r="E141" s="2">
        <v>18314.560000000001</v>
      </c>
      <c r="F141" s="118">
        <v>12348.46</v>
      </c>
      <c r="G141" s="106">
        <v>442.98</v>
      </c>
      <c r="H141">
        <v>0</v>
      </c>
      <c r="I141">
        <v>5523.12</v>
      </c>
      <c r="J141" s="338" t="s">
        <v>259</v>
      </c>
      <c r="K141" s="338" t="s">
        <v>260</v>
      </c>
      <c r="L141" s="340">
        <v>41.18</v>
      </c>
      <c r="M141" s="341">
        <v>0</v>
      </c>
      <c r="N141" s="173">
        <f t="shared" si="4"/>
        <v>5443.43</v>
      </c>
      <c r="O141" s="173">
        <f t="shared" si="5"/>
        <v>18234.87</v>
      </c>
    </row>
    <row r="142" spans="1:16" s="115" customFormat="1" ht="13.95" customHeight="1">
      <c r="A142" s="328" t="s">
        <v>192</v>
      </c>
      <c r="B142" s="328"/>
      <c r="C142" s="328">
        <v>17712.87</v>
      </c>
      <c r="D142" s="302">
        <v>577</v>
      </c>
      <c r="E142" s="2">
        <v>17697.490000000002</v>
      </c>
      <c r="F142" s="329">
        <v>13729.71</v>
      </c>
      <c r="G142" s="330">
        <v>146.37</v>
      </c>
      <c r="H142">
        <v>0</v>
      </c>
      <c r="I142">
        <v>3821.41</v>
      </c>
      <c r="J142" s="115">
        <v>76.56</v>
      </c>
      <c r="K142" s="115">
        <v>0</v>
      </c>
      <c r="L142" s="115">
        <v>3760.23</v>
      </c>
      <c r="M142" s="115">
        <v>0</v>
      </c>
      <c r="N142" s="173">
        <f t="shared" si="4"/>
        <v>3836.79</v>
      </c>
      <c r="O142" s="173">
        <f t="shared" si="5"/>
        <v>17712.87</v>
      </c>
    </row>
    <row r="143" spans="1:16" s="115" customFormat="1" ht="13.95" customHeight="1">
      <c r="A143" s="350" t="s">
        <v>193</v>
      </c>
      <c r="B143" s="350"/>
      <c r="C143" s="350">
        <v>19413.89</v>
      </c>
      <c r="D143" s="302">
        <v>593</v>
      </c>
      <c r="E143" s="2">
        <v>19387.490000000002</v>
      </c>
      <c r="F143" s="329">
        <v>14115.12</v>
      </c>
      <c r="G143" s="330">
        <v>221.03</v>
      </c>
      <c r="H143">
        <v>0</v>
      </c>
      <c r="I143">
        <v>5051.34</v>
      </c>
      <c r="J143" s="336">
        <v>5077.74</v>
      </c>
      <c r="K143" s="343">
        <v>0</v>
      </c>
      <c r="L143" s="343">
        <v>0</v>
      </c>
      <c r="M143" s="343">
        <v>0</v>
      </c>
      <c r="N143" s="331">
        <f t="shared" si="4"/>
        <v>5077.74</v>
      </c>
      <c r="O143" s="331">
        <f t="shared" si="5"/>
        <v>19413.89</v>
      </c>
    </row>
    <row r="144" spans="1:16" s="115" customFormat="1" ht="27.6" customHeight="1">
      <c r="A144" s="350" t="s">
        <v>194</v>
      </c>
      <c r="B144" s="350"/>
      <c r="C144" s="350">
        <v>18448.88</v>
      </c>
      <c r="D144" s="302">
        <v>547</v>
      </c>
      <c r="E144" s="2">
        <v>18435.669999999998</v>
      </c>
      <c r="F144" s="329">
        <v>12386.86</v>
      </c>
      <c r="G144" s="330">
        <v>156.96</v>
      </c>
      <c r="H144">
        <v>0</v>
      </c>
      <c r="I144">
        <v>5891.85</v>
      </c>
      <c r="J144" s="336">
        <v>5905.06</v>
      </c>
      <c r="K144" s="343">
        <v>0</v>
      </c>
      <c r="L144" s="343">
        <v>0</v>
      </c>
      <c r="M144" s="343">
        <v>0</v>
      </c>
      <c r="N144" s="331">
        <f t="shared" si="4"/>
        <v>5905.06</v>
      </c>
      <c r="O144" s="331">
        <f t="shared" si="5"/>
        <v>18448.88</v>
      </c>
    </row>
    <row r="145" spans="1:16" ht="27.6" customHeight="1">
      <c r="A145" s="354" t="s">
        <v>482</v>
      </c>
      <c r="B145" s="354"/>
      <c r="C145" s="354">
        <v>22198.97</v>
      </c>
      <c r="D145" s="302">
        <v>623</v>
      </c>
      <c r="E145" s="2">
        <v>22735.22</v>
      </c>
      <c r="F145" s="118">
        <v>16325.45</v>
      </c>
      <c r="G145" s="106">
        <v>158.66</v>
      </c>
      <c r="H145">
        <v>0</v>
      </c>
      <c r="I145">
        <v>6251.11</v>
      </c>
      <c r="J145" s="336">
        <v>6360.29</v>
      </c>
      <c r="K145" s="336">
        <v>665.41</v>
      </c>
      <c r="L145" s="335">
        <v>19.98</v>
      </c>
      <c r="M145" s="343">
        <v>0</v>
      </c>
      <c r="N145" s="331">
        <f t="shared" si="4"/>
        <v>5714.86</v>
      </c>
      <c r="O145" s="331">
        <f t="shared" si="5"/>
        <v>22198.97</v>
      </c>
      <c r="P145" s="186"/>
    </row>
    <row r="146" spans="1:16" ht="27.6" customHeight="1">
      <c r="A146" s="354"/>
      <c r="B146" s="355"/>
      <c r="C146" s="356"/>
      <c r="D146" s="302"/>
      <c r="E146" s="2"/>
      <c r="F146" s="118"/>
      <c r="G146" s="106"/>
      <c r="J146" s="357"/>
      <c r="K146" s="343"/>
      <c r="L146" s="343"/>
      <c r="M146" s="343"/>
      <c r="N146" s="331"/>
      <c r="O146" s="331"/>
      <c r="P146" s="186"/>
    </row>
    <row r="147" spans="1:16" ht="27.6" customHeight="1">
      <c r="A147" s="173" t="s">
        <v>261</v>
      </c>
      <c r="B147" s="327"/>
      <c r="C147" s="326"/>
      <c r="D147" s="173"/>
      <c r="E147" s="173"/>
      <c r="F147" s="118"/>
      <c r="G147" s="173"/>
      <c r="H147" s="173"/>
      <c r="I147" s="11"/>
      <c r="J147" s="173"/>
      <c r="K147" s="173"/>
      <c r="L147" s="173"/>
      <c r="M147" s="173"/>
      <c r="N147" s="173"/>
      <c r="O147" s="173"/>
      <c r="P147" s="186"/>
    </row>
    <row r="148" spans="1:16" ht="27.6">
      <c r="A148" s="179" t="s">
        <v>0</v>
      </c>
      <c r="B148" s="173"/>
      <c r="C148" s="180" t="s">
        <v>1</v>
      </c>
      <c r="D148" s="180"/>
      <c r="E148" s="180"/>
      <c r="F148" s="106"/>
      <c r="G148" s="173"/>
      <c r="H148" s="173"/>
      <c r="I148" s="173"/>
      <c r="J148" s="173"/>
      <c r="K148" s="173"/>
      <c r="L148" s="173"/>
      <c r="M148" s="173"/>
      <c r="N148" s="173"/>
      <c r="O148" s="173"/>
      <c r="P148" s="186"/>
    </row>
    <row r="149" spans="1:16">
      <c r="A149" s="11" t="s">
        <v>174</v>
      </c>
      <c r="B149" s="173"/>
      <c r="C149" s="187">
        <v>19160.79</v>
      </c>
      <c r="D149" s="187"/>
      <c r="E149" s="187"/>
      <c r="F149" s="173"/>
      <c r="G149" s="173"/>
      <c r="H149" s="173"/>
      <c r="I149" s="173"/>
      <c r="J149" s="173"/>
      <c r="K149" s="173"/>
      <c r="L149" s="173"/>
      <c r="M149" s="173"/>
      <c r="N149" s="173"/>
      <c r="O149" s="173"/>
    </row>
    <row r="150" spans="1:16">
      <c r="A150" s="11" t="s">
        <v>176</v>
      </c>
      <c r="B150" s="173"/>
      <c r="C150" s="187">
        <v>25373.5</v>
      </c>
      <c r="D150" s="187"/>
      <c r="E150" s="187"/>
      <c r="F150" s="173"/>
      <c r="G150" s="173"/>
      <c r="H150" s="173"/>
      <c r="I150" s="173"/>
      <c r="J150" s="173"/>
      <c r="K150" s="173"/>
      <c r="L150" s="173"/>
      <c r="M150" s="173"/>
      <c r="N150" s="173"/>
      <c r="O150" s="173"/>
    </row>
    <row r="151" spans="1:16">
      <c r="A151" s="11" t="s">
        <v>178</v>
      </c>
      <c r="B151" s="173"/>
      <c r="C151" s="187">
        <v>18256.37</v>
      </c>
      <c r="D151" s="187"/>
      <c r="E151" s="187"/>
      <c r="F151" s="173"/>
      <c r="G151" s="173"/>
      <c r="H151" s="173"/>
      <c r="I151" s="173"/>
      <c r="J151" s="173"/>
      <c r="K151" s="173"/>
      <c r="L151" s="173"/>
      <c r="M151" s="173"/>
      <c r="N151" s="173"/>
      <c r="O151" s="173"/>
    </row>
    <row r="152" spans="1:16">
      <c r="A152" s="11" t="s">
        <v>180</v>
      </c>
      <c r="B152" s="173"/>
      <c r="C152" s="187">
        <v>19869.5</v>
      </c>
      <c r="D152" s="187"/>
      <c r="E152" s="187"/>
      <c r="F152" s="173"/>
      <c r="G152" s="173"/>
      <c r="H152" s="173"/>
      <c r="I152" s="173"/>
      <c r="J152" s="173"/>
      <c r="K152" s="173"/>
      <c r="L152" s="173"/>
      <c r="M152" s="173"/>
      <c r="N152" s="173"/>
      <c r="O152" s="173"/>
    </row>
    <row r="153" spans="1:16">
      <c r="A153" s="2" t="s">
        <v>182</v>
      </c>
      <c r="B153" s="187"/>
      <c r="C153" s="187">
        <v>18326.650000000001</v>
      </c>
      <c r="D153" s="187"/>
      <c r="E153" s="187"/>
      <c r="F153" s="173"/>
      <c r="G153" s="173"/>
      <c r="H153" s="173"/>
      <c r="I153" s="173"/>
      <c r="J153" s="173"/>
      <c r="K153" s="173"/>
      <c r="L153" s="173"/>
      <c r="M153" s="173"/>
      <c r="N153" s="173"/>
      <c r="O153" s="173"/>
    </row>
    <row r="154" spans="1:16">
      <c r="A154" s="11" t="s">
        <v>184</v>
      </c>
      <c r="B154" s="187"/>
      <c r="C154" s="187">
        <v>19074.55</v>
      </c>
      <c r="D154" s="187"/>
      <c r="E154" s="187"/>
      <c r="F154" s="173"/>
      <c r="G154" s="173"/>
      <c r="H154" s="173"/>
      <c r="I154" s="173"/>
      <c r="J154" s="173"/>
      <c r="K154" s="173"/>
      <c r="L154" s="173"/>
      <c r="M154" s="173"/>
      <c r="N154" s="173"/>
      <c r="O154" s="173"/>
    </row>
    <row r="155" spans="1:16">
      <c r="A155" s="11" t="s">
        <v>186</v>
      </c>
      <c r="B155" s="187"/>
      <c r="C155" s="187">
        <v>20029.68</v>
      </c>
      <c r="D155" s="187"/>
      <c r="E155" s="187"/>
      <c r="F155" s="173"/>
      <c r="G155" s="173"/>
      <c r="H155" s="173"/>
      <c r="I155" s="173"/>
      <c r="J155" s="173"/>
      <c r="K155" s="173"/>
      <c r="L155" s="173"/>
      <c r="M155" s="173"/>
      <c r="N155" s="173"/>
      <c r="O155" s="173"/>
    </row>
    <row r="156" spans="1:16">
      <c r="A156" s="187" t="s">
        <v>188</v>
      </c>
      <c r="B156" s="187"/>
      <c r="C156" s="187">
        <v>18234.87</v>
      </c>
      <c r="D156" s="187"/>
      <c r="E156" s="187"/>
      <c r="F156" s="173"/>
      <c r="G156" s="173"/>
      <c r="H156" s="173"/>
      <c r="I156" s="173"/>
      <c r="J156" s="173"/>
      <c r="K156" s="173"/>
      <c r="L156" s="173"/>
      <c r="M156" s="173"/>
      <c r="N156" s="173"/>
      <c r="O156" s="173"/>
    </row>
    <row r="157" spans="1:16">
      <c r="A157" s="328" t="s">
        <v>192</v>
      </c>
      <c r="B157" s="328"/>
      <c r="C157" s="328">
        <v>17712.87</v>
      </c>
      <c r="D157" s="187"/>
      <c r="E157" s="187"/>
      <c r="F157" s="173"/>
      <c r="G157" s="173"/>
      <c r="H157" s="173"/>
      <c r="I157" s="173"/>
      <c r="J157" s="173"/>
      <c r="K157" s="173"/>
      <c r="L157" s="173"/>
      <c r="M157" s="173"/>
      <c r="N157" s="173"/>
      <c r="O157" s="173"/>
    </row>
    <row r="158" spans="1:16">
      <c r="A158" s="350" t="s">
        <v>193</v>
      </c>
      <c r="B158" s="350"/>
      <c r="C158" s="350">
        <v>19413.89</v>
      </c>
      <c r="D158" s="187"/>
      <c r="E158" s="187"/>
      <c r="F158" s="173"/>
      <c r="G158" s="173"/>
      <c r="H158" s="173"/>
      <c r="I158" s="173"/>
      <c r="J158" s="173"/>
      <c r="K158" s="173"/>
      <c r="L158" s="173"/>
      <c r="M158" s="173"/>
      <c r="N158" s="173"/>
      <c r="O158" s="173"/>
    </row>
    <row r="159" spans="1:16">
      <c r="A159" s="350" t="s">
        <v>194</v>
      </c>
      <c r="B159" s="350"/>
      <c r="C159" s="350">
        <v>18448.88</v>
      </c>
      <c r="D159" s="187"/>
      <c r="E159" s="187"/>
      <c r="F159" s="173"/>
      <c r="G159" s="173"/>
      <c r="H159" s="173"/>
      <c r="I159" s="173"/>
      <c r="J159" s="173"/>
      <c r="K159" s="173"/>
      <c r="L159" s="173"/>
      <c r="M159" s="173"/>
      <c r="N159" s="173"/>
      <c r="O159" s="173"/>
    </row>
    <row r="160" spans="1:16">
      <c r="A160" s="354" t="s">
        <v>482</v>
      </c>
      <c r="B160" s="354"/>
      <c r="C160" s="354">
        <v>22198.97</v>
      </c>
      <c r="D160" s="187"/>
      <c r="E160" s="187"/>
      <c r="F160" s="173"/>
      <c r="G160" s="173"/>
      <c r="H160" s="173"/>
      <c r="I160" s="173"/>
      <c r="J160" s="173"/>
      <c r="K160" s="173"/>
      <c r="L160" s="173"/>
      <c r="M160" s="173"/>
      <c r="N160" s="173"/>
      <c r="O160" s="173"/>
    </row>
  </sheetData>
  <mergeCells count="3">
    <mergeCell ref="K1:N1"/>
    <mergeCell ref="O1:P1"/>
    <mergeCell ref="I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75"/>
  <sheetViews>
    <sheetView topLeftCell="A83" workbookViewId="0">
      <pane ySplit="7" topLeftCell="A152" activePane="bottomLeft" state="frozen"/>
      <selection activeCell="B83" sqref="B83"/>
      <selection pane="bottomLeft" activeCell="H167" sqref="H167"/>
    </sheetView>
  </sheetViews>
  <sheetFormatPr defaultRowHeight="14.4"/>
  <cols>
    <col min="1" max="1" width="39.33203125" customWidth="1"/>
    <col min="3" max="3" width="31.33203125" style="14" customWidth="1"/>
    <col min="4" max="4" width="18" style="14" customWidth="1"/>
    <col min="5" max="5" width="20.88671875" style="14" customWidth="1"/>
    <col min="6" max="6" width="18.33203125" customWidth="1"/>
    <col min="7" max="7" width="16.6640625" customWidth="1"/>
    <col min="8" max="8" width="16" customWidth="1"/>
    <col min="9" max="9" width="19.6640625" customWidth="1"/>
    <col min="10" max="10" width="20.44140625" customWidth="1"/>
    <col min="11" max="11" width="15.5546875" customWidth="1"/>
    <col min="12" max="12" width="15.33203125" customWidth="1"/>
    <col min="13" max="13" width="16.44140625" customWidth="1"/>
  </cols>
  <sheetData>
    <row r="1" spans="1:12" ht="32.4" customHeight="1">
      <c r="A1" s="7" t="s">
        <v>0</v>
      </c>
      <c r="B1" s="9"/>
      <c r="C1" s="8" t="s">
        <v>1</v>
      </c>
      <c r="D1" s="163"/>
      <c r="E1" s="163"/>
      <c r="G1" s="370">
        <v>2021</v>
      </c>
      <c r="H1" s="365"/>
      <c r="I1" s="370">
        <v>2022</v>
      </c>
      <c r="J1" s="365"/>
      <c r="K1" s="371">
        <v>2023</v>
      </c>
      <c r="L1" s="365"/>
    </row>
    <row r="2" spans="1:12" ht="16.2" customHeight="1">
      <c r="A2" s="7"/>
      <c r="B2" s="9"/>
      <c r="C2" s="8"/>
      <c r="D2" s="163"/>
      <c r="E2" s="163"/>
      <c r="G2" s="7"/>
      <c r="H2" s="1"/>
      <c r="I2" s="7"/>
      <c r="J2" s="1"/>
      <c r="K2" s="8"/>
      <c r="L2" s="9"/>
    </row>
    <row r="3" spans="1:12" ht="16.2" customHeight="1">
      <c r="A3" s="7"/>
      <c r="B3" s="9"/>
      <c r="C3" s="8"/>
      <c r="D3" s="163"/>
      <c r="E3" s="163"/>
      <c r="G3" s="7"/>
      <c r="H3" s="1"/>
      <c r="I3" s="7"/>
      <c r="J3" s="1"/>
      <c r="K3" s="8"/>
      <c r="L3" s="9"/>
    </row>
    <row r="4" spans="1:12" ht="16.2" customHeight="1">
      <c r="A4" s="7"/>
      <c r="B4" s="9"/>
      <c r="C4" s="8"/>
      <c r="D4" s="163"/>
      <c r="E4" s="163"/>
      <c r="G4" s="7"/>
      <c r="H4" s="1"/>
      <c r="I4" s="7"/>
      <c r="J4" s="1"/>
      <c r="K4" s="8"/>
      <c r="L4" s="9"/>
    </row>
    <row r="5" spans="1:12" ht="16.2" customHeight="1">
      <c r="A5" s="7"/>
      <c r="B5" s="9"/>
      <c r="C5" s="8"/>
      <c r="D5" s="163"/>
      <c r="E5" s="163"/>
      <c r="G5" s="7"/>
      <c r="H5" s="1"/>
      <c r="I5" s="7"/>
      <c r="J5" s="1"/>
      <c r="K5" s="8"/>
      <c r="L5" s="9"/>
    </row>
    <row r="6" spans="1:12" ht="16.2" customHeight="1">
      <c r="A6" s="2" t="s">
        <v>262</v>
      </c>
      <c r="B6" s="9"/>
      <c r="C6" s="8"/>
      <c r="D6" s="163"/>
      <c r="E6" s="163"/>
      <c r="G6" s="7"/>
      <c r="H6" s="1"/>
      <c r="I6" s="7"/>
      <c r="J6" s="1"/>
      <c r="K6" s="8"/>
      <c r="L6" s="9"/>
    </row>
    <row r="7" spans="1:12" ht="16.2" customHeight="1">
      <c r="A7" s="2" t="s">
        <v>263</v>
      </c>
      <c r="B7" s="9"/>
      <c r="C7" s="8"/>
      <c r="D7" s="163"/>
      <c r="E7" s="163"/>
      <c r="G7" s="7"/>
      <c r="H7" s="1"/>
      <c r="I7" s="7"/>
      <c r="J7" s="1"/>
      <c r="K7" s="8"/>
      <c r="L7" s="9"/>
    </row>
    <row r="8" spans="1:12" ht="16.2" customHeight="1">
      <c r="A8" s="2" t="s">
        <v>264</v>
      </c>
      <c r="B8" s="9"/>
      <c r="C8" s="8"/>
      <c r="D8" s="163"/>
      <c r="E8" s="163"/>
      <c r="G8" s="7"/>
      <c r="H8" s="1"/>
      <c r="I8" s="7"/>
      <c r="J8" s="1"/>
      <c r="K8" s="8"/>
      <c r="L8" s="9"/>
    </row>
    <row r="9" spans="1:12" ht="16.2" customHeight="1">
      <c r="A9" s="2" t="s">
        <v>265</v>
      </c>
      <c r="B9" s="9"/>
      <c r="C9" s="8"/>
      <c r="D9" s="163"/>
      <c r="E9" s="163"/>
      <c r="G9" s="7"/>
      <c r="H9" s="1"/>
      <c r="I9" s="7"/>
      <c r="J9" s="1"/>
      <c r="K9" s="8"/>
      <c r="L9" s="9"/>
    </row>
    <row r="10" spans="1:12" ht="16.2" customHeight="1">
      <c r="A10" s="2" t="s">
        <v>266</v>
      </c>
      <c r="B10" s="9"/>
      <c r="C10" s="8"/>
      <c r="D10" s="163"/>
      <c r="E10" s="163"/>
      <c r="G10" s="7"/>
      <c r="H10" s="1"/>
      <c r="I10" s="7"/>
      <c r="J10" s="1"/>
      <c r="K10" s="8"/>
      <c r="L10" s="9"/>
    </row>
    <row r="11" spans="1:12" ht="16.2" customHeight="1">
      <c r="A11" s="2" t="s">
        <v>267</v>
      </c>
      <c r="B11" s="9"/>
      <c r="C11" s="8"/>
      <c r="D11" s="163"/>
      <c r="E11" s="163"/>
      <c r="G11" s="7"/>
      <c r="H11" s="1"/>
      <c r="I11" s="7"/>
      <c r="J11" s="1"/>
      <c r="K11" s="8"/>
      <c r="L11" s="9"/>
    </row>
    <row r="12" spans="1:12" ht="16.2" customHeight="1">
      <c r="A12" s="2" t="s">
        <v>268</v>
      </c>
      <c r="B12" s="9"/>
      <c r="C12" s="8"/>
      <c r="D12" s="163"/>
      <c r="E12" s="163"/>
      <c r="G12" s="7"/>
      <c r="H12" s="1"/>
      <c r="I12" s="7"/>
      <c r="J12" s="1"/>
      <c r="K12" s="8"/>
      <c r="L12" s="9"/>
    </row>
    <row r="13" spans="1:12" ht="16.2" customHeight="1">
      <c r="A13" s="2" t="s">
        <v>269</v>
      </c>
      <c r="B13" s="9"/>
      <c r="C13" s="8"/>
      <c r="D13" s="163"/>
      <c r="E13" s="163"/>
      <c r="G13" s="7"/>
      <c r="H13" s="1"/>
      <c r="I13" s="7"/>
      <c r="J13" s="1"/>
      <c r="K13" s="8"/>
      <c r="L13" s="9"/>
    </row>
    <row r="14" spans="1:12">
      <c r="A14" s="2" t="s">
        <v>2</v>
      </c>
      <c r="B14" s="9"/>
      <c r="C14" s="16"/>
      <c r="D14" s="229"/>
      <c r="E14" s="229"/>
      <c r="G14" s="2" t="s">
        <v>3</v>
      </c>
      <c r="H14" s="1"/>
      <c r="I14" s="2" t="s">
        <v>3</v>
      </c>
      <c r="J14" s="4"/>
      <c r="K14" s="2" t="s">
        <v>3</v>
      </c>
      <c r="L14" s="4"/>
    </row>
    <row r="15" spans="1:12" ht="27.6" customHeight="1">
      <c r="A15" s="2" t="s">
        <v>4</v>
      </c>
      <c r="B15" s="11"/>
      <c r="C15" s="16">
        <v>35828.04</v>
      </c>
      <c r="D15" s="229"/>
      <c r="E15" s="229"/>
      <c r="G15" s="2" t="s">
        <v>5</v>
      </c>
      <c r="H15" s="1"/>
      <c r="I15" s="2" t="s">
        <v>5</v>
      </c>
      <c r="J15" s="4"/>
      <c r="K15" s="2" t="s">
        <v>5</v>
      </c>
      <c r="L15" s="4"/>
    </row>
    <row r="16" spans="1:12" ht="27.6" customHeight="1">
      <c r="A16" s="2" t="s">
        <v>6</v>
      </c>
      <c r="B16" s="9"/>
      <c r="C16" s="16">
        <v>32800.14</v>
      </c>
      <c r="D16" s="229"/>
      <c r="E16" s="229"/>
      <c r="G16" s="2" t="s">
        <v>7</v>
      </c>
      <c r="H16" s="1"/>
      <c r="I16" s="2" t="s">
        <v>7</v>
      </c>
      <c r="J16" s="4"/>
      <c r="K16" s="2" t="s">
        <v>7</v>
      </c>
      <c r="L16" s="4"/>
    </row>
    <row r="17" spans="1:12" ht="27.6" customHeight="1">
      <c r="A17" s="2" t="s">
        <v>8</v>
      </c>
      <c r="B17" s="9"/>
      <c r="C17" s="25">
        <v>32570.58</v>
      </c>
      <c r="D17" s="231"/>
      <c r="E17" s="231"/>
      <c r="G17" s="2" t="s">
        <v>9</v>
      </c>
      <c r="H17" s="1"/>
      <c r="I17" s="2" t="s">
        <v>9</v>
      </c>
      <c r="J17" s="4"/>
      <c r="K17" s="2" t="s">
        <v>9</v>
      </c>
      <c r="L17" s="4"/>
    </row>
    <row r="18" spans="1:12">
      <c r="A18" s="2" t="s">
        <v>10</v>
      </c>
      <c r="B18" s="9"/>
      <c r="C18" s="16">
        <v>31003.05</v>
      </c>
      <c r="D18" s="229"/>
      <c r="E18" s="229"/>
      <c r="G18" s="2" t="s">
        <v>11</v>
      </c>
      <c r="H18" s="1"/>
      <c r="I18" s="2" t="s">
        <v>11</v>
      </c>
      <c r="J18" s="4"/>
      <c r="K18" s="2" t="s">
        <v>11</v>
      </c>
      <c r="L18" s="4"/>
    </row>
    <row r="19" spans="1:12">
      <c r="A19" s="2" t="s">
        <v>12</v>
      </c>
      <c r="B19" s="9"/>
      <c r="C19" s="16">
        <v>33502.67</v>
      </c>
      <c r="D19" s="229"/>
      <c r="E19" s="229"/>
      <c r="G19" s="2" t="s">
        <v>13</v>
      </c>
      <c r="H19" s="1"/>
      <c r="I19" s="2" t="s">
        <v>13</v>
      </c>
      <c r="J19" s="4"/>
      <c r="K19" s="2" t="s">
        <v>13</v>
      </c>
      <c r="L19" s="4"/>
    </row>
    <row r="20" spans="1:12">
      <c r="A20" s="2" t="s">
        <v>14</v>
      </c>
      <c r="B20" s="9"/>
      <c r="C20" s="16">
        <v>33884.25</v>
      </c>
      <c r="D20" s="229"/>
      <c r="E20" s="229"/>
      <c r="G20" s="2" t="s">
        <v>15</v>
      </c>
      <c r="H20" s="4"/>
      <c r="I20" s="2" t="s">
        <v>15</v>
      </c>
      <c r="J20" s="4"/>
      <c r="K20" s="2" t="s">
        <v>15</v>
      </c>
      <c r="L20" s="4"/>
    </row>
    <row r="21" spans="1:12">
      <c r="A21" s="2" t="s">
        <v>16</v>
      </c>
      <c r="B21" s="9"/>
      <c r="C21" s="16">
        <v>32268.41</v>
      </c>
      <c r="D21" s="229"/>
      <c r="E21" s="229"/>
      <c r="G21" s="2" t="s">
        <v>17</v>
      </c>
      <c r="H21" s="4"/>
      <c r="I21" s="2" t="s">
        <v>17</v>
      </c>
      <c r="J21" s="4"/>
      <c r="K21" s="2" t="s">
        <v>17</v>
      </c>
      <c r="L21" s="4"/>
    </row>
    <row r="22" spans="1:12">
      <c r="A22" s="2" t="s">
        <v>18</v>
      </c>
      <c r="B22" s="9"/>
      <c r="C22" s="16">
        <v>30896.17</v>
      </c>
      <c r="D22" s="229"/>
      <c r="E22" s="229"/>
      <c r="G22" s="2" t="s">
        <v>19</v>
      </c>
      <c r="H22" s="4"/>
      <c r="I22" s="2" t="s">
        <v>19</v>
      </c>
      <c r="J22" s="4"/>
      <c r="K22" s="2" t="s">
        <v>19</v>
      </c>
      <c r="L22" s="4"/>
    </row>
    <row r="23" spans="1:12">
      <c r="A23" s="2" t="s">
        <v>20</v>
      </c>
      <c r="B23" s="9"/>
      <c r="C23" s="16">
        <v>32576.91</v>
      </c>
      <c r="D23" s="229"/>
      <c r="E23" s="229"/>
      <c r="G23" s="2" t="s">
        <v>21</v>
      </c>
      <c r="H23" s="4"/>
      <c r="I23" s="2" t="s">
        <v>21</v>
      </c>
      <c r="J23" s="4"/>
      <c r="K23" s="2" t="s">
        <v>21</v>
      </c>
      <c r="L23" s="4"/>
    </row>
    <row r="24" spans="1:12" ht="27.6" customHeight="1">
      <c r="A24" s="2" t="s">
        <v>22</v>
      </c>
      <c r="B24" s="9"/>
      <c r="C24" s="16">
        <v>33068.93</v>
      </c>
      <c r="D24" s="229"/>
      <c r="E24" s="229"/>
      <c r="G24" s="2" t="s">
        <v>23</v>
      </c>
      <c r="H24" s="4"/>
      <c r="I24" s="2" t="s">
        <v>23</v>
      </c>
      <c r="J24" s="4"/>
      <c r="K24" s="2" t="s">
        <v>23</v>
      </c>
      <c r="L24" s="1"/>
    </row>
    <row r="25" spans="1:12" ht="27.6" customHeight="1">
      <c r="A25" s="2" t="s">
        <v>24</v>
      </c>
      <c r="B25" s="9"/>
      <c r="C25" s="16">
        <v>31608.720000000001</v>
      </c>
      <c r="D25" s="229"/>
      <c r="E25" s="229"/>
      <c r="G25" s="2" t="s">
        <v>25</v>
      </c>
      <c r="H25" s="4"/>
      <c r="I25" s="2" t="s">
        <v>25</v>
      </c>
      <c r="J25" s="4"/>
      <c r="K25" s="2" t="s">
        <v>25</v>
      </c>
      <c r="L25" s="1"/>
    </row>
    <row r="26" spans="1:12" ht="27.6" customHeight="1">
      <c r="A26" s="2" t="s">
        <v>26</v>
      </c>
      <c r="B26" s="9"/>
      <c r="C26" s="16">
        <v>33190.03</v>
      </c>
      <c r="D26" s="229"/>
      <c r="E26" s="229"/>
    </row>
    <row r="27" spans="1:12" ht="27.6" customHeight="1">
      <c r="A27" s="2" t="s">
        <v>27</v>
      </c>
      <c r="B27" s="9"/>
      <c r="C27" s="16">
        <v>28202.06</v>
      </c>
      <c r="D27" s="229"/>
      <c r="E27" s="229"/>
    </row>
    <row r="28" spans="1:12" ht="27.6" customHeight="1">
      <c r="A28" s="2" t="s">
        <v>28</v>
      </c>
      <c r="B28" s="9"/>
      <c r="C28" s="16">
        <v>27415.279999999999</v>
      </c>
      <c r="D28" s="229"/>
      <c r="E28" s="229"/>
    </row>
    <row r="29" spans="1:12" ht="27.6" customHeight="1">
      <c r="A29" s="2" t="s">
        <v>29</v>
      </c>
      <c r="B29" s="9"/>
      <c r="C29" s="16">
        <v>27243.43</v>
      </c>
      <c r="D29" s="229"/>
      <c r="E29" s="229"/>
    </row>
    <row r="30" spans="1:12" ht="27.6" customHeight="1">
      <c r="A30" s="2" t="s">
        <v>30</v>
      </c>
      <c r="B30" s="9"/>
      <c r="C30" s="16">
        <v>32192.080000000002</v>
      </c>
      <c r="D30" s="229"/>
      <c r="E30" s="229"/>
    </row>
    <row r="31" spans="1:12" ht="27.6" customHeight="1">
      <c r="A31" s="2" t="s">
        <v>31</v>
      </c>
      <c r="B31" s="9"/>
      <c r="C31" s="16">
        <v>49259.55</v>
      </c>
      <c r="D31" s="229"/>
      <c r="E31" s="229"/>
    </row>
    <row r="32" spans="1:12">
      <c r="A32" s="2" t="s">
        <v>32</v>
      </c>
      <c r="B32" s="9"/>
      <c r="C32" s="17">
        <v>34128.44</v>
      </c>
      <c r="D32" s="232"/>
      <c r="E32" s="232"/>
    </row>
    <row r="33" spans="1:10">
      <c r="A33" s="2" t="s">
        <v>33</v>
      </c>
      <c r="B33" s="9"/>
      <c r="C33" s="17">
        <v>24621.42</v>
      </c>
      <c r="D33" s="232"/>
      <c r="E33" s="232"/>
    </row>
    <row r="34" spans="1:10">
      <c r="A34" s="2" t="s">
        <v>34</v>
      </c>
      <c r="B34" s="9"/>
      <c r="C34" s="17">
        <v>26885.29</v>
      </c>
      <c r="D34" s="232"/>
      <c r="E34" s="232"/>
    </row>
    <row r="35" spans="1:10">
      <c r="A35" s="2" t="s">
        <v>33</v>
      </c>
      <c r="B35" s="9"/>
      <c r="C35" s="17">
        <v>24621.42</v>
      </c>
      <c r="D35" s="232"/>
      <c r="E35" s="232"/>
    </row>
    <row r="36" spans="1:10">
      <c r="A36" s="2" t="s">
        <v>34</v>
      </c>
      <c r="B36" s="9"/>
      <c r="C36" s="17">
        <v>26885.29</v>
      </c>
      <c r="D36" s="232"/>
      <c r="E36" s="232"/>
    </row>
    <row r="37" spans="1:10">
      <c r="A37" s="2" t="s">
        <v>35</v>
      </c>
      <c r="B37" s="9"/>
      <c r="C37" s="17">
        <v>26012.71</v>
      </c>
      <c r="D37" s="232"/>
      <c r="E37" s="232"/>
    </row>
    <row r="38" spans="1:10">
      <c r="A38" s="27" t="s">
        <v>36</v>
      </c>
      <c r="B38" s="29"/>
      <c r="C38" s="28">
        <v>28448.32</v>
      </c>
      <c r="D38" s="232"/>
      <c r="E38" s="232"/>
      <c r="J38" t="s">
        <v>270</v>
      </c>
    </row>
    <row r="39" spans="1:10">
      <c r="A39" s="30" t="s">
        <v>37</v>
      </c>
      <c r="B39" s="43"/>
      <c r="C39" s="44">
        <v>27376.400000000001</v>
      </c>
      <c r="D39" s="236"/>
      <c r="E39" s="236"/>
      <c r="J39" t="s">
        <v>271</v>
      </c>
    </row>
    <row r="40" spans="1:10">
      <c r="A40" s="2" t="s">
        <v>38</v>
      </c>
      <c r="B40" s="9"/>
      <c r="C40" s="25">
        <v>29073.360000000001</v>
      </c>
      <c r="D40" s="231"/>
      <c r="E40" s="231"/>
      <c r="J40" t="s">
        <v>272</v>
      </c>
    </row>
    <row r="41" spans="1:10">
      <c r="A41" s="2" t="s">
        <v>39</v>
      </c>
      <c r="B41" s="43"/>
      <c r="C41" s="17">
        <v>30876.28</v>
      </c>
      <c r="D41" s="232"/>
      <c r="E41" s="232"/>
    </row>
    <row r="42" spans="1:10">
      <c r="A42" s="45" t="s">
        <v>40</v>
      </c>
      <c r="B42" s="43"/>
      <c r="C42" s="17">
        <v>26034.34</v>
      </c>
      <c r="D42" s="232"/>
      <c r="E42" s="232"/>
    </row>
    <row r="43" spans="1:10">
      <c r="A43" s="46" t="s">
        <v>41</v>
      </c>
      <c r="B43" s="42"/>
      <c r="C43" s="28">
        <v>28154.720000000001</v>
      </c>
      <c r="D43" s="232"/>
      <c r="E43" s="232"/>
    </row>
    <row r="44" spans="1:10">
      <c r="A44" s="46" t="s">
        <v>42</v>
      </c>
      <c r="B44" s="47"/>
      <c r="C44" s="28">
        <v>22169.439999999999</v>
      </c>
      <c r="D44" s="232"/>
      <c r="E44" s="232"/>
    </row>
    <row r="45" spans="1:10">
      <c r="A45" s="45" t="s">
        <v>43</v>
      </c>
      <c r="B45" s="43"/>
      <c r="C45" s="28">
        <v>24820.86</v>
      </c>
      <c r="D45" s="232"/>
      <c r="E45" s="232"/>
    </row>
    <row r="46" spans="1:10">
      <c r="A46" s="45" t="s">
        <v>44</v>
      </c>
      <c r="B46" s="49"/>
      <c r="C46" s="17">
        <v>32002.13</v>
      </c>
      <c r="D46" s="232"/>
      <c r="E46" s="232"/>
    </row>
    <row r="47" spans="1:10">
      <c r="A47" s="2" t="s">
        <v>45</v>
      </c>
      <c r="B47" s="49"/>
      <c r="C47" s="17">
        <v>32249.46</v>
      </c>
      <c r="D47" s="232"/>
      <c r="E47" s="232"/>
    </row>
    <row r="48" spans="1:10">
      <c r="A48" s="27" t="s">
        <v>46</v>
      </c>
      <c r="B48" s="51"/>
      <c r="C48" s="28">
        <v>45132.97</v>
      </c>
      <c r="D48" s="232"/>
      <c r="E48" s="232"/>
    </row>
    <row r="49" spans="1:5">
      <c r="A49" s="27" t="s">
        <v>47</v>
      </c>
      <c r="B49" s="47"/>
      <c r="C49" s="28">
        <v>32389.88</v>
      </c>
      <c r="D49" s="232"/>
      <c r="E49" s="232"/>
    </row>
    <row r="50" spans="1:5">
      <c r="A50" s="27" t="s">
        <v>48</v>
      </c>
      <c r="B50" s="47"/>
      <c r="C50" s="28">
        <v>34518.730000000003</v>
      </c>
      <c r="D50" s="232"/>
      <c r="E50" s="232"/>
    </row>
    <row r="51" spans="1:5">
      <c r="A51" s="27" t="s">
        <v>49</v>
      </c>
      <c r="B51" s="47"/>
      <c r="C51" s="28">
        <v>31821.27</v>
      </c>
      <c r="D51" s="232"/>
      <c r="E51" s="232"/>
    </row>
    <row r="52" spans="1:5">
      <c r="A52" s="27" t="s">
        <v>50</v>
      </c>
      <c r="B52" s="47"/>
      <c r="C52" s="28">
        <v>32125.16</v>
      </c>
      <c r="D52" s="232"/>
      <c r="E52" s="232"/>
    </row>
    <row r="53" spans="1:5">
      <c r="A53" s="27" t="s">
        <v>51</v>
      </c>
      <c r="B53" s="47"/>
      <c r="C53" s="28">
        <v>34879.17</v>
      </c>
      <c r="D53" s="232"/>
      <c r="E53" s="232"/>
    </row>
    <row r="54" spans="1:5">
      <c r="A54" s="27" t="s">
        <v>52</v>
      </c>
      <c r="B54" s="47"/>
      <c r="C54" s="28">
        <v>34126.61</v>
      </c>
      <c r="D54" s="232"/>
      <c r="E54" s="232"/>
    </row>
    <row r="55" spans="1:5">
      <c r="A55" s="2" t="s">
        <v>53</v>
      </c>
      <c r="B55" s="9"/>
      <c r="C55" s="28">
        <v>31871.74</v>
      </c>
      <c r="D55" s="232"/>
      <c r="E55" s="232"/>
    </row>
    <row r="56" spans="1:5">
      <c r="A56" s="2" t="s">
        <v>54</v>
      </c>
      <c r="B56" s="39"/>
      <c r="C56" s="17">
        <v>31708.21</v>
      </c>
      <c r="D56" s="232"/>
      <c r="E56" s="232"/>
    </row>
    <row r="57" spans="1:5">
      <c r="A57" s="2" t="s">
        <v>55</v>
      </c>
      <c r="B57" s="39"/>
      <c r="C57" s="17">
        <v>30670.78</v>
      </c>
      <c r="D57" s="232"/>
      <c r="E57" s="232"/>
    </row>
    <row r="58" spans="1:5">
      <c r="A58" s="27" t="s">
        <v>56</v>
      </c>
      <c r="B58" s="54"/>
      <c r="C58" s="28">
        <v>36711.81</v>
      </c>
      <c r="D58" s="232"/>
      <c r="E58" s="232"/>
    </row>
    <row r="59" spans="1:5">
      <c r="A59" s="27" t="s">
        <v>57</v>
      </c>
      <c r="B59" s="42"/>
      <c r="C59" s="28">
        <v>38638.769999999997</v>
      </c>
      <c r="D59" s="232"/>
      <c r="E59" s="232"/>
    </row>
    <row r="60" spans="1:5">
      <c r="A60" s="2" t="s">
        <v>58</v>
      </c>
      <c r="B60" s="9"/>
      <c r="C60" s="17">
        <v>40476.18</v>
      </c>
      <c r="D60" s="232"/>
      <c r="E60" s="232"/>
    </row>
    <row r="61" spans="1:5">
      <c r="A61" s="27" t="s">
        <v>59</v>
      </c>
      <c r="B61" s="42"/>
      <c r="C61" s="28">
        <v>34898.839999999997</v>
      </c>
      <c r="D61" s="232"/>
      <c r="E61" s="232"/>
    </row>
    <row r="62" spans="1:5">
      <c r="A62" s="27" t="s">
        <v>60</v>
      </c>
      <c r="B62" s="42"/>
      <c r="C62" s="28">
        <v>34026.17</v>
      </c>
      <c r="D62" s="232"/>
      <c r="E62" s="232"/>
    </row>
    <row r="63" spans="1:5">
      <c r="A63" s="2" t="s">
        <v>61</v>
      </c>
      <c r="B63" s="56"/>
      <c r="C63" s="116">
        <v>37896.93</v>
      </c>
      <c r="D63" s="237"/>
      <c r="E63" s="237"/>
    </row>
    <row r="64" spans="1:5">
      <c r="A64" s="2" t="s">
        <v>62</v>
      </c>
      <c r="B64" s="56"/>
      <c r="C64" s="116">
        <v>38932.959999999999</v>
      </c>
      <c r="D64" s="237"/>
      <c r="E64" s="237"/>
    </row>
    <row r="65" spans="1:10">
      <c r="A65" s="2" t="s">
        <v>63</v>
      </c>
      <c r="B65" s="56"/>
      <c r="C65" s="116">
        <v>38041.78</v>
      </c>
      <c r="D65" s="237"/>
      <c r="E65" s="237"/>
    </row>
    <row r="66" spans="1:10">
      <c r="A66" s="2" t="s">
        <v>64</v>
      </c>
      <c r="B66" s="45"/>
      <c r="C66" s="117">
        <v>41130.92</v>
      </c>
      <c r="D66" s="238"/>
      <c r="E66" s="238"/>
    </row>
    <row r="67" spans="1:10">
      <c r="A67" s="2" t="s">
        <v>65</v>
      </c>
      <c r="B67" s="45"/>
      <c r="C67" s="116">
        <v>34814.31</v>
      </c>
      <c r="D67" s="237"/>
      <c r="E67" s="237"/>
    </row>
    <row r="68" spans="1:10">
      <c r="A68" s="2" t="s">
        <v>66</v>
      </c>
      <c r="B68" s="45"/>
      <c r="C68" s="116">
        <v>36645.64</v>
      </c>
      <c r="D68" s="237"/>
      <c r="E68" s="237"/>
    </row>
    <row r="69" spans="1:10">
      <c r="A69" s="2" t="s">
        <v>67</v>
      </c>
      <c r="B69" s="45"/>
      <c r="C69" s="116">
        <v>31478.01</v>
      </c>
      <c r="D69" s="237"/>
      <c r="E69" s="237"/>
    </row>
    <row r="70" spans="1:10">
      <c r="A70" s="2" t="s">
        <v>68</v>
      </c>
      <c r="B70" s="45"/>
      <c r="C70" s="116">
        <v>26888.35</v>
      </c>
      <c r="D70" s="237"/>
      <c r="E70" s="237"/>
    </row>
    <row r="71" spans="1:10">
      <c r="A71" s="2" t="s">
        <v>69</v>
      </c>
      <c r="B71" s="45"/>
      <c r="C71" s="116">
        <v>30278.68</v>
      </c>
      <c r="D71" s="237"/>
      <c r="E71" s="237"/>
    </row>
    <row r="72" spans="1:10">
      <c r="A72" s="2" t="s">
        <v>70</v>
      </c>
      <c r="B72" s="45"/>
      <c r="C72" s="116">
        <v>30055.1</v>
      </c>
      <c r="D72" s="237"/>
      <c r="E72" s="237"/>
    </row>
    <row r="73" spans="1:10">
      <c r="A73" s="2" t="s">
        <v>71</v>
      </c>
      <c r="B73" s="45"/>
      <c r="C73" s="116">
        <v>31501.73</v>
      </c>
      <c r="D73" s="237"/>
      <c r="E73" s="237"/>
    </row>
    <row r="74" spans="1:10">
      <c r="A74" s="2" t="s">
        <v>72</v>
      </c>
      <c r="B74" s="45"/>
      <c r="C74" s="116">
        <v>33965.199999999997</v>
      </c>
      <c r="D74" s="237"/>
      <c r="E74" s="237"/>
    </row>
    <row r="75" spans="1:10">
      <c r="A75" s="2" t="s">
        <v>73</v>
      </c>
      <c r="B75" s="45"/>
      <c r="C75" s="116">
        <v>32448.23</v>
      </c>
      <c r="D75" s="237"/>
      <c r="E75" s="237"/>
    </row>
    <row r="76" spans="1:10">
      <c r="A76" s="2" t="s">
        <v>74</v>
      </c>
      <c r="B76" s="45"/>
      <c r="C76" s="116">
        <v>29376.34</v>
      </c>
      <c r="D76" s="237"/>
      <c r="E76" s="237"/>
    </row>
    <row r="77" spans="1:10">
      <c r="A77" s="2" t="s">
        <v>75</v>
      </c>
      <c r="B77" s="45"/>
      <c r="C77" s="116">
        <v>29973.759999999998</v>
      </c>
      <c r="D77" s="237"/>
      <c r="E77" s="237"/>
    </row>
    <row r="78" spans="1:10" ht="15" customHeight="1" thickBot="1">
      <c r="A78" s="2" t="s">
        <v>76</v>
      </c>
      <c r="B78" s="45"/>
      <c r="C78" s="116">
        <v>27240.48</v>
      </c>
      <c r="D78" s="237"/>
      <c r="E78" s="237"/>
    </row>
    <row r="79" spans="1:10" ht="18" customHeight="1" thickBot="1">
      <c r="A79" s="2" t="s">
        <v>77</v>
      </c>
      <c r="B79" s="45"/>
      <c r="C79" s="106">
        <f>SUM(29641.7+983.71)</f>
        <v>30625.41</v>
      </c>
      <c r="D79" s="144"/>
      <c r="E79" s="144"/>
      <c r="G79" s="121"/>
      <c r="H79" s="133"/>
      <c r="I79" s="132"/>
      <c r="J79" s="125"/>
    </row>
    <row r="80" spans="1:10" ht="18" customHeight="1" thickBot="1">
      <c r="A80" s="2" t="s">
        <v>78</v>
      </c>
      <c r="B80" s="45"/>
      <c r="C80" s="106">
        <v>28602.95</v>
      </c>
      <c r="D80" s="144"/>
      <c r="E80" s="144"/>
      <c r="G80" s="126"/>
      <c r="H80" s="133"/>
      <c r="I80" s="132"/>
      <c r="J80" s="123"/>
    </row>
    <row r="81" spans="1:13" ht="18" customHeight="1" thickBot="1">
      <c r="A81" s="2" t="s">
        <v>79</v>
      </c>
      <c r="B81" s="45"/>
      <c r="C81" s="106">
        <v>31488.13</v>
      </c>
      <c r="D81" s="144"/>
      <c r="E81" s="144"/>
      <c r="G81" s="129"/>
      <c r="H81" s="133"/>
      <c r="I81" s="132"/>
      <c r="J81" s="120"/>
    </row>
    <row r="82" spans="1:13" ht="18" customHeight="1" thickBot="1">
      <c r="A82" s="2" t="s">
        <v>85</v>
      </c>
      <c r="B82" s="45"/>
      <c r="C82" s="106">
        <v>24652.04</v>
      </c>
      <c r="D82" s="144"/>
      <c r="E82" s="144"/>
      <c r="I82" s="13"/>
      <c r="J82" s="124"/>
    </row>
    <row r="83" spans="1:13">
      <c r="A83" s="2" t="s">
        <v>86</v>
      </c>
      <c r="B83" s="45"/>
      <c r="C83" s="106">
        <v>28003.83</v>
      </c>
      <c r="D83" s="144"/>
      <c r="E83" s="144"/>
    </row>
    <row r="84" spans="1:13">
      <c r="A84" s="2" t="s">
        <v>87</v>
      </c>
      <c r="B84" s="45"/>
      <c r="C84" s="106">
        <v>30991.279999999999</v>
      </c>
      <c r="D84" s="144"/>
      <c r="E84" s="144"/>
    </row>
    <row r="85" spans="1:13">
      <c r="A85" s="2" t="s">
        <v>88</v>
      </c>
      <c r="B85" s="45"/>
      <c r="C85" s="106">
        <v>46216.71</v>
      </c>
      <c r="D85" s="144"/>
      <c r="E85" s="144"/>
    </row>
    <row r="86" spans="1:13">
      <c r="A86" s="2" t="s">
        <v>89</v>
      </c>
      <c r="B86" s="45"/>
      <c r="C86" s="106">
        <v>46848.4</v>
      </c>
      <c r="D86" s="144"/>
      <c r="E86" s="144"/>
    </row>
    <row r="87" spans="1:13">
      <c r="A87" s="2" t="s">
        <v>90</v>
      </c>
      <c r="B87" s="56"/>
      <c r="C87" s="106">
        <v>27109.43</v>
      </c>
      <c r="D87" s="144"/>
      <c r="E87" s="144"/>
    </row>
    <row r="88" spans="1:13">
      <c r="A88" s="2" t="s">
        <v>93</v>
      </c>
      <c r="B88" s="56"/>
      <c r="C88" s="106">
        <v>27238.48</v>
      </c>
      <c r="D88" s="144"/>
      <c r="E88" s="144"/>
    </row>
    <row r="89" spans="1:13" ht="27.6" customHeight="1">
      <c r="A89" s="2" t="s">
        <v>94</v>
      </c>
      <c r="B89" s="56"/>
      <c r="C89" s="140">
        <v>27692.41</v>
      </c>
      <c r="D89" s="140" t="s">
        <v>100</v>
      </c>
      <c r="E89" s="235" t="s">
        <v>101</v>
      </c>
      <c r="F89" s="8" t="s">
        <v>228</v>
      </c>
      <c r="G89" s="8" t="s">
        <v>81</v>
      </c>
      <c r="H89" s="8" t="s">
        <v>82</v>
      </c>
      <c r="I89" s="8" t="s">
        <v>229</v>
      </c>
      <c r="J89" s="8" t="s">
        <v>84</v>
      </c>
      <c r="K89" s="8" t="s">
        <v>273</v>
      </c>
      <c r="L89" s="8" t="s">
        <v>234</v>
      </c>
      <c r="M89" s="8" t="s">
        <v>1</v>
      </c>
    </row>
    <row r="90" spans="1:13">
      <c r="A90" s="2" t="s">
        <v>95</v>
      </c>
      <c r="B90" s="56"/>
      <c r="C90" s="142">
        <v>26853.599999999999</v>
      </c>
      <c r="D90" s="142"/>
      <c r="E90" s="142"/>
      <c r="F90" s="56"/>
      <c r="G90" s="56"/>
      <c r="H90" s="56"/>
      <c r="I90" s="56"/>
      <c r="J90" s="56"/>
      <c r="K90" s="56"/>
      <c r="L90" s="56"/>
      <c r="M90" s="56"/>
    </row>
    <row r="91" spans="1:13">
      <c r="A91" s="2" t="s">
        <v>96</v>
      </c>
      <c r="B91" s="56"/>
      <c r="C91" s="142">
        <v>25785.18</v>
      </c>
      <c r="D91" s="142"/>
      <c r="E91" s="142"/>
      <c r="F91" s="56"/>
      <c r="G91" s="56"/>
      <c r="H91" s="56"/>
      <c r="I91" s="56"/>
      <c r="J91" s="56"/>
      <c r="K91" s="56"/>
      <c r="L91" s="56"/>
      <c r="M91" s="56"/>
    </row>
    <row r="92" spans="1:13">
      <c r="A92" s="2" t="s">
        <v>97</v>
      </c>
      <c r="B92" s="56"/>
      <c r="C92" s="142">
        <v>26342.05</v>
      </c>
      <c r="D92" s="142"/>
      <c r="E92" s="142"/>
      <c r="F92" s="56"/>
      <c r="G92" s="56"/>
      <c r="H92" s="56"/>
      <c r="I92" s="56"/>
      <c r="J92" s="56"/>
      <c r="K92" s="56"/>
      <c r="L92" s="56"/>
      <c r="M92" s="56"/>
    </row>
    <row r="93" spans="1:13">
      <c r="A93" s="179" t="s">
        <v>98</v>
      </c>
      <c r="B93" s="173"/>
      <c r="C93" s="180">
        <v>29300.91</v>
      </c>
      <c r="D93" s="180"/>
      <c r="E93" s="180"/>
      <c r="F93" s="173"/>
      <c r="G93" s="173"/>
      <c r="H93" s="173"/>
      <c r="I93" s="173"/>
      <c r="J93" s="173"/>
      <c r="K93" s="173"/>
      <c r="L93" s="173"/>
      <c r="M93" s="173"/>
    </row>
    <row r="94" spans="1:13">
      <c r="A94" s="179" t="s">
        <v>99</v>
      </c>
      <c r="B94" s="173"/>
      <c r="C94" s="187">
        <v>23753.32</v>
      </c>
      <c r="D94" s="187"/>
      <c r="E94" s="187"/>
      <c r="F94" s="187">
        <v>17339.25</v>
      </c>
      <c r="G94" s="173">
        <v>0</v>
      </c>
      <c r="H94" s="187">
        <v>499.96</v>
      </c>
      <c r="I94" s="187">
        <v>5720.58</v>
      </c>
      <c r="J94" s="188">
        <v>5914.11</v>
      </c>
      <c r="K94" s="187">
        <v>0</v>
      </c>
      <c r="L94" s="173">
        <f t="shared" ref="L94:L125" si="0">(J94-K94)</f>
        <v>5914.11</v>
      </c>
      <c r="M94" s="173">
        <f t="shared" ref="M94:M125" si="1">SUM(F94,G94,H94,L94)</f>
        <v>23753.32</v>
      </c>
    </row>
    <row r="95" spans="1:13">
      <c r="A95" s="179" t="s">
        <v>108</v>
      </c>
      <c r="B95" s="173"/>
      <c r="C95" s="187">
        <v>26279.439999999999</v>
      </c>
      <c r="D95" s="187"/>
      <c r="E95" s="187"/>
      <c r="F95" s="187">
        <v>19061.439999999999</v>
      </c>
      <c r="G95" s="187">
        <v>898.78</v>
      </c>
      <c r="H95" s="187">
        <v>169.2</v>
      </c>
      <c r="I95" s="187">
        <v>6231.1</v>
      </c>
      <c r="J95" s="188">
        <v>6150.02</v>
      </c>
      <c r="K95" s="187">
        <v>0</v>
      </c>
      <c r="L95" s="173">
        <f t="shared" si="0"/>
        <v>6150.02</v>
      </c>
      <c r="M95" s="173">
        <f t="shared" si="1"/>
        <v>26279.439999999999</v>
      </c>
    </row>
    <row r="96" spans="1:13">
      <c r="A96" s="2" t="s">
        <v>109</v>
      </c>
      <c r="B96" s="173"/>
      <c r="C96" s="187">
        <v>30584.32</v>
      </c>
      <c r="D96" s="187"/>
      <c r="E96" s="187"/>
      <c r="F96" s="106">
        <v>21596.66</v>
      </c>
      <c r="G96" s="106">
        <v>1187.71</v>
      </c>
      <c r="H96" s="106">
        <v>198.6</v>
      </c>
      <c r="I96" s="106">
        <v>7509.6</v>
      </c>
      <c r="J96" s="143">
        <v>7766.53</v>
      </c>
      <c r="K96" s="145">
        <v>165.18</v>
      </c>
      <c r="L96" s="173">
        <f t="shared" si="0"/>
        <v>7601.3499999999995</v>
      </c>
      <c r="M96" s="173">
        <f t="shared" si="1"/>
        <v>30584.319999999996</v>
      </c>
    </row>
    <row r="97" spans="1:13">
      <c r="A97" s="2" t="s">
        <v>110</v>
      </c>
      <c r="B97" s="173"/>
      <c r="C97" s="187">
        <v>31363.26</v>
      </c>
      <c r="D97" s="187"/>
      <c r="E97" s="187"/>
      <c r="F97" s="106">
        <v>22681.9</v>
      </c>
      <c r="G97" s="106">
        <v>613.34</v>
      </c>
      <c r="H97" s="106">
        <v>299.19</v>
      </c>
      <c r="I97" s="106">
        <v>8067.91</v>
      </c>
      <c r="J97" s="143">
        <v>8146.03</v>
      </c>
      <c r="K97" s="145">
        <v>377.2</v>
      </c>
      <c r="L97" s="173">
        <f t="shared" si="0"/>
        <v>7768.83</v>
      </c>
      <c r="M97" s="173">
        <f t="shared" si="1"/>
        <v>31363.260000000002</v>
      </c>
    </row>
    <row r="98" spans="1:13">
      <c r="A98" s="187" t="s">
        <v>111</v>
      </c>
      <c r="B98" s="187"/>
      <c r="C98" s="187">
        <v>38562.149999999987</v>
      </c>
      <c r="D98" s="187"/>
      <c r="E98" s="187"/>
      <c r="F98" s="106">
        <v>26202.62</v>
      </c>
      <c r="G98" s="106">
        <v>850.61</v>
      </c>
      <c r="H98" s="106">
        <v>604.78</v>
      </c>
      <c r="I98" s="106">
        <v>10894.53</v>
      </c>
      <c r="J98" s="221">
        <v>10904.14</v>
      </c>
      <c r="K98" s="187">
        <v>0</v>
      </c>
      <c r="L98" s="187">
        <f t="shared" si="0"/>
        <v>10904.14</v>
      </c>
      <c r="M98" s="187">
        <f t="shared" si="1"/>
        <v>38562.149999999994</v>
      </c>
    </row>
    <row r="99" spans="1:13">
      <c r="A99" s="187" t="s">
        <v>112</v>
      </c>
      <c r="B99" s="187"/>
      <c r="C99" s="187">
        <v>35042.730000000003</v>
      </c>
      <c r="D99" s="187"/>
      <c r="E99" s="187"/>
      <c r="F99" s="106">
        <v>24641.64</v>
      </c>
      <c r="G99" s="106">
        <v>999.38</v>
      </c>
      <c r="H99" s="106">
        <v>205.2</v>
      </c>
      <c r="I99" s="106">
        <v>8983.4</v>
      </c>
      <c r="J99" s="143">
        <v>9196.51</v>
      </c>
      <c r="K99" s="187">
        <v>0</v>
      </c>
      <c r="L99" s="187">
        <f t="shared" si="0"/>
        <v>9196.51</v>
      </c>
      <c r="M99" s="187">
        <f t="shared" si="1"/>
        <v>35042.730000000003</v>
      </c>
    </row>
    <row r="100" spans="1:13">
      <c r="A100" s="173" t="s">
        <v>113</v>
      </c>
      <c r="B100" s="173"/>
      <c r="C100" s="187">
        <v>33346.079999999987</v>
      </c>
      <c r="D100" s="187"/>
      <c r="E100" s="187"/>
      <c r="F100" s="106">
        <v>25093.37</v>
      </c>
      <c r="G100" s="106">
        <v>527.6</v>
      </c>
      <c r="H100" s="106">
        <v>306.57</v>
      </c>
      <c r="I100" s="106">
        <v>7431.35</v>
      </c>
      <c r="J100" s="143">
        <v>7418.54</v>
      </c>
      <c r="K100" s="187">
        <v>0</v>
      </c>
      <c r="L100" s="173">
        <f t="shared" si="0"/>
        <v>7418.54</v>
      </c>
      <c r="M100" s="173">
        <f t="shared" si="1"/>
        <v>33346.079999999994</v>
      </c>
    </row>
    <row r="101" spans="1:13">
      <c r="A101" s="173" t="s">
        <v>114</v>
      </c>
      <c r="B101" s="173"/>
      <c r="C101" s="187">
        <v>37670.5</v>
      </c>
      <c r="D101" s="187"/>
      <c r="E101" s="187"/>
      <c r="F101" s="106">
        <v>29230.44</v>
      </c>
      <c r="G101" s="106">
        <v>771.35</v>
      </c>
      <c r="H101" s="106">
        <v>597.72</v>
      </c>
      <c r="I101" s="106">
        <v>7120.34</v>
      </c>
      <c r="J101" s="145">
        <v>7070.99</v>
      </c>
      <c r="K101" s="187">
        <v>0</v>
      </c>
      <c r="L101" s="173">
        <f t="shared" si="0"/>
        <v>7070.99</v>
      </c>
      <c r="M101" s="173">
        <f t="shared" si="1"/>
        <v>37670.5</v>
      </c>
    </row>
    <row r="102" spans="1:13">
      <c r="A102" s="173" t="s">
        <v>115</v>
      </c>
      <c r="B102" s="173"/>
      <c r="C102" s="142">
        <v>32791.42</v>
      </c>
      <c r="D102" s="142"/>
      <c r="E102" s="142"/>
      <c r="F102" s="106">
        <v>24557.66</v>
      </c>
      <c r="G102" s="106">
        <v>762.23</v>
      </c>
      <c r="H102" s="106">
        <v>358.83</v>
      </c>
      <c r="I102" s="106">
        <v>7018.15</v>
      </c>
      <c r="J102" s="145">
        <v>7112.7</v>
      </c>
      <c r="K102" s="187">
        <v>0</v>
      </c>
      <c r="L102" s="173">
        <f t="shared" si="0"/>
        <v>7112.7</v>
      </c>
      <c r="M102" s="173">
        <f t="shared" si="1"/>
        <v>32791.42</v>
      </c>
    </row>
    <row r="103" spans="1:13">
      <c r="A103" s="173" t="s">
        <v>116</v>
      </c>
      <c r="B103" s="173"/>
      <c r="C103" s="187">
        <v>32100.69</v>
      </c>
      <c r="D103" s="187"/>
      <c r="E103" s="187"/>
      <c r="F103" s="106">
        <v>25692.62</v>
      </c>
      <c r="G103" s="106">
        <v>766.37</v>
      </c>
      <c r="H103" s="106">
        <v>371.6</v>
      </c>
      <c r="I103" s="106">
        <v>5347.99</v>
      </c>
      <c r="J103" s="143">
        <v>5270.1</v>
      </c>
      <c r="K103" s="187">
        <v>0</v>
      </c>
      <c r="L103" s="173">
        <f t="shared" si="0"/>
        <v>5270.1</v>
      </c>
      <c r="M103" s="173">
        <f t="shared" si="1"/>
        <v>32100.689999999995</v>
      </c>
    </row>
    <row r="104" spans="1:13">
      <c r="A104" s="173" t="s">
        <v>117</v>
      </c>
      <c r="B104" s="173"/>
      <c r="C104" s="187">
        <v>35369.530000000013</v>
      </c>
      <c r="D104" s="187"/>
      <c r="E104" s="142">
        <v>35456.79</v>
      </c>
      <c r="F104" s="106">
        <v>27199.040000000001</v>
      </c>
      <c r="G104" s="106">
        <v>936.81</v>
      </c>
      <c r="H104" s="106">
        <v>212.99</v>
      </c>
      <c r="I104" s="106">
        <v>7107.95</v>
      </c>
      <c r="J104" s="143">
        <v>7020.69</v>
      </c>
      <c r="K104" s="187">
        <v>0</v>
      </c>
      <c r="L104" s="173">
        <f t="shared" si="0"/>
        <v>7020.69</v>
      </c>
      <c r="M104" s="173">
        <f t="shared" si="1"/>
        <v>35369.530000000006</v>
      </c>
    </row>
    <row r="105" spans="1:13">
      <c r="A105" s="173" t="s">
        <v>118</v>
      </c>
      <c r="B105" s="173"/>
      <c r="C105" s="187">
        <v>33440.47</v>
      </c>
      <c r="D105" s="187"/>
      <c r="E105" s="142">
        <v>33561.9</v>
      </c>
      <c r="F105" s="106">
        <v>26057.63</v>
      </c>
      <c r="G105" s="106">
        <v>547.72</v>
      </c>
      <c r="H105" s="106">
        <v>446.95</v>
      </c>
      <c r="I105" s="106">
        <v>6509.6</v>
      </c>
      <c r="J105" s="143">
        <v>6388.17</v>
      </c>
      <c r="K105" s="187">
        <v>0</v>
      </c>
      <c r="L105" s="173">
        <f t="shared" si="0"/>
        <v>6388.17</v>
      </c>
      <c r="M105" s="173">
        <f t="shared" si="1"/>
        <v>33440.47</v>
      </c>
    </row>
    <row r="106" spans="1:13">
      <c r="A106" s="173" t="s">
        <v>119</v>
      </c>
      <c r="B106" s="173"/>
      <c r="C106" s="187">
        <v>34789.699999999997</v>
      </c>
      <c r="D106" s="187"/>
      <c r="E106" s="142">
        <v>34569.42</v>
      </c>
      <c r="F106" s="106">
        <v>27029.09</v>
      </c>
      <c r="G106" s="106">
        <v>827.39</v>
      </c>
      <c r="H106" s="106">
        <v>362.08</v>
      </c>
      <c r="I106" s="106">
        <v>6350.86</v>
      </c>
      <c r="J106" s="145">
        <v>6571.14</v>
      </c>
      <c r="K106" s="187">
        <v>0</v>
      </c>
      <c r="L106" s="173">
        <f t="shared" si="0"/>
        <v>6571.14</v>
      </c>
      <c r="M106" s="173">
        <f t="shared" si="1"/>
        <v>34789.700000000004</v>
      </c>
    </row>
    <row r="107" spans="1:13">
      <c r="A107" s="173" t="s">
        <v>120</v>
      </c>
      <c r="B107" s="173"/>
      <c r="C107" s="187">
        <v>33662.75</v>
      </c>
      <c r="D107" s="187"/>
      <c r="E107" s="142">
        <v>33583.35</v>
      </c>
      <c r="F107" s="106">
        <v>26050.21</v>
      </c>
      <c r="G107" s="106">
        <v>508.94</v>
      </c>
      <c r="H107" s="106">
        <v>158.38</v>
      </c>
      <c r="I107" s="106">
        <v>6865.82</v>
      </c>
      <c r="J107" s="143">
        <v>6945.22</v>
      </c>
      <c r="K107" s="187">
        <v>0</v>
      </c>
      <c r="L107" s="173">
        <f t="shared" si="0"/>
        <v>6945.22</v>
      </c>
      <c r="M107" s="173">
        <f t="shared" si="1"/>
        <v>33662.75</v>
      </c>
    </row>
    <row r="108" spans="1:13">
      <c r="A108" s="173" t="s">
        <v>121</v>
      </c>
      <c r="B108" s="173"/>
      <c r="C108" s="187">
        <v>38939.839999999997</v>
      </c>
      <c r="D108" s="187"/>
      <c r="E108" s="142">
        <v>39076.660000000003</v>
      </c>
      <c r="F108" s="106">
        <v>30285.8</v>
      </c>
      <c r="G108" s="106">
        <v>584.15</v>
      </c>
      <c r="H108" s="106">
        <v>555.57000000000005</v>
      </c>
      <c r="I108" s="106">
        <v>7651.14</v>
      </c>
      <c r="J108" s="143">
        <v>7514.32</v>
      </c>
      <c r="K108" s="187">
        <v>0</v>
      </c>
      <c r="L108" s="173">
        <f t="shared" si="0"/>
        <v>7514.32</v>
      </c>
      <c r="M108" s="173">
        <f t="shared" si="1"/>
        <v>38939.839999999997</v>
      </c>
    </row>
    <row r="109" spans="1:13">
      <c r="A109" s="173" t="s">
        <v>122</v>
      </c>
      <c r="B109" s="173"/>
      <c r="C109" s="187">
        <v>35437.199999999997</v>
      </c>
      <c r="D109" s="187"/>
      <c r="E109" s="142">
        <v>35369.660000000003</v>
      </c>
      <c r="F109" s="106">
        <v>27482.76</v>
      </c>
      <c r="G109" s="106">
        <v>1139</v>
      </c>
      <c r="H109" s="106">
        <v>266.87</v>
      </c>
      <c r="I109" s="106">
        <v>6481.03</v>
      </c>
      <c r="J109" s="145">
        <v>6548.57</v>
      </c>
      <c r="K109" s="173">
        <v>0</v>
      </c>
      <c r="L109" s="173">
        <f t="shared" si="0"/>
        <v>6548.57</v>
      </c>
      <c r="M109" s="173">
        <f t="shared" si="1"/>
        <v>35437.199999999997</v>
      </c>
    </row>
    <row r="110" spans="1:13">
      <c r="A110" s="173" t="s">
        <v>123</v>
      </c>
      <c r="B110" s="173"/>
      <c r="C110" s="187">
        <v>36428.949999999997</v>
      </c>
      <c r="D110" s="187"/>
      <c r="E110" s="142">
        <v>36493.440000000002</v>
      </c>
      <c r="F110" s="106">
        <v>27702.720000000001</v>
      </c>
      <c r="G110" s="106">
        <v>1131.29</v>
      </c>
      <c r="H110" s="106">
        <v>424.56</v>
      </c>
      <c r="I110" s="106">
        <v>7234.87</v>
      </c>
      <c r="J110" s="143">
        <v>7170.38</v>
      </c>
      <c r="K110" s="173">
        <v>0</v>
      </c>
      <c r="L110" s="173">
        <f t="shared" si="0"/>
        <v>7170.38</v>
      </c>
      <c r="M110" s="173">
        <f t="shared" si="1"/>
        <v>36428.950000000004</v>
      </c>
    </row>
    <row r="111" spans="1:13">
      <c r="A111" s="173" t="s">
        <v>124</v>
      </c>
      <c r="B111" s="173"/>
      <c r="C111" s="187">
        <v>43356.26999999999</v>
      </c>
      <c r="D111" s="187"/>
      <c r="E111" s="142">
        <v>43298.28</v>
      </c>
      <c r="F111" s="106">
        <v>33615.839999999997</v>
      </c>
      <c r="G111" s="106">
        <v>872.82</v>
      </c>
      <c r="H111" s="106">
        <v>587.16999999999996</v>
      </c>
      <c r="I111" s="106">
        <v>8222.4500000000007</v>
      </c>
      <c r="J111" s="143">
        <v>8299.06</v>
      </c>
      <c r="K111" s="145">
        <v>18.62</v>
      </c>
      <c r="L111" s="173">
        <f t="shared" si="0"/>
        <v>8280.4399999999987</v>
      </c>
      <c r="M111" s="173">
        <f t="shared" si="1"/>
        <v>43356.26999999999</v>
      </c>
    </row>
    <row r="112" spans="1:13">
      <c r="A112" s="173" t="s">
        <v>125</v>
      </c>
      <c r="B112" s="173"/>
      <c r="C112" s="187">
        <v>43420.070000000007</v>
      </c>
      <c r="D112" s="187"/>
      <c r="E112" s="142">
        <v>43696.36</v>
      </c>
      <c r="F112" s="106">
        <v>35061.14</v>
      </c>
      <c r="G112" s="106">
        <v>599.72</v>
      </c>
      <c r="H112" s="106">
        <v>601.62</v>
      </c>
      <c r="I112" s="106">
        <v>7433.88</v>
      </c>
      <c r="J112" s="143">
        <v>7214.59</v>
      </c>
      <c r="K112" s="145">
        <v>57</v>
      </c>
      <c r="L112" s="173">
        <f t="shared" si="0"/>
        <v>7157.59</v>
      </c>
      <c r="M112" s="173">
        <f t="shared" si="1"/>
        <v>43420.070000000007</v>
      </c>
    </row>
    <row r="113" spans="1:13">
      <c r="A113" s="187" t="s">
        <v>126</v>
      </c>
      <c r="B113" s="173"/>
      <c r="C113" s="187">
        <v>40279.539999999994</v>
      </c>
      <c r="D113" s="187"/>
      <c r="E113" s="142">
        <v>39228.65</v>
      </c>
      <c r="F113" s="106">
        <v>31189.46</v>
      </c>
      <c r="G113" s="106">
        <v>549.66999999999996</v>
      </c>
      <c r="H113" s="106">
        <v>705.86</v>
      </c>
      <c r="I113" s="106">
        <v>6783.66</v>
      </c>
      <c r="J113" s="143">
        <v>8071.73</v>
      </c>
      <c r="K113" s="145">
        <v>237.18</v>
      </c>
      <c r="L113" s="173">
        <f t="shared" si="0"/>
        <v>7834.5499999999993</v>
      </c>
      <c r="M113" s="173">
        <f t="shared" si="1"/>
        <v>40279.539999999994</v>
      </c>
    </row>
    <row r="114" spans="1:13">
      <c r="A114" s="187" t="s">
        <v>127</v>
      </c>
      <c r="B114" s="173"/>
      <c r="C114" s="187">
        <v>38629.01</v>
      </c>
      <c r="D114" s="293">
        <v>1206</v>
      </c>
      <c r="E114" s="142">
        <v>38732.85</v>
      </c>
      <c r="F114" s="106">
        <v>30147.56</v>
      </c>
      <c r="G114" s="106">
        <v>602.82000000000005</v>
      </c>
      <c r="H114" s="106">
        <v>386.79</v>
      </c>
      <c r="I114" s="106">
        <v>7595.68</v>
      </c>
      <c r="J114" s="143">
        <v>7751.86</v>
      </c>
      <c r="K114" s="145">
        <v>260.02</v>
      </c>
      <c r="L114" s="173">
        <f t="shared" si="0"/>
        <v>7491.84</v>
      </c>
      <c r="M114" s="173">
        <f t="shared" si="1"/>
        <v>38629.01</v>
      </c>
    </row>
    <row r="115" spans="1:13">
      <c r="A115" s="187" t="s">
        <v>128</v>
      </c>
      <c r="B115" s="173"/>
      <c r="C115" s="187">
        <v>36415.5</v>
      </c>
      <c r="D115" s="293">
        <v>1207</v>
      </c>
      <c r="E115" s="142">
        <v>36867.49</v>
      </c>
      <c r="F115" s="106">
        <v>28377.599999999999</v>
      </c>
      <c r="G115" s="106">
        <v>16</v>
      </c>
      <c r="H115" s="106">
        <v>544.08000000000004</v>
      </c>
      <c r="I115" s="106">
        <v>7929.81</v>
      </c>
      <c r="J115" s="143">
        <v>7852.22</v>
      </c>
      <c r="K115" s="145">
        <v>374.4</v>
      </c>
      <c r="L115" s="173">
        <f t="shared" si="0"/>
        <v>7477.8200000000006</v>
      </c>
      <c r="M115" s="173">
        <f t="shared" si="1"/>
        <v>36415.5</v>
      </c>
    </row>
    <row r="116" spans="1:13">
      <c r="A116" s="187" t="s">
        <v>129</v>
      </c>
      <c r="B116" s="173"/>
      <c r="C116" s="187">
        <v>39914.14</v>
      </c>
      <c r="D116" s="293">
        <v>1274</v>
      </c>
      <c r="E116" s="142">
        <v>40255.51</v>
      </c>
      <c r="F116" s="106">
        <v>32046.2</v>
      </c>
      <c r="G116" s="118">
        <v>0</v>
      </c>
      <c r="H116" s="106">
        <v>353.86</v>
      </c>
      <c r="I116" s="106">
        <v>7855.45</v>
      </c>
      <c r="J116" s="145">
        <v>7852.76</v>
      </c>
      <c r="K116" s="145">
        <v>338.68</v>
      </c>
      <c r="L116" s="173">
        <f t="shared" si="0"/>
        <v>7514.08</v>
      </c>
      <c r="M116" s="173">
        <f t="shared" si="1"/>
        <v>39914.14</v>
      </c>
    </row>
    <row r="117" spans="1:13">
      <c r="A117" s="187" t="s">
        <v>130</v>
      </c>
      <c r="B117" s="173"/>
      <c r="C117" s="187">
        <v>40064.949999999997</v>
      </c>
      <c r="D117" s="293">
        <v>1275</v>
      </c>
      <c r="E117" s="142">
        <v>40155.96</v>
      </c>
      <c r="F117" s="106">
        <v>31825.22</v>
      </c>
      <c r="G117" s="118">
        <v>0</v>
      </c>
      <c r="H117" s="106">
        <v>350.98</v>
      </c>
      <c r="I117" s="106">
        <v>7979.76</v>
      </c>
      <c r="J117" s="143">
        <v>8235.93</v>
      </c>
      <c r="K117" s="145">
        <v>347.18</v>
      </c>
      <c r="L117" s="173">
        <f t="shared" si="0"/>
        <v>7888.75</v>
      </c>
      <c r="M117" s="173">
        <f t="shared" si="1"/>
        <v>40064.949999999997</v>
      </c>
    </row>
    <row r="118" spans="1:13">
      <c r="A118" s="187" t="s">
        <v>131</v>
      </c>
      <c r="B118" s="173"/>
      <c r="C118" s="187">
        <v>38385.47</v>
      </c>
      <c r="D118" s="293">
        <v>1192</v>
      </c>
      <c r="E118" s="142">
        <v>38585.089999999997</v>
      </c>
      <c r="F118" s="106">
        <v>30009.4</v>
      </c>
      <c r="G118" s="106">
        <v>287.41000000000003</v>
      </c>
      <c r="H118" s="106">
        <v>330.19</v>
      </c>
      <c r="I118" s="106">
        <v>7958.09</v>
      </c>
      <c r="J118" s="143">
        <v>8143.83</v>
      </c>
      <c r="K118" s="145">
        <v>385.36</v>
      </c>
      <c r="L118" s="173">
        <f t="shared" si="0"/>
        <v>7758.47</v>
      </c>
      <c r="M118" s="173">
        <f t="shared" si="1"/>
        <v>38385.47</v>
      </c>
    </row>
    <row r="119" spans="1:13">
      <c r="A119" s="187" t="s">
        <v>132</v>
      </c>
      <c r="B119" s="173"/>
      <c r="C119" s="187">
        <v>36744.559999999998</v>
      </c>
      <c r="D119" s="293">
        <v>1199</v>
      </c>
      <c r="E119" s="142">
        <v>37014.629999999997</v>
      </c>
      <c r="F119" s="106">
        <v>28232.31</v>
      </c>
      <c r="G119" s="106">
        <v>665.37</v>
      </c>
      <c r="H119" s="106">
        <v>537.49</v>
      </c>
      <c r="I119" s="106">
        <v>7579.46</v>
      </c>
      <c r="J119" s="143">
        <v>7594.75</v>
      </c>
      <c r="K119" s="145">
        <v>285.36</v>
      </c>
      <c r="L119" s="173">
        <f t="shared" si="0"/>
        <v>7309.39</v>
      </c>
      <c r="M119" s="173">
        <f t="shared" si="1"/>
        <v>36744.560000000005</v>
      </c>
    </row>
    <row r="120" spans="1:13">
      <c r="A120" s="187" t="s">
        <v>133</v>
      </c>
      <c r="B120" s="173"/>
      <c r="C120" s="187">
        <v>39699.53</v>
      </c>
      <c r="D120" s="293">
        <v>1273</v>
      </c>
      <c r="E120" s="142">
        <v>40064.39</v>
      </c>
      <c r="F120" s="106">
        <v>31575.61</v>
      </c>
      <c r="G120" s="106">
        <v>718.43</v>
      </c>
      <c r="H120" s="106">
        <v>558.46</v>
      </c>
      <c r="I120" s="106">
        <v>7211.89</v>
      </c>
      <c r="J120" s="143">
        <v>7087.29</v>
      </c>
      <c r="K120" s="145">
        <v>240.26</v>
      </c>
      <c r="L120" s="173">
        <f t="shared" si="0"/>
        <v>6847.03</v>
      </c>
      <c r="M120" s="173">
        <f t="shared" si="1"/>
        <v>39699.53</v>
      </c>
    </row>
    <row r="121" spans="1:13">
      <c r="A121" s="187" t="s">
        <v>134</v>
      </c>
      <c r="B121" s="173"/>
      <c r="C121" s="187">
        <v>35562.03</v>
      </c>
      <c r="D121" s="293">
        <v>1156</v>
      </c>
      <c r="E121" s="142">
        <v>35816.39</v>
      </c>
      <c r="F121" s="106">
        <v>26737.67</v>
      </c>
      <c r="G121" s="106">
        <v>649.89</v>
      </c>
      <c r="H121" s="106">
        <v>338.8</v>
      </c>
      <c r="I121" s="106">
        <v>8090.03</v>
      </c>
      <c r="J121" s="143">
        <v>8183.94</v>
      </c>
      <c r="K121" s="145">
        <v>348.27</v>
      </c>
      <c r="L121" s="173">
        <f t="shared" si="0"/>
        <v>7835.67</v>
      </c>
      <c r="M121" s="173">
        <f t="shared" si="1"/>
        <v>35562.03</v>
      </c>
    </row>
    <row r="122" spans="1:13">
      <c r="A122" s="187" t="s">
        <v>135</v>
      </c>
      <c r="B122" s="173"/>
      <c r="C122" s="187">
        <v>27289.98</v>
      </c>
      <c r="D122" s="11">
        <v>914</v>
      </c>
      <c r="E122" s="142">
        <v>27543.119999999999</v>
      </c>
      <c r="F122" s="106">
        <v>20393.43</v>
      </c>
      <c r="G122" s="106">
        <v>546.38</v>
      </c>
      <c r="H122" s="106">
        <v>76.400000000000006</v>
      </c>
      <c r="I122" s="106">
        <v>6526.91</v>
      </c>
      <c r="J122" s="143">
        <v>6564.14</v>
      </c>
      <c r="K122" s="145">
        <v>290.37</v>
      </c>
      <c r="L122" s="173">
        <f t="shared" si="0"/>
        <v>6273.77</v>
      </c>
      <c r="M122" s="173">
        <f t="shared" si="1"/>
        <v>27289.980000000003</v>
      </c>
    </row>
    <row r="123" spans="1:13">
      <c r="A123" s="187" t="s">
        <v>136</v>
      </c>
      <c r="B123" s="173"/>
      <c r="C123" s="187">
        <v>30595.78</v>
      </c>
      <c r="D123" s="11">
        <v>960</v>
      </c>
      <c r="E123" s="142">
        <v>30728.46</v>
      </c>
      <c r="F123" s="106">
        <v>23127.68</v>
      </c>
      <c r="G123" s="106">
        <v>510.56</v>
      </c>
      <c r="H123" s="106">
        <v>477.48</v>
      </c>
      <c r="I123" s="106">
        <v>6612.74</v>
      </c>
      <c r="J123" s="143">
        <v>6753.33</v>
      </c>
      <c r="K123" s="145">
        <v>273.27</v>
      </c>
      <c r="L123" s="173">
        <f t="shared" si="0"/>
        <v>6480.0599999999995</v>
      </c>
      <c r="M123" s="173">
        <f t="shared" si="1"/>
        <v>30595.78</v>
      </c>
    </row>
    <row r="124" spans="1:13">
      <c r="A124" s="187" t="s">
        <v>137</v>
      </c>
      <c r="B124" s="173"/>
      <c r="C124" s="187">
        <v>30893.03</v>
      </c>
      <c r="D124" s="293">
        <v>1021</v>
      </c>
      <c r="E124" s="142">
        <v>31380.25</v>
      </c>
      <c r="F124" s="106">
        <v>23910.13</v>
      </c>
      <c r="G124" s="106">
        <v>481.8</v>
      </c>
      <c r="H124" s="106">
        <v>438.09</v>
      </c>
      <c r="I124" s="106">
        <v>6550.23</v>
      </c>
      <c r="J124" s="296">
        <v>6333.43</v>
      </c>
      <c r="K124" s="297">
        <v>270.42</v>
      </c>
      <c r="L124" s="173">
        <f t="shared" si="0"/>
        <v>6063.01</v>
      </c>
      <c r="M124" s="173">
        <f t="shared" si="1"/>
        <v>30893.03</v>
      </c>
    </row>
    <row r="125" spans="1:13">
      <c r="A125" s="187" t="s">
        <v>138</v>
      </c>
      <c r="B125" s="173"/>
      <c r="C125" s="187">
        <v>28750.13</v>
      </c>
      <c r="D125" s="11">
        <v>941</v>
      </c>
      <c r="E125" s="142">
        <v>28550.11</v>
      </c>
      <c r="F125" s="106">
        <v>21696.6</v>
      </c>
      <c r="G125" s="106">
        <v>426.9</v>
      </c>
      <c r="H125" s="106">
        <v>593.1</v>
      </c>
      <c r="I125" s="106">
        <v>5833.51</v>
      </c>
      <c r="J125" s="143">
        <v>6150.61</v>
      </c>
      <c r="K125" s="145">
        <v>117.08</v>
      </c>
      <c r="L125" s="173">
        <f t="shared" si="0"/>
        <v>6033.53</v>
      </c>
      <c r="M125" s="173">
        <f t="shared" si="1"/>
        <v>28750.129999999997</v>
      </c>
    </row>
    <row r="126" spans="1:13">
      <c r="A126" s="187" t="s">
        <v>139</v>
      </c>
      <c r="B126" s="173"/>
      <c r="C126" s="173">
        <v>34108.239999999998</v>
      </c>
      <c r="D126" s="293">
        <v>1096</v>
      </c>
      <c r="E126" s="142">
        <v>34253.01</v>
      </c>
      <c r="F126" s="106">
        <v>27003.35</v>
      </c>
      <c r="G126" s="106">
        <v>714.85</v>
      </c>
      <c r="H126" s="106">
        <v>592.86</v>
      </c>
      <c r="I126" s="106">
        <v>5941.95</v>
      </c>
      <c r="J126" s="145">
        <v>5797.18</v>
      </c>
      <c r="K126" s="145">
        <v>0</v>
      </c>
      <c r="L126" s="173">
        <f t="shared" ref="L126:L157" si="2">(J126-K126)</f>
        <v>5797.18</v>
      </c>
      <c r="M126" s="173">
        <f t="shared" ref="M126:M157" si="3">SUM(F126,G126,H126,L126)</f>
        <v>34108.239999999998</v>
      </c>
    </row>
    <row r="127" spans="1:13">
      <c r="A127" s="187" t="s">
        <v>140</v>
      </c>
      <c r="B127" s="173"/>
      <c r="C127" s="187">
        <v>35256.14</v>
      </c>
      <c r="D127" s="11"/>
      <c r="E127" s="187">
        <v>35085.54</v>
      </c>
      <c r="F127" s="187">
        <v>26170.65</v>
      </c>
      <c r="G127" s="187">
        <v>665.77</v>
      </c>
      <c r="H127" s="187">
        <v>625.99</v>
      </c>
      <c r="I127" s="187">
        <v>7623.13</v>
      </c>
      <c r="J127" s="145">
        <v>7793.73</v>
      </c>
      <c r="K127" s="145">
        <v>0</v>
      </c>
      <c r="L127" s="173">
        <f t="shared" si="2"/>
        <v>7793.73</v>
      </c>
      <c r="M127" s="173">
        <f t="shared" si="3"/>
        <v>35256.14</v>
      </c>
    </row>
    <row r="128" spans="1:13">
      <c r="A128" s="187" t="s">
        <v>141</v>
      </c>
      <c r="B128" s="173"/>
      <c r="C128" s="187">
        <v>33913.24</v>
      </c>
      <c r="D128" s="11"/>
      <c r="E128" s="187">
        <v>33616.29</v>
      </c>
      <c r="F128" s="187">
        <v>25602.63</v>
      </c>
      <c r="G128" s="187">
        <v>834.67</v>
      </c>
      <c r="H128" s="187">
        <v>337.75</v>
      </c>
      <c r="I128" s="187">
        <v>6841.24</v>
      </c>
      <c r="J128" s="145">
        <v>7138.19</v>
      </c>
      <c r="K128" s="145">
        <v>0</v>
      </c>
      <c r="L128" s="173">
        <f t="shared" si="2"/>
        <v>7138.19</v>
      </c>
      <c r="M128" s="173">
        <f t="shared" si="3"/>
        <v>33913.24</v>
      </c>
    </row>
    <row r="129" spans="1:13">
      <c r="A129" s="187" t="s">
        <v>142</v>
      </c>
      <c r="B129" s="173"/>
      <c r="C129" s="187">
        <v>33332.120000000003</v>
      </c>
      <c r="D129" s="300">
        <v>979</v>
      </c>
      <c r="E129" s="187">
        <v>33277.949999999997</v>
      </c>
      <c r="F129" s="187">
        <v>23552.91</v>
      </c>
      <c r="G129" s="187">
        <v>775.33</v>
      </c>
      <c r="H129" s="187">
        <v>557.08000000000004</v>
      </c>
      <c r="I129" s="187">
        <v>8392.6299999999992</v>
      </c>
      <c r="J129" s="145">
        <v>8446.7999999999993</v>
      </c>
      <c r="K129" s="145">
        <v>0</v>
      </c>
      <c r="L129" s="173">
        <f t="shared" si="2"/>
        <v>8446.7999999999993</v>
      </c>
      <c r="M129" s="173">
        <f t="shared" si="3"/>
        <v>33332.120000000003</v>
      </c>
    </row>
    <row r="130" spans="1:13">
      <c r="A130" s="187" t="s">
        <v>143</v>
      </c>
      <c r="B130" s="173"/>
      <c r="C130" s="187">
        <v>28497.8</v>
      </c>
      <c r="D130" s="300" t="s">
        <v>274</v>
      </c>
      <c r="E130" s="187">
        <v>28533.75</v>
      </c>
      <c r="F130" s="187">
        <v>21086.37</v>
      </c>
      <c r="G130" s="187">
        <v>642.82000000000005</v>
      </c>
      <c r="H130" s="187">
        <v>391.03</v>
      </c>
      <c r="I130" s="187">
        <v>6413.53</v>
      </c>
      <c r="J130" s="145">
        <v>6377.58</v>
      </c>
      <c r="K130" s="145">
        <v>0</v>
      </c>
      <c r="L130" s="173">
        <f t="shared" si="2"/>
        <v>6377.58</v>
      </c>
      <c r="M130" s="173">
        <f t="shared" si="3"/>
        <v>28497.799999999996</v>
      </c>
    </row>
    <row r="131" spans="1:13">
      <c r="A131" s="187" t="s">
        <v>145</v>
      </c>
      <c r="B131" s="173"/>
      <c r="C131" s="187">
        <v>29119.32</v>
      </c>
      <c r="D131" s="300" t="s">
        <v>275</v>
      </c>
      <c r="E131" s="187">
        <v>29074.81</v>
      </c>
      <c r="F131" s="187">
        <v>22138.82</v>
      </c>
      <c r="G131" s="187">
        <v>728.93</v>
      </c>
      <c r="H131" s="187">
        <v>267.66000000000003</v>
      </c>
      <c r="I131" s="187">
        <v>5939.4</v>
      </c>
      <c r="J131" s="145">
        <v>5983.91</v>
      </c>
      <c r="K131" s="145">
        <v>0</v>
      </c>
      <c r="L131" s="173">
        <f t="shared" si="2"/>
        <v>5983.91</v>
      </c>
      <c r="M131" s="173">
        <f t="shared" si="3"/>
        <v>29119.32</v>
      </c>
    </row>
    <row r="132" spans="1:13">
      <c r="A132" s="2" t="s">
        <v>147</v>
      </c>
      <c r="B132" s="173"/>
      <c r="C132" s="187">
        <v>33527.39</v>
      </c>
      <c r="D132" s="300" t="s">
        <v>276</v>
      </c>
      <c r="E132" s="187">
        <v>33988.910000000003</v>
      </c>
      <c r="F132" s="187">
        <v>24701.18</v>
      </c>
      <c r="G132" s="187">
        <v>449.73</v>
      </c>
      <c r="H132" s="187">
        <v>468.51</v>
      </c>
      <c r="I132" s="187">
        <v>8369.49</v>
      </c>
      <c r="J132" s="145">
        <v>8264.94</v>
      </c>
      <c r="K132" s="145">
        <v>356.97</v>
      </c>
      <c r="L132" s="173">
        <f t="shared" si="2"/>
        <v>7907.97</v>
      </c>
      <c r="M132" s="173">
        <f t="shared" si="3"/>
        <v>33527.39</v>
      </c>
    </row>
    <row r="133" spans="1:13">
      <c r="A133" s="2" t="s">
        <v>149</v>
      </c>
      <c r="B133" s="173"/>
      <c r="C133" s="187">
        <v>34610.97</v>
      </c>
      <c r="D133" s="300">
        <v>1063</v>
      </c>
      <c r="E133" s="187">
        <v>35264.519999999997</v>
      </c>
      <c r="F133" s="300">
        <v>24221.360000000001</v>
      </c>
      <c r="G133" s="187">
        <v>844.61</v>
      </c>
      <c r="H133" s="187">
        <v>565.91999999999996</v>
      </c>
      <c r="I133" s="187">
        <v>9632.6299999999992</v>
      </c>
      <c r="J133" s="145">
        <v>9639.4699999999993</v>
      </c>
      <c r="K133" s="145">
        <v>660.39</v>
      </c>
      <c r="L133" s="173">
        <f t="shared" si="2"/>
        <v>8979.08</v>
      </c>
      <c r="M133" s="173">
        <f t="shared" si="3"/>
        <v>34610.97</v>
      </c>
    </row>
    <row r="134" spans="1:13">
      <c r="A134" s="2" t="s">
        <v>150</v>
      </c>
      <c r="B134" s="173"/>
      <c r="C134" s="187">
        <v>32094.36</v>
      </c>
      <c r="D134" s="300">
        <v>966</v>
      </c>
      <c r="E134" s="187">
        <v>33345.07</v>
      </c>
      <c r="F134" s="187">
        <v>20425.93</v>
      </c>
      <c r="G134" s="187">
        <v>578.79</v>
      </c>
      <c r="H134" s="187">
        <v>551.85</v>
      </c>
      <c r="I134" s="187">
        <v>11788.5</v>
      </c>
      <c r="J134" s="145">
        <v>11717.75</v>
      </c>
      <c r="K134" s="145">
        <v>1179.96</v>
      </c>
      <c r="L134" s="173">
        <f t="shared" si="2"/>
        <v>10537.79</v>
      </c>
      <c r="M134" s="173">
        <f t="shared" si="3"/>
        <v>32094.36</v>
      </c>
    </row>
    <row r="135" spans="1:13">
      <c r="A135" s="299" t="s">
        <v>151</v>
      </c>
      <c r="B135" s="173"/>
      <c r="C135" s="187">
        <v>33804.03</v>
      </c>
      <c r="D135" s="300" t="s">
        <v>277</v>
      </c>
      <c r="E135" s="187">
        <v>34683.599999999999</v>
      </c>
      <c r="F135" s="187">
        <v>22103.09</v>
      </c>
      <c r="G135" s="187">
        <v>620.99</v>
      </c>
      <c r="H135" s="187">
        <v>504.76</v>
      </c>
      <c r="I135" s="300">
        <v>11454.76</v>
      </c>
      <c r="J135" s="145">
        <v>11831.29</v>
      </c>
      <c r="K135" s="145">
        <v>1256.0999999999999</v>
      </c>
      <c r="L135" s="173">
        <f t="shared" si="2"/>
        <v>10575.19</v>
      </c>
      <c r="M135" s="173">
        <f t="shared" si="3"/>
        <v>33804.03</v>
      </c>
    </row>
    <row r="136" spans="1:13">
      <c r="A136" s="2" t="s">
        <v>153</v>
      </c>
      <c r="B136" s="173"/>
      <c r="C136" s="187">
        <v>35569.879999999997</v>
      </c>
      <c r="D136" s="300" t="s">
        <v>278</v>
      </c>
      <c r="E136" s="187">
        <v>36575.230000000003</v>
      </c>
      <c r="F136" s="187">
        <v>24496.68</v>
      </c>
      <c r="G136" s="187">
        <v>960.82</v>
      </c>
      <c r="H136" s="187">
        <v>680.74</v>
      </c>
      <c r="I136" s="300">
        <v>10436.99</v>
      </c>
      <c r="J136" s="145">
        <v>10478.790000000001</v>
      </c>
      <c r="K136" s="145">
        <v>1047.1500000000001</v>
      </c>
      <c r="L136" s="173">
        <f t="shared" si="2"/>
        <v>9431.6400000000012</v>
      </c>
      <c r="M136" s="173">
        <f t="shared" si="3"/>
        <v>35569.880000000005</v>
      </c>
    </row>
    <row r="137" spans="1:13">
      <c r="A137" s="2" t="s">
        <v>154</v>
      </c>
      <c r="B137" s="173"/>
      <c r="C137" s="187">
        <v>49998.83</v>
      </c>
      <c r="D137" s="300">
        <v>1503</v>
      </c>
      <c r="E137" s="187">
        <v>51227.24</v>
      </c>
      <c r="F137" s="187">
        <v>35558.79</v>
      </c>
      <c r="G137" s="187">
        <v>772.06</v>
      </c>
      <c r="H137" s="187">
        <v>736.64</v>
      </c>
      <c r="I137" s="187">
        <v>14159.75</v>
      </c>
      <c r="J137" s="145">
        <v>14367.87</v>
      </c>
      <c r="K137" s="145">
        <v>1436.53</v>
      </c>
      <c r="L137" s="173">
        <f t="shared" si="2"/>
        <v>12931.34</v>
      </c>
      <c r="M137" s="173">
        <f t="shared" si="3"/>
        <v>49998.83</v>
      </c>
    </row>
    <row r="138" spans="1:13">
      <c r="A138" s="11" t="s">
        <v>155</v>
      </c>
      <c r="B138" s="173"/>
      <c r="C138" s="187">
        <v>49199.519999999997</v>
      </c>
      <c r="D138" s="56" t="s">
        <v>279</v>
      </c>
      <c r="E138" s="187">
        <v>50792.800000000003</v>
      </c>
      <c r="F138" s="187">
        <v>35391.370000000003</v>
      </c>
      <c r="G138" s="187">
        <v>1035.56</v>
      </c>
      <c r="H138" s="187">
        <v>855.5</v>
      </c>
      <c r="I138" s="300">
        <v>13510.37</v>
      </c>
      <c r="J138" s="145">
        <v>13594.33</v>
      </c>
      <c r="K138" s="145">
        <v>1677.24</v>
      </c>
      <c r="L138" s="173">
        <f t="shared" si="2"/>
        <v>11917.09</v>
      </c>
      <c r="M138" s="173">
        <f t="shared" si="3"/>
        <v>49199.520000000004</v>
      </c>
    </row>
    <row r="139" spans="1:13">
      <c r="A139" s="11" t="s">
        <v>157</v>
      </c>
      <c r="B139" s="173"/>
      <c r="C139" s="187">
        <v>33778.160000000003</v>
      </c>
      <c r="D139" s="56" t="s">
        <v>280</v>
      </c>
      <c r="E139" s="187">
        <v>35125.230000000003</v>
      </c>
      <c r="F139" s="187">
        <v>22347.09</v>
      </c>
      <c r="G139" s="187">
        <v>381.19</v>
      </c>
      <c r="H139" s="187">
        <v>706.57</v>
      </c>
      <c r="I139" s="300">
        <v>11690.38</v>
      </c>
      <c r="J139" s="145">
        <v>11913.27</v>
      </c>
      <c r="K139" s="145">
        <v>1569.96</v>
      </c>
      <c r="L139" s="173">
        <f t="shared" si="2"/>
        <v>10343.310000000001</v>
      </c>
      <c r="M139" s="173">
        <f t="shared" si="3"/>
        <v>33778.160000000003</v>
      </c>
    </row>
    <row r="140" spans="1:13">
      <c r="A140" s="11" t="s">
        <v>159</v>
      </c>
      <c r="B140" s="173"/>
      <c r="C140" s="187">
        <v>32845.269999999997</v>
      </c>
      <c r="D140" s="56" t="s">
        <v>281</v>
      </c>
      <c r="E140" s="187">
        <v>34341.919999999998</v>
      </c>
      <c r="F140" s="187">
        <v>20852</v>
      </c>
      <c r="G140" s="187">
        <v>716.62</v>
      </c>
      <c r="H140" s="187">
        <v>430.49</v>
      </c>
      <c r="I140" s="300">
        <v>12342.81</v>
      </c>
      <c r="J140" s="145">
        <v>12353.15</v>
      </c>
      <c r="K140" s="145">
        <v>1506.99</v>
      </c>
      <c r="L140" s="173">
        <f t="shared" si="2"/>
        <v>10846.16</v>
      </c>
      <c r="M140" s="173">
        <f t="shared" si="3"/>
        <v>32845.270000000004</v>
      </c>
    </row>
    <row r="141" spans="1:13">
      <c r="A141" s="30" t="s">
        <v>161</v>
      </c>
      <c r="B141" s="173"/>
      <c r="C141" s="187">
        <v>27658.55</v>
      </c>
      <c r="D141" s="56" t="s">
        <v>282</v>
      </c>
      <c r="E141" s="187">
        <v>28525.14</v>
      </c>
      <c r="F141" s="187">
        <v>16616.189999999999</v>
      </c>
      <c r="G141" s="187">
        <v>614.34</v>
      </c>
      <c r="H141" s="187">
        <v>395.25</v>
      </c>
      <c r="I141" s="300">
        <v>10899.36</v>
      </c>
      <c r="J141" s="145">
        <v>11028.22</v>
      </c>
      <c r="K141" s="145">
        <v>995.45</v>
      </c>
      <c r="L141" s="173">
        <f t="shared" si="2"/>
        <v>10032.769999999999</v>
      </c>
      <c r="M141" s="173">
        <f t="shared" si="3"/>
        <v>27658.549999999996</v>
      </c>
    </row>
    <row r="142" spans="1:13">
      <c r="A142" s="30" t="s">
        <v>163</v>
      </c>
      <c r="B142" s="173"/>
      <c r="C142" s="187">
        <v>34471.94</v>
      </c>
      <c r="D142" s="300" t="s">
        <v>283</v>
      </c>
      <c r="E142" s="187">
        <v>35451.17</v>
      </c>
      <c r="F142" s="187">
        <v>23002.45</v>
      </c>
      <c r="G142" s="187">
        <v>493.67</v>
      </c>
      <c r="H142" s="187">
        <v>403.23</v>
      </c>
      <c r="I142" s="300">
        <v>11551.82</v>
      </c>
      <c r="J142" s="145">
        <v>11604.95</v>
      </c>
      <c r="K142" s="145">
        <v>1032.3599999999999</v>
      </c>
      <c r="L142" s="173">
        <f t="shared" si="2"/>
        <v>10572.59</v>
      </c>
      <c r="M142" s="173">
        <f t="shared" si="3"/>
        <v>34471.94</v>
      </c>
    </row>
    <row r="143" spans="1:13">
      <c r="A143" s="30" t="s">
        <v>165</v>
      </c>
      <c r="B143" s="173"/>
      <c r="C143" s="187">
        <v>32402.5</v>
      </c>
      <c r="D143" s="300" t="s">
        <v>284</v>
      </c>
      <c r="E143" s="187">
        <v>33447.54</v>
      </c>
      <c r="F143" s="187">
        <v>21446.81</v>
      </c>
      <c r="G143" s="187">
        <v>172.22</v>
      </c>
      <c r="H143" s="187">
        <v>403.87</v>
      </c>
      <c r="I143" s="187">
        <v>11424.64</v>
      </c>
      <c r="J143" s="145">
        <v>11486.56</v>
      </c>
      <c r="K143" s="145">
        <v>1106.96</v>
      </c>
      <c r="L143" s="173">
        <f t="shared" si="2"/>
        <v>10379.599999999999</v>
      </c>
      <c r="M143" s="173">
        <f t="shared" si="3"/>
        <v>32402.5</v>
      </c>
    </row>
    <row r="144" spans="1:13">
      <c r="A144" s="11" t="s">
        <v>166</v>
      </c>
      <c r="B144" s="173"/>
      <c r="C144" s="187">
        <v>39325.71</v>
      </c>
      <c r="D144" s="300" t="s">
        <v>285</v>
      </c>
      <c r="E144" s="187">
        <v>40722.22</v>
      </c>
      <c r="F144" s="187">
        <v>26938.6</v>
      </c>
      <c r="G144" s="187">
        <v>721.84</v>
      </c>
      <c r="H144" s="187">
        <v>525.76</v>
      </c>
      <c r="I144" s="187">
        <v>12536.02</v>
      </c>
      <c r="J144" s="106">
        <v>12377.87</v>
      </c>
      <c r="K144" s="106">
        <v>1238.3599999999999</v>
      </c>
      <c r="L144" s="173">
        <f t="shared" si="2"/>
        <v>11139.51</v>
      </c>
      <c r="M144" s="173">
        <f t="shared" si="3"/>
        <v>39325.71</v>
      </c>
    </row>
    <row r="145" spans="1:26">
      <c r="A145" s="11" t="s">
        <v>168</v>
      </c>
      <c r="B145" s="173"/>
      <c r="C145" s="187">
        <v>31444.7</v>
      </c>
      <c r="D145" s="300" t="s">
        <v>286</v>
      </c>
      <c r="E145" s="187">
        <v>32445.87</v>
      </c>
      <c r="F145" s="187">
        <v>20392.18</v>
      </c>
      <c r="G145" s="187">
        <v>568.01</v>
      </c>
      <c r="H145" s="187">
        <v>432.23</v>
      </c>
      <c r="I145" s="187">
        <v>11053.45</v>
      </c>
      <c r="J145" s="106">
        <v>11198.15</v>
      </c>
      <c r="K145" s="106">
        <v>1145.8699999999999</v>
      </c>
      <c r="L145" s="173">
        <f t="shared" si="2"/>
        <v>10052.279999999999</v>
      </c>
      <c r="M145" s="173">
        <f t="shared" si="3"/>
        <v>31444.699999999997</v>
      </c>
    </row>
    <row r="146" spans="1:26">
      <c r="A146" s="11" t="s">
        <v>170</v>
      </c>
      <c r="B146" s="173"/>
      <c r="C146" s="187">
        <v>29923.78</v>
      </c>
      <c r="D146" s="300" t="s">
        <v>287</v>
      </c>
      <c r="E146" s="187">
        <v>30663.1</v>
      </c>
      <c r="F146" s="187">
        <v>19187.5</v>
      </c>
      <c r="G146" s="187">
        <v>516.54999999999995</v>
      </c>
      <c r="H146" s="187">
        <v>701.02</v>
      </c>
      <c r="I146" s="187">
        <v>10258.030000000001</v>
      </c>
      <c r="J146" s="106">
        <v>10723.51</v>
      </c>
      <c r="K146" s="106">
        <v>1204.8</v>
      </c>
      <c r="L146" s="173">
        <f t="shared" si="2"/>
        <v>9518.7100000000009</v>
      </c>
      <c r="M146" s="173">
        <f t="shared" si="3"/>
        <v>29923.78</v>
      </c>
    </row>
    <row r="147" spans="1:26">
      <c r="A147" s="11" t="s">
        <v>172</v>
      </c>
      <c r="B147" s="173"/>
      <c r="C147" s="187">
        <v>32046.29</v>
      </c>
      <c r="D147" s="300" t="s">
        <v>288</v>
      </c>
      <c r="E147" s="187">
        <v>33206.06</v>
      </c>
      <c r="F147" s="187">
        <v>21042.240000000002</v>
      </c>
      <c r="G147" s="187">
        <v>283.17</v>
      </c>
      <c r="H147" s="187">
        <v>471.19</v>
      </c>
      <c r="I147" s="187">
        <v>11409.46</v>
      </c>
      <c r="J147" s="106">
        <v>11358.77</v>
      </c>
      <c r="K147" s="106">
        <v>1109.08</v>
      </c>
      <c r="L147" s="173">
        <f t="shared" si="2"/>
        <v>10249.69</v>
      </c>
      <c r="M147" s="173">
        <f t="shared" si="3"/>
        <v>32046.29</v>
      </c>
    </row>
    <row r="148" spans="1:26">
      <c r="A148" s="11" t="s">
        <v>174</v>
      </c>
      <c r="B148" s="173"/>
      <c r="C148" s="187">
        <v>36636.959999999999</v>
      </c>
      <c r="D148" s="300" t="s">
        <v>289</v>
      </c>
      <c r="E148" s="187">
        <v>37417.57</v>
      </c>
      <c r="F148" s="187">
        <v>24398.94</v>
      </c>
      <c r="G148" s="187">
        <v>504.28</v>
      </c>
      <c r="H148" s="187">
        <v>880.38</v>
      </c>
      <c r="I148" s="187">
        <v>11633.97</v>
      </c>
      <c r="J148" s="145">
        <v>11792.07</v>
      </c>
      <c r="K148" s="145">
        <v>938.71</v>
      </c>
      <c r="L148" s="173">
        <f t="shared" si="2"/>
        <v>10853.36</v>
      </c>
      <c r="M148" s="173">
        <f t="shared" si="3"/>
        <v>36636.959999999999</v>
      </c>
    </row>
    <row r="149" spans="1:26">
      <c r="A149" s="11" t="s">
        <v>176</v>
      </c>
      <c r="B149" s="173"/>
      <c r="C149" s="187">
        <v>53093.71</v>
      </c>
      <c r="D149" s="300" t="s">
        <v>290</v>
      </c>
      <c r="E149" s="187">
        <v>54292.14</v>
      </c>
      <c r="F149" s="187">
        <v>37618.17</v>
      </c>
      <c r="G149" s="187">
        <v>580.04999999999995</v>
      </c>
      <c r="H149" s="187">
        <v>906.18</v>
      </c>
      <c r="I149" s="187">
        <v>15187.74</v>
      </c>
      <c r="J149" s="145">
        <v>15297.41</v>
      </c>
      <c r="K149" s="145">
        <v>1308.0999999999999</v>
      </c>
      <c r="L149" s="173">
        <f t="shared" si="2"/>
        <v>13989.31</v>
      </c>
      <c r="M149" s="173">
        <f t="shared" si="3"/>
        <v>53093.71</v>
      </c>
    </row>
    <row r="150" spans="1:26">
      <c r="A150" s="11" t="s">
        <v>178</v>
      </c>
      <c r="B150" s="173"/>
      <c r="C150" s="187">
        <v>37080.199999999997</v>
      </c>
      <c r="D150" s="300" t="s">
        <v>291</v>
      </c>
      <c r="E150" s="187">
        <v>37725.42</v>
      </c>
      <c r="F150" s="187">
        <v>25371.39</v>
      </c>
      <c r="G150" s="187">
        <v>615.32000000000005</v>
      </c>
      <c r="H150" s="187">
        <v>431.24</v>
      </c>
      <c r="I150" s="187">
        <v>11307.47</v>
      </c>
      <c r="J150" s="312">
        <v>11362.03</v>
      </c>
      <c r="K150" s="118">
        <v>699.78</v>
      </c>
      <c r="L150" s="173">
        <f t="shared" si="2"/>
        <v>10662.25</v>
      </c>
      <c r="M150" s="173">
        <f t="shared" si="3"/>
        <v>37080.199999999997</v>
      </c>
    </row>
    <row r="151" spans="1:26">
      <c r="A151" s="11" t="s">
        <v>180</v>
      </c>
      <c r="B151" s="173"/>
      <c r="C151" s="187">
        <v>43302.97</v>
      </c>
      <c r="D151" s="300" t="s">
        <v>292</v>
      </c>
      <c r="E151" s="187">
        <v>44392.95</v>
      </c>
      <c r="F151" s="187">
        <v>29338.06</v>
      </c>
      <c r="G151" s="187">
        <v>573.36</v>
      </c>
      <c r="H151" s="187">
        <v>833.48</v>
      </c>
      <c r="I151" s="187">
        <v>13648.05</v>
      </c>
      <c r="J151" s="106">
        <v>13746.13</v>
      </c>
      <c r="K151" s="312">
        <v>1188.06</v>
      </c>
      <c r="L151" s="173">
        <f t="shared" si="2"/>
        <v>12558.07</v>
      </c>
      <c r="M151" s="173">
        <f t="shared" si="3"/>
        <v>43302.97</v>
      </c>
    </row>
    <row r="152" spans="1:26">
      <c r="A152" s="2" t="s">
        <v>182</v>
      </c>
      <c r="B152" s="173"/>
      <c r="C152" s="187">
        <v>33902.39</v>
      </c>
      <c r="D152" s="319" t="s">
        <v>293</v>
      </c>
      <c r="E152" s="318">
        <v>34464.769999999997</v>
      </c>
      <c r="F152" s="318">
        <v>23530.55</v>
      </c>
      <c r="G152" s="318">
        <v>371.95</v>
      </c>
      <c r="H152" s="318">
        <v>700.62</v>
      </c>
      <c r="I152" s="318">
        <v>9861.65</v>
      </c>
      <c r="J152" s="145">
        <v>10361.219999999999</v>
      </c>
      <c r="K152" s="145">
        <v>1061.95</v>
      </c>
      <c r="L152" s="173">
        <f t="shared" si="2"/>
        <v>9299.2699999999986</v>
      </c>
      <c r="M152" s="173">
        <f t="shared" si="3"/>
        <v>33902.39</v>
      </c>
    </row>
    <row r="153" spans="1:26">
      <c r="A153" s="11" t="s">
        <v>184</v>
      </c>
      <c r="B153" s="173"/>
      <c r="C153" s="187">
        <v>35877.599999999999</v>
      </c>
      <c r="D153" s="319" t="s">
        <v>294</v>
      </c>
      <c r="E153" s="318">
        <v>36522.67</v>
      </c>
      <c r="F153" s="318">
        <v>24918.05</v>
      </c>
      <c r="G153" s="318">
        <v>445.83</v>
      </c>
      <c r="H153" s="318">
        <v>589.6</v>
      </c>
      <c r="I153" s="318">
        <v>10569.19</v>
      </c>
      <c r="J153" s="145" t="s">
        <v>295</v>
      </c>
      <c r="K153" s="145" t="s">
        <v>296</v>
      </c>
      <c r="L153" s="173">
        <f t="shared" si="2"/>
        <v>9924.1200000000008</v>
      </c>
      <c r="M153" s="173">
        <f t="shared" si="3"/>
        <v>35877.599999999999</v>
      </c>
    </row>
    <row r="154" spans="1:26">
      <c r="A154" s="11" t="s">
        <v>186</v>
      </c>
      <c r="B154" s="173"/>
      <c r="C154" s="187">
        <v>36765.17</v>
      </c>
      <c r="D154" s="319" t="s">
        <v>297</v>
      </c>
      <c r="E154" s="318">
        <v>37384.5</v>
      </c>
      <c r="F154" s="318">
        <v>25176.62</v>
      </c>
      <c r="G154" s="318">
        <v>652.53</v>
      </c>
      <c r="H154" s="318">
        <v>482.55</v>
      </c>
      <c r="I154" s="318">
        <v>11072.8</v>
      </c>
      <c r="J154" s="145">
        <v>11364.99</v>
      </c>
      <c r="K154" s="145">
        <v>911.52</v>
      </c>
      <c r="L154" s="173">
        <f t="shared" si="2"/>
        <v>10453.469999999999</v>
      </c>
      <c r="M154" s="173">
        <f t="shared" si="3"/>
        <v>36765.17</v>
      </c>
    </row>
    <row r="155" spans="1:26">
      <c r="A155" s="187" t="s">
        <v>188</v>
      </c>
      <c r="B155" s="173"/>
      <c r="C155" s="187">
        <v>35937.919999999998</v>
      </c>
      <c r="D155" s="319" t="s">
        <v>298</v>
      </c>
      <c r="E155" s="318">
        <v>36440.370000000003</v>
      </c>
      <c r="F155" s="318">
        <v>25235.34</v>
      </c>
      <c r="G155" s="318">
        <v>500.16</v>
      </c>
      <c r="H155" s="318">
        <v>353.38</v>
      </c>
      <c r="I155" s="318">
        <v>10351.49</v>
      </c>
      <c r="J155" s="339" t="s">
        <v>299</v>
      </c>
      <c r="K155" s="339" t="s">
        <v>300</v>
      </c>
      <c r="L155" s="173">
        <f t="shared" si="2"/>
        <v>9849.0399999999991</v>
      </c>
      <c r="M155" s="173">
        <f t="shared" si="3"/>
        <v>35937.919999999998</v>
      </c>
      <c r="N155" s="318"/>
      <c r="O155" s="318"/>
      <c r="P155" s="318"/>
      <c r="Q155" s="318"/>
      <c r="R155" s="318"/>
      <c r="S155" s="318"/>
      <c r="T155" s="318"/>
      <c r="U155" s="318"/>
      <c r="V155" s="318"/>
      <c r="W155" s="318"/>
      <c r="X155" s="318"/>
      <c r="Y155" s="318"/>
      <c r="Z155" s="318"/>
    </row>
    <row r="156" spans="1:26">
      <c r="A156" s="328" t="s">
        <v>192</v>
      </c>
      <c r="B156" s="331"/>
      <c r="C156" s="328">
        <v>37355.96</v>
      </c>
      <c r="D156" s="319">
        <v>1100</v>
      </c>
      <c r="E156" s="318">
        <v>37223.94</v>
      </c>
      <c r="F156" s="318">
        <v>26619.51</v>
      </c>
      <c r="G156" s="318">
        <v>270.39</v>
      </c>
      <c r="H156" s="318">
        <v>1085.19</v>
      </c>
      <c r="I156" s="318">
        <v>9248.85</v>
      </c>
      <c r="J156" s="335">
        <v>9380.8700000000008</v>
      </c>
      <c r="K156" s="318">
        <v>0</v>
      </c>
      <c r="L156" s="173">
        <f t="shared" si="2"/>
        <v>9380.8700000000008</v>
      </c>
      <c r="M156" s="173">
        <f t="shared" si="3"/>
        <v>37355.96</v>
      </c>
      <c r="N156" s="318"/>
      <c r="O156" s="318"/>
      <c r="P156" s="318"/>
      <c r="Q156" s="318"/>
      <c r="R156" s="318"/>
      <c r="S156" s="318"/>
      <c r="T156" s="318"/>
      <c r="U156" s="318"/>
      <c r="V156" s="318"/>
      <c r="W156" s="318"/>
      <c r="X156" s="318"/>
      <c r="Y156" s="318"/>
      <c r="Z156" s="318"/>
    </row>
    <row r="157" spans="1:26">
      <c r="A157" s="350" t="s">
        <v>193</v>
      </c>
      <c r="B157" s="351"/>
      <c r="C157" s="350">
        <v>35974.850000000013</v>
      </c>
      <c r="D157" s="319">
        <v>1036</v>
      </c>
      <c r="E157" s="318">
        <v>36047.230000000003</v>
      </c>
      <c r="F157" s="318">
        <v>26497.97</v>
      </c>
      <c r="G157" s="318">
        <v>444.93</v>
      </c>
      <c r="H157" s="318">
        <v>749.72</v>
      </c>
      <c r="I157" s="318">
        <v>8354.61</v>
      </c>
      <c r="J157" s="335">
        <v>8282.23</v>
      </c>
      <c r="K157" s="318">
        <v>0</v>
      </c>
      <c r="L157" s="331">
        <f t="shared" si="2"/>
        <v>8282.23</v>
      </c>
      <c r="M157" s="331">
        <f t="shared" si="3"/>
        <v>35974.850000000006</v>
      </c>
      <c r="N157" s="318"/>
      <c r="O157" s="318"/>
      <c r="P157" s="318"/>
      <c r="Q157" s="318"/>
      <c r="R157" s="318"/>
      <c r="S157" s="318"/>
      <c r="T157" s="318"/>
      <c r="U157" s="318"/>
      <c r="V157" s="318"/>
      <c r="W157" s="318"/>
      <c r="X157" s="318"/>
      <c r="Y157" s="318"/>
      <c r="Z157" s="318"/>
    </row>
    <row r="158" spans="1:26" s="3" customFormat="1">
      <c r="A158" s="350" t="s">
        <v>194</v>
      </c>
      <c r="B158" s="351"/>
      <c r="C158" s="350">
        <v>38082.75</v>
      </c>
      <c r="D158" s="319">
        <v>1107</v>
      </c>
      <c r="E158" s="318">
        <v>37377.629999999997</v>
      </c>
      <c r="F158" s="318">
        <v>27954.41</v>
      </c>
      <c r="G158" s="318">
        <v>447</v>
      </c>
      <c r="H158" s="318">
        <v>517.29</v>
      </c>
      <c r="I158" s="318">
        <v>8458.93</v>
      </c>
      <c r="J158" s="335">
        <v>9164.0499999999993</v>
      </c>
      <c r="K158" s="318">
        <v>0</v>
      </c>
      <c r="L158" s="331">
        <f t="shared" ref="L158" si="4">(J158-K158)</f>
        <v>9164.0499999999993</v>
      </c>
      <c r="M158" s="331">
        <f t="shared" ref="M158" si="5">SUM(F158,G158,H158,L158)</f>
        <v>38082.75</v>
      </c>
      <c r="N158" s="318"/>
      <c r="O158" s="318"/>
      <c r="P158" s="318"/>
      <c r="Q158" s="318"/>
      <c r="R158" s="318"/>
      <c r="S158" s="318"/>
      <c r="T158" s="318"/>
      <c r="U158" s="318"/>
      <c r="V158" s="318"/>
      <c r="W158" s="318"/>
      <c r="X158" s="318"/>
      <c r="Y158" s="318"/>
      <c r="Z158" s="318"/>
    </row>
    <row r="159" spans="1:26">
      <c r="A159" s="354" t="s">
        <v>482</v>
      </c>
      <c r="B159" s="358"/>
      <c r="C159" s="354">
        <v>42117.45</v>
      </c>
      <c r="D159" s="319">
        <v>1221</v>
      </c>
      <c r="E159" s="318">
        <v>43345.83</v>
      </c>
      <c r="F159" s="318">
        <v>30668.639999999999</v>
      </c>
      <c r="G159" s="318">
        <v>458.86</v>
      </c>
      <c r="H159" s="318">
        <v>784.15</v>
      </c>
      <c r="I159" s="318">
        <v>11434.18</v>
      </c>
      <c r="J159" s="335">
        <v>11516.07</v>
      </c>
      <c r="K159" s="335">
        <v>1310.27</v>
      </c>
      <c r="L159" s="331">
        <f t="shared" ref="L159" si="6">(J159-K159)</f>
        <v>10205.799999999999</v>
      </c>
      <c r="M159" s="331">
        <f t="shared" ref="M159" si="7">SUM(F159,G159,H159,L159)</f>
        <v>42117.45</v>
      </c>
      <c r="N159" s="318"/>
      <c r="O159" s="318"/>
      <c r="P159" s="318"/>
      <c r="Q159" s="318"/>
      <c r="R159" s="318"/>
      <c r="S159" s="318"/>
      <c r="T159" s="318"/>
      <c r="U159" s="318"/>
      <c r="V159" s="318"/>
      <c r="W159" s="318"/>
      <c r="X159" s="318"/>
      <c r="Y159" s="318"/>
      <c r="Z159" s="318"/>
    </row>
    <row r="160" spans="1:26">
      <c r="A160" s="354"/>
      <c r="B160" s="359"/>
      <c r="C160" s="356"/>
      <c r="D160" s="319"/>
      <c r="E160" s="318"/>
      <c r="F160" s="318"/>
      <c r="G160" s="318"/>
      <c r="H160" s="318"/>
      <c r="I160" s="318"/>
      <c r="J160" s="360"/>
      <c r="K160" s="318"/>
      <c r="L160" s="331"/>
      <c r="M160" s="331"/>
      <c r="N160" s="361"/>
      <c r="O160" s="361"/>
      <c r="P160" s="361"/>
      <c r="Q160" s="361"/>
      <c r="R160" s="361"/>
      <c r="S160" s="361"/>
      <c r="T160" s="361"/>
      <c r="U160" s="361"/>
      <c r="V160" s="361"/>
      <c r="W160" s="361"/>
      <c r="X160" s="361"/>
      <c r="Y160" s="361"/>
      <c r="Z160" s="361"/>
    </row>
    <row r="161" spans="1:26">
      <c r="A161" s="354"/>
      <c r="B161" s="359"/>
      <c r="C161" s="356"/>
      <c r="D161" s="319"/>
      <c r="E161" s="318"/>
      <c r="F161" s="318"/>
      <c r="G161" s="318"/>
      <c r="H161" s="318"/>
      <c r="I161" s="318"/>
      <c r="J161" s="360"/>
      <c r="K161" s="318"/>
      <c r="L161" s="331"/>
      <c r="M161" s="331"/>
      <c r="N161" s="361"/>
      <c r="O161" s="361"/>
      <c r="P161" s="361"/>
      <c r="Q161" s="361"/>
      <c r="R161" s="361"/>
      <c r="S161" s="361"/>
      <c r="T161" s="361"/>
      <c r="U161" s="361"/>
      <c r="V161" s="361"/>
      <c r="W161" s="361"/>
      <c r="X161" s="361"/>
      <c r="Y161" s="361"/>
      <c r="Z161" s="361"/>
    </row>
    <row r="162" spans="1:26">
      <c r="A162" s="224" t="s">
        <v>301</v>
      </c>
      <c r="B162" s="327"/>
      <c r="C162" s="326"/>
      <c r="D162" s="224"/>
      <c r="E162" s="224"/>
      <c r="F162" s="118"/>
      <c r="G162" s="118"/>
      <c r="H162" s="11"/>
      <c r="I162" s="118"/>
      <c r="J162" s="173"/>
      <c r="K162" s="173"/>
      <c r="L162" s="173"/>
      <c r="M162" s="173"/>
    </row>
    <row r="163" spans="1:26">
      <c r="A163" s="198" t="s">
        <v>0</v>
      </c>
      <c r="B163" s="313"/>
      <c r="C163" s="198" t="s">
        <v>1</v>
      </c>
      <c r="D163" s="198"/>
      <c r="E163" s="198"/>
      <c r="F163" s="314"/>
      <c r="G163" s="314"/>
      <c r="H163" s="314"/>
      <c r="I163" s="314"/>
      <c r="J163" s="314"/>
      <c r="K163" s="314"/>
      <c r="L163" s="314"/>
      <c r="M163" s="314"/>
    </row>
    <row r="164" spans="1:26">
      <c r="A164" s="11" t="s">
        <v>174</v>
      </c>
      <c r="B164" s="56"/>
      <c r="C164" s="187">
        <v>36636.959999999999</v>
      </c>
      <c r="D164" s="118"/>
      <c r="E164" s="118"/>
      <c r="F164" s="56"/>
      <c r="G164" s="56"/>
      <c r="H164" s="56"/>
      <c r="I164" s="56"/>
      <c r="J164" s="56"/>
      <c r="K164" s="56"/>
      <c r="L164" s="56"/>
      <c r="M164" s="56"/>
    </row>
    <row r="165" spans="1:26">
      <c r="A165" s="11" t="s">
        <v>176</v>
      </c>
      <c r="B165" s="56"/>
      <c r="C165" s="187">
        <v>53093.71</v>
      </c>
      <c r="D165" s="118"/>
      <c r="E165" s="118"/>
      <c r="F165" s="56"/>
      <c r="G165" s="56"/>
      <c r="H165" s="56"/>
      <c r="I165" s="56"/>
      <c r="J165" s="56"/>
      <c r="K165" s="56"/>
      <c r="L165" s="56"/>
      <c r="M165" s="56"/>
    </row>
    <row r="166" spans="1:26">
      <c r="A166" s="11" t="s">
        <v>178</v>
      </c>
      <c r="B166" s="56"/>
      <c r="C166" s="118">
        <v>37080.199999999997</v>
      </c>
      <c r="D166" s="118"/>
      <c r="E166" s="118"/>
      <c r="F166" s="56"/>
      <c r="G166" s="56"/>
      <c r="H166" s="56"/>
      <c r="I166" s="56"/>
      <c r="J166" s="56"/>
      <c r="K166" s="56"/>
      <c r="L166" s="56"/>
      <c r="M166" s="56"/>
    </row>
    <row r="167" spans="1:26">
      <c r="A167" s="11" t="s">
        <v>180</v>
      </c>
      <c r="B167" s="56"/>
      <c r="C167" s="187">
        <v>43302.97</v>
      </c>
      <c r="D167" s="118"/>
      <c r="E167" s="118"/>
      <c r="F167" s="56"/>
      <c r="G167" s="56"/>
      <c r="H167" s="56"/>
      <c r="I167" s="56"/>
      <c r="J167" s="56"/>
      <c r="K167" s="56"/>
      <c r="L167" s="56"/>
      <c r="M167" s="56"/>
    </row>
    <row r="168" spans="1:26">
      <c r="A168" s="2" t="s">
        <v>182</v>
      </c>
      <c r="B168" s="173"/>
      <c r="C168" s="187">
        <v>33902.39</v>
      </c>
    </row>
    <row r="169" spans="1:26">
      <c r="A169" s="11" t="s">
        <v>184</v>
      </c>
      <c r="B169" s="173"/>
      <c r="C169" s="187">
        <v>35877.599999999999</v>
      </c>
    </row>
    <row r="170" spans="1:26">
      <c r="A170" s="11" t="s">
        <v>186</v>
      </c>
      <c r="B170" s="173"/>
      <c r="C170" s="187">
        <v>36765.17</v>
      </c>
    </row>
    <row r="171" spans="1:26">
      <c r="A171" s="187" t="s">
        <v>188</v>
      </c>
      <c r="B171" s="173"/>
      <c r="C171" s="187">
        <v>35937.919999999998</v>
      </c>
    </row>
    <row r="172" spans="1:26">
      <c r="A172" s="328" t="s">
        <v>192</v>
      </c>
      <c r="B172" s="331"/>
      <c r="C172" s="328">
        <v>37355.96</v>
      </c>
    </row>
    <row r="173" spans="1:26">
      <c r="A173" s="350" t="s">
        <v>193</v>
      </c>
      <c r="B173" s="351"/>
      <c r="C173" s="350">
        <v>35974.850000000013</v>
      </c>
    </row>
    <row r="174" spans="1:26">
      <c r="A174" s="350" t="s">
        <v>194</v>
      </c>
      <c r="B174" s="351"/>
      <c r="C174" s="350">
        <v>38082.75</v>
      </c>
    </row>
    <row r="175" spans="1:26">
      <c r="A175" s="354" t="s">
        <v>482</v>
      </c>
      <c r="B175" s="358"/>
      <c r="C175" s="354">
        <v>42117.45</v>
      </c>
    </row>
  </sheetData>
  <mergeCells count="3">
    <mergeCell ref="G1:H1"/>
    <mergeCell ref="I1:J1"/>
    <mergeCell ref="K1:L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61"/>
  <sheetViews>
    <sheetView topLeftCell="A60" workbookViewId="0">
      <pane ySplit="11" topLeftCell="A141" activePane="bottomLeft" state="frozen"/>
      <selection activeCell="A60" sqref="A60"/>
      <selection pane="bottomLeft" activeCell="D157" sqref="D157"/>
    </sheetView>
  </sheetViews>
  <sheetFormatPr defaultRowHeight="14.4"/>
  <cols>
    <col min="1" max="1" width="37.33203125" customWidth="1"/>
    <col min="3" max="3" width="30.44140625" customWidth="1"/>
    <col min="4" max="4" width="16.5546875" customWidth="1"/>
    <col min="5" max="5" width="30.44140625" customWidth="1"/>
    <col min="6" max="6" width="21.88671875" customWidth="1"/>
    <col min="7" max="7" width="14.109375" customWidth="1"/>
    <col min="8" max="8" width="16.109375" customWidth="1"/>
    <col min="9" max="9" width="16.44140625" customWidth="1"/>
    <col min="10" max="10" width="17.88671875" customWidth="1"/>
    <col min="11" max="11" width="19.44140625" customWidth="1"/>
    <col min="12" max="12" width="17.109375" customWidth="1"/>
    <col min="13" max="13" width="17.44140625" customWidth="1"/>
    <col min="14" max="14" width="15.88671875" customWidth="1"/>
    <col min="15" max="15" width="14.88671875" customWidth="1"/>
    <col min="16" max="16" width="14" customWidth="1"/>
    <col min="17" max="17" width="14.6640625" customWidth="1"/>
  </cols>
  <sheetData>
    <row r="1" spans="1:18" ht="32.4" customHeight="1">
      <c r="A1" s="7" t="s">
        <v>0</v>
      </c>
      <c r="B1" s="9"/>
      <c r="C1" s="8" t="s">
        <v>1</v>
      </c>
      <c r="D1" s="163"/>
      <c r="E1" s="163"/>
      <c r="H1" s="371">
        <v>2023</v>
      </c>
      <c r="I1" s="365"/>
    </row>
    <row r="2" spans="1:18" ht="27.6" customHeight="1">
      <c r="A2" s="2" t="s">
        <v>2</v>
      </c>
      <c r="B2" s="9"/>
      <c r="C2" s="32"/>
      <c r="D2" s="239"/>
      <c r="E2" s="239"/>
      <c r="H2" s="2" t="s">
        <v>3</v>
      </c>
      <c r="I2" s="1"/>
    </row>
    <row r="3" spans="1:18" ht="27.6" customHeight="1">
      <c r="A3" s="2" t="s">
        <v>4</v>
      </c>
      <c r="B3" s="11"/>
      <c r="C3" s="32"/>
      <c r="D3" s="239"/>
      <c r="E3" s="239"/>
      <c r="H3" s="2" t="s">
        <v>5</v>
      </c>
      <c r="I3" s="1"/>
    </row>
    <row r="4" spans="1:18" ht="27.6" customHeight="1">
      <c r="A4" s="2" t="s">
        <v>6</v>
      </c>
      <c r="B4" s="9"/>
      <c r="C4" s="33">
        <v>19936.98</v>
      </c>
      <c r="D4" s="240"/>
      <c r="E4" s="240"/>
      <c r="H4" s="2" t="s">
        <v>7</v>
      </c>
      <c r="I4" s="1"/>
    </row>
    <row r="5" spans="1:18" ht="27.6" customHeight="1">
      <c r="A5" s="2" t="s">
        <v>8</v>
      </c>
      <c r="B5" s="9"/>
      <c r="C5" s="33">
        <v>26303.86</v>
      </c>
      <c r="D5" s="240"/>
      <c r="E5" s="240"/>
      <c r="H5" s="2" t="s">
        <v>9</v>
      </c>
      <c r="I5" s="1"/>
    </row>
    <row r="6" spans="1:18" ht="27.6" customHeight="1">
      <c r="A6" s="2" t="s">
        <v>10</v>
      </c>
      <c r="B6" s="9"/>
      <c r="C6" s="33">
        <v>26748.71</v>
      </c>
      <c r="D6" s="240"/>
      <c r="E6" s="240"/>
      <c r="H6" s="2" t="s">
        <v>11</v>
      </c>
      <c r="I6" s="1"/>
    </row>
    <row r="7" spans="1:18">
      <c r="A7" s="2" t="s">
        <v>12</v>
      </c>
      <c r="B7" s="9"/>
      <c r="C7" s="33">
        <v>27040.61</v>
      </c>
      <c r="D7" s="240"/>
      <c r="E7" s="240"/>
      <c r="H7" s="2" t="s">
        <v>13</v>
      </c>
      <c r="I7" s="1"/>
    </row>
    <row r="8" spans="1:18">
      <c r="A8" s="2" t="s">
        <v>14</v>
      </c>
      <c r="B8" s="9"/>
      <c r="C8" s="34">
        <v>23879.31</v>
      </c>
      <c r="D8" s="241"/>
      <c r="E8" s="241"/>
      <c r="H8" s="2" t="s">
        <v>15</v>
      </c>
      <c r="I8" s="1"/>
    </row>
    <row r="9" spans="1:18">
      <c r="A9" s="2" t="s">
        <v>16</v>
      </c>
      <c r="B9" s="9"/>
      <c r="C9" s="33">
        <v>22117.11</v>
      </c>
      <c r="D9" s="240"/>
      <c r="E9" s="240"/>
      <c r="H9" s="2" t="s">
        <v>17</v>
      </c>
      <c r="I9" s="1"/>
    </row>
    <row r="10" spans="1:18">
      <c r="A10" s="2" t="s">
        <v>18</v>
      </c>
      <c r="B10" s="9"/>
      <c r="C10" s="33">
        <v>23843.55</v>
      </c>
      <c r="D10" s="240"/>
      <c r="E10" s="240"/>
      <c r="H10" s="2" t="s">
        <v>19</v>
      </c>
      <c r="I10" s="1"/>
    </row>
    <row r="11" spans="1:18" ht="28.2" customHeight="1" thickBot="1">
      <c r="A11" s="2" t="s">
        <v>20</v>
      </c>
      <c r="B11" s="9"/>
      <c r="C11" s="34">
        <v>21104.57</v>
      </c>
      <c r="D11" s="241"/>
      <c r="E11" s="241"/>
      <c r="H11" s="2" t="s">
        <v>21</v>
      </c>
      <c r="I11" s="1"/>
      <c r="R11" s="10"/>
    </row>
    <row r="12" spans="1:18" ht="27.6" customHeight="1">
      <c r="A12" s="2" t="s">
        <v>22</v>
      </c>
      <c r="B12" s="9"/>
      <c r="C12" s="33">
        <v>24501.77</v>
      </c>
      <c r="D12" s="240"/>
      <c r="E12" s="240"/>
      <c r="H12" s="2" t="s">
        <v>23</v>
      </c>
      <c r="I12" s="1"/>
    </row>
    <row r="13" spans="1:18" ht="27.6" customHeight="1">
      <c r="A13" s="2" t="s">
        <v>24</v>
      </c>
      <c r="B13" s="9"/>
      <c r="C13" s="33">
        <v>24352.37</v>
      </c>
      <c r="D13" s="240"/>
      <c r="E13" s="240"/>
      <c r="H13" s="2" t="s">
        <v>25</v>
      </c>
      <c r="I13" s="1"/>
    </row>
    <row r="14" spans="1:18" ht="27.6" customHeight="1">
      <c r="A14" s="2" t="s">
        <v>26</v>
      </c>
      <c r="B14" s="9"/>
      <c r="C14" s="33">
        <v>26183.71</v>
      </c>
      <c r="D14" s="240"/>
      <c r="E14" s="240"/>
    </row>
    <row r="15" spans="1:18" s="22" customFormat="1" ht="27.6" customHeight="1">
      <c r="A15" s="20" t="s">
        <v>27</v>
      </c>
      <c r="B15" s="21"/>
      <c r="C15" s="35">
        <v>22082.62</v>
      </c>
      <c r="D15" s="242"/>
      <c r="E15" s="242"/>
    </row>
    <row r="16" spans="1:18" ht="27.6" customHeight="1">
      <c r="A16" s="2" t="s">
        <v>28</v>
      </c>
      <c r="B16" s="9"/>
      <c r="C16" s="33">
        <v>25238.83</v>
      </c>
      <c r="D16" s="240"/>
      <c r="E16" s="240"/>
    </row>
    <row r="17" spans="1:5" ht="27.6" customHeight="1">
      <c r="A17" s="2" t="s">
        <v>29</v>
      </c>
      <c r="B17" s="9"/>
      <c r="C17" s="33">
        <v>20086.32</v>
      </c>
      <c r="D17" s="240"/>
      <c r="E17" s="240"/>
    </row>
    <row r="18" spans="1:5" ht="27.6" customHeight="1">
      <c r="A18" s="2" t="s">
        <v>30</v>
      </c>
      <c r="B18" s="9"/>
      <c r="C18" s="36">
        <v>23791.89</v>
      </c>
      <c r="D18" s="240"/>
      <c r="E18" s="240"/>
    </row>
    <row r="19" spans="1:5" ht="27.6" customHeight="1">
      <c r="A19" s="2" t="s">
        <v>31</v>
      </c>
      <c r="B19" s="9"/>
      <c r="C19" s="37">
        <v>44516.800000000003</v>
      </c>
      <c r="D19" s="243"/>
      <c r="E19" s="243"/>
    </row>
    <row r="20" spans="1:5">
      <c r="A20" s="2" t="s">
        <v>32</v>
      </c>
      <c r="B20" s="9"/>
      <c r="C20" s="34">
        <v>21563.55</v>
      </c>
      <c r="D20" s="241"/>
      <c r="E20" s="241"/>
    </row>
    <row r="21" spans="1:5">
      <c r="A21" s="2" t="s">
        <v>33</v>
      </c>
      <c r="B21" s="9"/>
      <c r="C21" s="38">
        <v>17092.53</v>
      </c>
      <c r="D21" s="244"/>
      <c r="E21" s="244"/>
    </row>
    <row r="22" spans="1:5">
      <c r="A22" s="2" t="s">
        <v>34</v>
      </c>
      <c r="B22" s="39"/>
      <c r="C22" s="40">
        <v>9587.7999999999993</v>
      </c>
      <c r="D22" s="241"/>
      <c r="E22" s="241"/>
    </row>
    <row r="23" spans="1:5">
      <c r="A23" s="2" t="s">
        <v>35</v>
      </c>
      <c r="B23" s="39"/>
      <c r="C23" s="37">
        <v>20279.16</v>
      </c>
      <c r="D23" s="243"/>
      <c r="E23" s="243"/>
    </row>
    <row r="24" spans="1:5">
      <c r="A24" s="27" t="s">
        <v>36</v>
      </c>
      <c r="B24" s="29"/>
      <c r="C24" s="40">
        <v>19566.21</v>
      </c>
      <c r="D24" s="241"/>
      <c r="E24" s="241"/>
    </row>
    <row r="25" spans="1:5">
      <c r="A25" s="2" t="s">
        <v>37</v>
      </c>
      <c r="B25" s="9"/>
      <c r="C25" s="34">
        <v>19072.64</v>
      </c>
      <c r="D25" s="241"/>
      <c r="E25" s="241"/>
    </row>
    <row r="26" spans="1:5">
      <c r="A26" s="27" t="s">
        <v>38</v>
      </c>
      <c r="B26" s="42"/>
      <c r="C26" s="41">
        <v>24809.13</v>
      </c>
      <c r="D26" s="243"/>
      <c r="E26" s="243"/>
    </row>
    <row r="27" spans="1:5">
      <c r="A27" s="27" t="s">
        <v>39</v>
      </c>
      <c r="B27" s="42"/>
      <c r="C27" s="18">
        <v>19568.48</v>
      </c>
      <c r="D27" s="245"/>
      <c r="E27" s="245"/>
    </row>
    <row r="28" spans="1:5">
      <c r="A28" s="45" t="s">
        <v>40</v>
      </c>
      <c r="B28" s="9"/>
      <c r="C28" s="12">
        <v>22062.46</v>
      </c>
      <c r="D28" s="245"/>
      <c r="E28" s="245"/>
    </row>
    <row r="29" spans="1:5">
      <c r="A29" s="45" t="s">
        <v>41</v>
      </c>
      <c r="B29" s="9"/>
      <c r="C29" s="12">
        <v>26606.86</v>
      </c>
      <c r="D29" s="245"/>
      <c r="E29" s="245"/>
    </row>
    <row r="30" spans="1:5">
      <c r="A30" s="45" t="s">
        <v>42</v>
      </c>
      <c r="B30" s="9"/>
      <c r="C30" s="12">
        <v>18437.349999999999</v>
      </c>
      <c r="D30" s="245"/>
      <c r="E30" s="245"/>
    </row>
    <row r="31" spans="1:5">
      <c r="A31" s="45" t="s">
        <v>43</v>
      </c>
      <c r="B31" s="9"/>
      <c r="C31" s="12">
        <v>19189.580000000002</v>
      </c>
      <c r="D31" s="245"/>
      <c r="E31" s="245"/>
    </row>
    <row r="32" spans="1:5">
      <c r="A32" s="45" t="s">
        <v>44</v>
      </c>
      <c r="B32" s="9"/>
      <c r="C32" s="12">
        <v>29294.77</v>
      </c>
      <c r="D32" s="245"/>
      <c r="E32" s="245"/>
    </row>
    <row r="33" spans="1:5">
      <c r="A33" s="2" t="s">
        <v>45</v>
      </c>
      <c r="B33" s="9"/>
      <c r="C33" s="12">
        <v>27484.28</v>
      </c>
      <c r="D33" s="245"/>
      <c r="E33" s="245"/>
    </row>
    <row r="34" spans="1:5">
      <c r="A34" s="27" t="s">
        <v>46</v>
      </c>
      <c r="B34" s="42"/>
      <c r="C34" s="18">
        <v>46447.58</v>
      </c>
      <c r="D34" s="245"/>
      <c r="E34" s="245"/>
    </row>
    <row r="35" spans="1:5">
      <c r="A35" s="27" t="s">
        <v>47</v>
      </c>
      <c r="B35" s="42"/>
      <c r="C35" s="18">
        <v>30151.22</v>
      </c>
      <c r="D35" s="245"/>
      <c r="E35" s="245"/>
    </row>
    <row r="36" spans="1:5">
      <c r="A36" s="27" t="s">
        <v>48</v>
      </c>
      <c r="B36" s="42"/>
      <c r="C36" s="53">
        <v>32989.24</v>
      </c>
      <c r="D36" s="246"/>
      <c r="E36" s="246"/>
    </row>
    <row r="37" spans="1:5">
      <c r="A37" s="27" t="s">
        <v>49</v>
      </c>
      <c r="B37" s="42"/>
      <c r="C37" s="18">
        <v>31382.04</v>
      </c>
      <c r="D37" s="245"/>
      <c r="E37" s="245"/>
    </row>
    <row r="38" spans="1:5">
      <c r="A38" s="27" t="s">
        <v>50</v>
      </c>
      <c r="B38" s="42"/>
      <c r="C38" s="18">
        <v>33493.47</v>
      </c>
      <c r="D38" s="245"/>
      <c r="E38" s="245"/>
    </row>
    <row r="39" spans="1:5">
      <c r="A39" s="27" t="s">
        <v>51</v>
      </c>
      <c r="B39" s="42"/>
      <c r="C39" s="18">
        <v>33863.910000000003</v>
      </c>
      <c r="D39" s="245"/>
      <c r="E39" s="245"/>
    </row>
    <row r="40" spans="1:5">
      <c r="A40" s="27" t="s">
        <v>52</v>
      </c>
      <c r="B40" s="42"/>
      <c r="C40" s="18">
        <v>38001.61</v>
      </c>
      <c r="D40" s="245"/>
      <c r="E40" s="245"/>
    </row>
    <row r="41" spans="1:5">
      <c r="A41" s="2" t="s">
        <v>53</v>
      </c>
      <c r="B41" s="9"/>
      <c r="C41" s="18">
        <v>33360.74</v>
      </c>
      <c r="D41" s="245"/>
      <c r="E41" s="245"/>
    </row>
    <row r="42" spans="1:5">
      <c r="A42" s="2" t="s">
        <v>54</v>
      </c>
      <c r="B42" s="39"/>
      <c r="C42" s="12">
        <v>30911.73</v>
      </c>
      <c r="D42" s="245"/>
      <c r="E42" s="245"/>
    </row>
    <row r="43" spans="1:5">
      <c r="A43" s="2" t="s">
        <v>55</v>
      </c>
      <c r="B43" s="39"/>
      <c r="C43" s="12">
        <v>42076.09</v>
      </c>
      <c r="D43" s="245"/>
      <c r="E43" s="245"/>
    </row>
    <row r="44" spans="1:5">
      <c r="A44" s="27" t="s">
        <v>56</v>
      </c>
      <c r="B44" s="54"/>
      <c r="C44" s="18">
        <v>42428.13</v>
      </c>
      <c r="D44" s="245"/>
      <c r="E44" s="245"/>
    </row>
    <row r="45" spans="1:5">
      <c r="A45" s="27" t="s">
        <v>57</v>
      </c>
      <c r="B45" s="42"/>
      <c r="C45" s="18">
        <v>46172.33</v>
      </c>
      <c r="D45" s="245"/>
      <c r="E45" s="245"/>
    </row>
    <row r="46" spans="1:5">
      <c r="A46" s="2" t="s">
        <v>58</v>
      </c>
      <c r="B46" s="9"/>
      <c r="C46" s="12">
        <v>52905.38</v>
      </c>
      <c r="D46" s="245"/>
      <c r="E46" s="245"/>
    </row>
    <row r="47" spans="1:5">
      <c r="A47" s="27" t="s">
        <v>59</v>
      </c>
      <c r="B47" s="42"/>
      <c r="C47" s="18">
        <v>36971.47</v>
      </c>
      <c r="D47" s="245"/>
      <c r="E47" s="245"/>
    </row>
    <row r="48" spans="1:5">
      <c r="A48" s="30" t="s">
        <v>60</v>
      </c>
      <c r="B48" s="99"/>
      <c r="C48" s="100">
        <v>41428.68</v>
      </c>
      <c r="D48" s="247"/>
      <c r="E48" s="247"/>
    </row>
    <row r="49" spans="1:5">
      <c r="A49" s="2" t="s">
        <v>61</v>
      </c>
      <c r="B49" s="109"/>
      <c r="C49" s="111">
        <v>44753.59</v>
      </c>
      <c r="D49" s="248"/>
      <c r="E49" s="248"/>
    </row>
    <row r="50" spans="1:5">
      <c r="A50" s="27" t="s">
        <v>62</v>
      </c>
      <c r="B50" s="110"/>
      <c r="C50" s="112">
        <v>51909.66</v>
      </c>
      <c r="D50" s="248"/>
      <c r="E50" s="248"/>
    </row>
    <row r="51" spans="1:5">
      <c r="A51" s="2" t="s">
        <v>63</v>
      </c>
      <c r="B51" s="109"/>
      <c r="C51" s="111">
        <v>54296.89</v>
      </c>
      <c r="D51" s="248"/>
      <c r="E51" s="248"/>
    </row>
    <row r="52" spans="1:5">
      <c r="A52" s="2" t="s">
        <v>64</v>
      </c>
      <c r="B52" s="109"/>
      <c r="C52" s="111">
        <v>53846.11</v>
      </c>
      <c r="D52" s="248"/>
      <c r="E52" s="248"/>
    </row>
    <row r="53" spans="1:5">
      <c r="A53" s="2" t="s">
        <v>65</v>
      </c>
      <c r="B53" s="109"/>
      <c r="C53" s="106">
        <v>47499.519999999997</v>
      </c>
      <c r="D53" s="144"/>
      <c r="E53" s="144"/>
    </row>
    <row r="54" spans="1:5">
      <c r="A54" s="2" t="s">
        <v>66</v>
      </c>
      <c r="B54" s="109"/>
      <c r="C54" s="106">
        <v>54527.68</v>
      </c>
      <c r="D54" s="144"/>
      <c r="E54" s="144"/>
    </row>
    <row r="55" spans="1:5">
      <c r="A55" s="2" t="s">
        <v>67</v>
      </c>
      <c r="B55" s="109"/>
      <c r="C55" s="106">
        <v>45859</v>
      </c>
      <c r="D55" s="144"/>
      <c r="E55" s="144"/>
    </row>
    <row r="56" spans="1:5">
      <c r="A56" s="2" t="s">
        <v>68</v>
      </c>
      <c r="B56" s="109"/>
      <c r="C56" s="106">
        <v>43847.55</v>
      </c>
      <c r="D56" s="144"/>
      <c r="E56" s="144"/>
    </row>
    <row r="57" spans="1:5">
      <c r="A57" s="2" t="s">
        <v>69</v>
      </c>
      <c r="B57" s="109"/>
      <c r="C57" s="106">
        <v>41825.83</v>
      </c>
      <c r="D57" s="144"/>
      <c r="E57" s="144"/>
    </row>
    <row r="58" spans="1:5">
      <c r="A58" s="2" t="s">
        <v>70</v>
      </c>
      <c r="B58" s="109"/>
      <c r="C58" s="106">
        <v>42377.66</v>
      </c>
      <c r="D58" s="144"/>
      <c r="E58" s="144"/>
    </row>
    <row r="59" spans="1:5">
      <c r="A59" s="2" t="s">
        <v>71</v>
      </c>
      <c r="B59" s="109"/>
      <c r="C59" s="106">
        <v>43808.33</v>
      </c>
      <c r="D59" s="144"/>
      <c r="E59" s="144"/>
    </row>
    <row r="60" spans="1:5">
      <c r="A60" s="2" t="s">
        <v>72</v>
      </c>
      <c r="B60" s="109"/>
      <c r="C60" s="106">
        <v>52344.21</v>
      </c>
      <c r="D60" s="144"/>
      <c r="E60" s="144"/>
    </row>
    <row r="61" spans="1:5">
      <c r="A61" s="2" t="s">
        <v>73</v>
      </c>
      <c r="B61" s="109"/>
      <c r="C61" s="106">
        <v>51932.82</v>
      </c>
      <c r="D61" s="144"/>
      <c r="E61" s="144"/>
    </row>
    <row r="62" spans="1:5">
      <c r="A62" s="2" t="s">
        <v>74</v>
      </c>
      <c r="B62" s="109"/>
      <c r="C62" s="106">
        <v>45777.79</v>
      </c>
      <c r="D62" s="144"/>
      <c r="E62" s="144"/>
    </row>
    <row r="63" spans="1:5">
      <c r="A63" s="2" t="s">
        <v>75</v>
      </c>
      <c r="B63" s="109"/>
      <c r="C63" s="106">
        <v>45639.83</v>
      </c>
      <c r="D63" s="144"/>
      <c r="E63" s="144"/>
    </row>
    <row r="64" spans="1:5">
      <c r="A64" s="2" t="s">
        <v>76</v>
      </c>
      <c r="B64" s="109"/>
      <c r="C64" s="106">
        <v>48315.7</v>
      </c>
      <c r="D64" s="144"/>
      <c r="E64" s="144"/>
    </row>
    <row r="65" spans="1:17">
      <c r="A65" s="2" t="s">
        <v>77</v>
      </c>
      <c r="B65" s="109"/>
      <c r="C65" s="106">
        <v>44643.47</v>
      </c>
      <c r="D65" s="144"/>
      <c r="E65" s="144"/>
    </row>
    <row r="66" spans="1:17" ht="15" customHeight="1" thickBot="1">
      <c r="A66" s="2" t="s">
        <v>78</v>
      </c>
      <c r="B66" s="109"/>
      <c r="C66" s="106">
        <v>43508.31</v>
      </c>
      <c r="D66" s="144"/>
      <c r="E66" s="144"/>
    </row>
    <row r="67" spans="1:17" ht="18" customHeight="1" thickBot="1">
      <c r="A67" s="2" t="s">
        <v>79</v>
      </c>
      <c r="B67" s="109"/>
      <c r="C67" s="106">
        <v>45439.31</v>
      </c>
      <c r="D67" s="144"/>
      <c r="E67" s="144"/>
      <c r="F67" s="151"/>
      <c r="G67" s="152"/>
      <c r="H67" s="153"/>
    </row>
    <row r="68" spans="1:17" ht="18" customHeight="1" thickBot="1">
      <c r="A68" s="2" t="s">
        <v>85</v>
      </c>
      <c r="B68" s="109"/>
      <c r="C68" s="106">
        <v>37215.019999999997</v>
      </c>
      <c r="D68" s="144"/>
      <c r="E68" s="144"/>
      <c r="F68" s="154"/>
      <c r="G68" s="152"/>
      <c r="H68" s="153"/>
    </row>
    <row r="69" spans="1:17" ht="17.399999999999999" customHeight="1">
      <c r="A69" s="27" t="s">
        <v>86</v>
      </c>
      <c r="B69" s="110"/>
      <c r="C69" s="113">
        <v>37559.1</v>
      </c>
      <c r="D69" s="144"/>
      <c r="E69" s="144"/>
      <c r="F69" s="155"/>
      <c r="G69" s="156"/>
      <c r="H69" s="157"/>
    </row>
    <row r="70" spans="1:17" ht="41.4" customHeight="1">
      <c r="A70" s="2" t="s">
        <v>87</v>
      </c>
      <c r="B70" s="56"/>
      <c r="C70" s="106">
        <v>43475.56</v>
      </c>
      <c r="D70" s="106" t="s">
        <v>100</v>
      </c>
      <c r="E70" s="249" t="s">
        <v>101</v>
      </c>
      <c r="F70" s="8" t="s">
        <v>228</v>
      </c>
      <c r="G70" s="8" t="s">
        <v>81</v>
      </c>
      <c r="H70" s="8" t="s">
        <v>82</v>
      </c>
      <c r="I70" s="8" t="s">
        <v>229</v>
      </c>
      <c r="J70" s="8" t="s">
        <v>302</v>
      </c>
      <c r="K70" s="8" t="s">
        <v>303</v>
      </c>
      <c r="L70" s="8" t="s">
        <v>304</v>
      </c>
      <c r="M70" s="8" t="s">
        <v>305</v>
      </c>
      <c r="N70" s="8" t="s">
        <v>306</v>
      </c>
      <c r="O70" s="8" t="s">
        <v>200</v>
      </c>
      <c r="P70" s="8" t="s">
        <v>234</v>
      </c>
      <c r="Q70" s="8" t="s">
        <v>1</v>
      </c>
    </row>
    <row r="71" spans="1:17">
      <c r="A71" s="2" t="s">
        <v>88</v>
      </c>
      <c r="B71" s="56"/>
      <c r="C71" s="106">
        <v>89842.47</v>
      </c>
      <c r="D71" s="106"/>
      <c r="E71" s="106"/>
      <c r="F71" s="140">
        <f>C71-(I71+G71+H71)</f>
        <v>85670.25</v>
      </c>
      <c r="G71" s="140">
        <v>174.68</v>
      </c>
      <c r="H71" s="140">
        <v>971.89</v>
      </c>
      <c r="I71" s="140">
        <v>3025.65</v>
      </c>
      <c r="J71" s="56"/>
    </row>
    <row r="72" spans="1:17">
      <c r="A72" s="2" t="s">
        <v>89</v>
      </c>
      <c r="B72" s="56"/>
      <c r="C72" s="106">
        <v>77438.75</v>
      </c>
      <c r="D72" s="106"/>
      <c r="E72" s="106"/>
      <c r="F72" s="140">
        <f>C72-(I72+G72+H72)</f>
        <v>74012.649999999994</v>
      </c>
      <c r="G72" s="140">
        <v>421.45</v>
      </c>
      <c r="H72" s="140">
        <v>171.72</v>
      </c>
      <c r="I72" s="140">
        <v>2832.93</v>
      </c>
      <c r="J72" s="56"/>
    </row>
    <row r="73" spans="1:17">
      <c r="A73" s="2" t="s">
        <v>90</v>
      </c>
      <c r="B73" s="56"/>
      <c r="C73" s="106">
        <v>39667.86</v>
      </c>
      <c r="D73" s="106"/>
      <c r="E73" s="106"/>
      <c r="F73" s="56"/>
      <c r="G73" s="56"/>
      <c r="H73" s="56"/>
      <c r="I73" s="56"/>
      <c r="J73" s="56"/>
    </row>
    <row r="74" spans="1:17">
      <c r="A74" s="2" t="s">
        <v>93</v>
      </c>
      <c r="B74" s="56"/>
      <c r="C74" s="142">
        <v>44859.21</v>
      </c>
      <c r="D74" s="142"/>
      <c r="E74" s="142"/>
      <c r="F74" s="106">
        <v>41435.410000000003</v>
      </c>
      <c r="G74" s="140">
        <v>210.42</v>
      </c>
      <c r="H74" s="140">
        <v>346.95</v>
      </c>
      <c r="I74" s="140">
        <v>2866.43</v>
      </c>
      <c r="J74" s="143">
        <v>2750.28</v>
      </c>
      <c r="K74" s="13"/>
      <c r="L74" s="13"/>
      <c r="M74" s="13"/>
      <c r="N74" s="13"/>
      <c r="O74" s="13"/>
    </row>
    <row r="75" spans="1:17">
      <c r="A75" s="2" t="s">
        <v>94</v>
      </c>
      <c r="B75" s="56"/>
      <c r="C75" s="140">
        <v>44159.58</v>
      </c>
      <c r="D75" s="140"/>
      <c r="E75" s="140"/>
      <c r="F75" s="140">
        <v>41486.14</v>
      </c>
      <c r="G75" s="140">
        <v>380.65</v>
      </c>
      <c r="H75" s="140">
        <v>43.38</v>
      </c>
      <c r="I75" s="140">
        <v>2249.41</v>
      </c>
      <c r="J75" s="56"/>
    </row>
    <row r="76" spans="1:17">
      <c r="A76" s="2" t="s">
        <v>95</v>
      </c>
      <c r="B76" s="56"/>
      <c r="C76" s="140">
        <v>41432.639999999999</v>
      </c>
      <c r="D76" s="140"/>
      <c r="E76" s="140"/>
      <c r="F76" s="140">
        <v>38186.99</v>
      </c>
      <c r="G76" s="140">
        <v>362.55</v>
      </c>
      <c r="H76" s="140">
        <v>433.19</v>
      </c>
      <c r="I76" s="140">
        <v>2449.91</v>
      </c>
      <c r="J76" s="56"/>
    </row>
    <row r="77" spans="1:17">
      <c r="A77" s="2" t="s">
        <v>96</v>
      </c>
      <c r="B77" s="56"/>
      <c r="C77" s="142">
        <v>42408.88</v>
      </c>
      <c r="D77" s="142"/>
      <c r="E77" s="142"/>
      <c r="F77" s="106">
        <v>39376.720000000001</v>
      </c>
      <c r="G77" s="106">
        <v>240.13</v>
      </c>
      <c r="H77" s="106">
        <v>186.2</v>
      </c>
      <c r="I77" s="106">
        <v>2605.83</v>
      </c>
      <c r="J77" s="56"/>
    </row>
    <row r="78" spans="1:17">
      <c r="A78" s="2" t="s">
        <v>97</v>
      </c>
      <c r="B78" s="56"/>
      <c r="C78" s="142">
        <v>38328.99</v>
      </c>
      <c r="D78" s="142"/>
      <c r="E78" s="142"/>
      <c r="F78" s="106">
        <v>36670.19</v>
      </c>
      <c r="G78" s="106">
        <v>169.34</v>
      </c>
      <c r="H78" s="106">
        <v>37.47</v>
      </c>
      <c r="I78" s="106">
        <v>1451.99</v>
      </c>
      <c r="J78" s="56"/>
    </row>
    <row r="79" spans="1:17">
      <c r="A79" s="2" t="s">
        <v>98</v>
      </c>
      <c r="B79" s="109"/>
      <c r="C79" s="142">
        <v>55100.66</v>
      </c>
      <c r="D79" s="142"/>
      <c r="E79" s="142"/>
      <c r="F79" s="106">
        <v>51373.3</v>
      </c>
      <c r="G79" s="106">
        <v>344.81</v>
      </c>
      <c r="H79" s="106">
        <v>76.09</v>
      </c>
      <c r="I79" s="106">
        <v>3306.46</v>
      </c>
      <c r="J79" s="56"/>
    </row>
    <row r="80" spans="1:17">
      <c r="A80" s="27" t="s">
        <v>99</v>
      </c>
      <c r="B80" s="110"/>
      <c r="C80" s="175">
        <v>38257.93</v>
      </c>
      <c r="D80" s="175"/>
      <c r="E80" s="175"/>
      <c r="F80" s="113">
        <v>35952.519999999997</v>
      </c>
      <c r="G80" s="113">
        <v>274.02999999999997</v>
      </c>
      <c r="H80" s="113">
        <v>23.38</v>
      </c>
      <c r="I80" s="113">
        <v>2008</v>
      </c>
      <c r="J80" s="55"/>
    </row>
    <row r="81" spans="1:17">
      <c r="A81" s="179" t="s">
        <v>108</v>
      </c>
      <c r="B81" s="190"/>
      <c r="C81" s="180">
        <v>43531.99</v>
      </c>
      <c r="D81" s="180"/>
      <c r="E81" s="180"/>
      <c r="F81" s="187">
        <v>39887.699999999997</v>
      </c>
      <c r="G81" s="187">
        <v>219.35</v>
      </c>
      <c r="H81" s="187">
        <v>234.34</v>
      </c>
      <c r="I81" s="187">
        <v>3190.6</v>
      </c>
      <c r="J81" s="173"/>
      <c r="K81" s="173"/>
      <c r="L81" s="173"/>
      <c r="M81" s="173"/>
      <c r="N81" s="173"/>
      <c r="O81" s="173"/>
      <c r="P81" s="173"/>
      <c r="Q81" s="173"/>
    </row>
    <row r="82" spans="1:17">
      <c r="A82" s="179" t="s">
        <v>109</v>
      </c>
      <c r="B82" s="190"/>
      <c r="C82" s="180">
        <v>59192.5</v>
      </c>
      <c r="D82" s="180"/>
      <c r="E82" s="180"/>
      <c r="F82" s="187">
        <v>56306.62</v>
      </c>
      <c r="G82" s="187">
        <v>306.77</v>
      </c>
      <c r="H82" s="173">
        <v>110.65</v>
      </c>
      <c r="I82" s="187">
        <v>2509.9299999999998</v>
      </c>
      <c r="J82" s="188">
        <v>2617.5100000000002</v>
      </c>
      <c r="K82" s="192">
        <v>149.05000000000001</v>
      </c>
      <c r="L82" s="192"/>
      <c r="M82" s="192"/>
      <c r="N82" s="192"/>
      <c r="O82" s="192"/>
      <c r="P82" s="173">
        <f t="shared" ref="P82:P92" si="0">(J82-K82)</f>
        <v>2468.46</v>
      </c>
      <c r="Q82" s="173">
        <f t="shared" ref="Q82:Q113" si="1">SUM(F82,G82,H82,P82)</f>
        <v>59192.5</v>
      </c>
    </row>
    <row r="83" spans="1:17">
      <c r="A83" s="179" t="s">
        <v>110</v>
      </c>
      <c r="B83" s="190"/>
      <c r="C83" s="180">
        <v>56656.530000000013</v>
      </c>
      <c r="D83" s="180"/>
      <c r="E83" s="180"/>
      <c r="F83" s="187">
        <v>52209.01</v>
      </c>
      <c r="G83" s="187">
        <v>254.79</v>
      </c>
      <c r="H83" s="187">
        <v>80.97</v>
      </c>
      <c r="I83" s="187">
        <v>4481.3100000000004</v>
      </c>
      <c r="J83" s="188">
        <v>4427.92</v>
      </c>
      <c r="K83" s="192">
        <v>316.16000000000003</v>
      </c>
      <c r="L83" s="192"/>
      <c r="M83" s="192"/>
      <c r="N83" s="192"/>
      <c r="O83" s="192"/>
      <c r="P83" s="173">
        <f t="shared" si="0"/>
        <v>4111.76</v>
      </c>
      <c r="Q83" s="173">
        <f t="shared" si="1"/>
        <v>56656.530000000006</v>
      </c>
    </row>
    <row r="84" spans="1:17">
      <c r="A84" s="173" t="s">
        <v>111</v>
      </c>
      <c r="B84" s="190"/>
      <c r="C84" s="180">
        <v>70466.62</v>
      </c>
      <c r="D84" s="180"/>
      <c r="E84" s="180"/>
      <c r="F84" s="106">
        <v>65804.91</v>
      </c>
      <c r="G84" s="106">
        <v>260.58999999999997</v>
      </c>
      <c r="H84" s="106">
        <v>116.93</v>
      </c>
      <c r="I84" s="106">
        <v>3929.61</v>
      </c>
      <c r="J84" s="143">
        <v>4284.1899999999996</v>
      </c>
      <c r="K84" s="173">
        <v>0</v>
      </c>
      <c r="L84" s="173"/>
      <c r="M84" s="173"/>
      <c r="N84" s="173"/>
      <c r="O84" s="173"/>
      <c r="P84" s="173">
        <f t="shared" si="0"/>
        <v>4284.1899999999996</v>
      </c>
      <c r="Q84" s="173">
        <f t="shared" si="1"/>
        <v>70466.62</v>
      </c>
    </row>
    <row r="85" spans="1:17">
      <c r="A85" s="173" t="s">
        <v>112</v>
      </c>
      <c r="B85" s="190"/>
      <c r="C85" s="180">
        <v>65442.42</v>
      </c>
      <c r="D85" s="180"/>
      <c r="E85" s="180"/>
      <c r="F85" s="106">
        <v>61646.29</v>
      </c>
      <c r="G85" s="106">
        <v>89.75</v>
      </c>
      <c r="H85" s="106">
        <v>283.22000000000003</v>
      </c>
      <c r="I85" s="106">
        <v>3465.36</v>
      </c>
      <c r="J85" s="143">
        <v>3423.16</v>
      </c>
      <c r="K85" s="173">
        <v>0</v>
      </c>
      <c r="L85" s="173"/>
      <c r="M85" s="173"/>
      <c r="N85" s="173"/>
      <c r="O85" s="173"/>
      <c r="P85" s="173">
        <f t="shared" si="0"/>
        <v>3423.16</v>
      </c>
      <c r="Q85" s="173">
        <f t="shared" si="1"/>
        <v>65442.42</v>
      </c>
    </row>
    <row r="86" spans="1:17">
      <c r="A86" s="173" t="s">
        <v>113</v>
      </c>
      <c r="B86" s="190"/>
      <c r="C86" s="180">
        <v>56383.64</v>
      </c>
      <c r="D86" s="180"/>
      <c r="E86" s="180"/>
      <c r="F86" s="106">
        <v>52694.01</v>
      </c>
      <c r="G86" s="106">
        <v>329.73</v>
      </c>
      <c r="H86" s="106">
        <v>251.06</v>
      </c>
      <c r="I86" s="106">
        <v>3494.58</v>
      </c>
      <c r="J86" s="143">
        <v>3380.84</v>
      </c>
      <c r="K86" s="145">
        <v>272</v>
      </c>
      <c r="L86" s="145"/>
      <c r="M86" s="145"/>
      <c r="N86" s="145"/>
      <c r="O86" s="145"/>
      <c r="P86" s="173">
        <f t="shared" si="0"/>
        <v>3108.84</v>
      </c>
      <c r="Q86" s="173">
        <f t="shared" si="1"/>
        <v>56383.64</v>
      </c>
    </row>
    <row r="87" spans="1:17">
      <c r="A87" s="173" t="s">
        <v>114</v>
      </c>
      <c r="B87" s="190"/>
      <c r="C87" s="180">
        <v>72066.399999999994</v>
      </c>
      <c r="D87" s="180"/>
      <c r="E87" s="180"/>
      <c r="F87" s="106">
        <v>67953.78</v>
      </c>
      <c r="G87" s="106">
        <v>287.06</v>
      </c>
      <c r="H87" s="106">
        <v>521.5</v>
      </c>
      <c r="I87" s="106">
        <v>3469.83</v>
      </c>
      <c r="J87" s="143">
        <v>3484.22</v>
      </c>
      <c r="K87" s="145">
        <v>180.16</v>
      </c>
      <c r="L87" s="145"/>
      <c r="M87" s="145"/>
      <c r="N87" s="145"/>
      <c r="O87" s="145"/>
      <c r="P87" s="173">
        <f t="shared" si="0"/>
        <v>3304.06</v>
      </c>
      <c r="Q87" s="173">
        <f t="shared" si="1"/>
        <v>72066.399999999994</v>
      </c>
    </row>
    <row r="88" spans="1:17">
      <c r="A88" s="173" t="s">
        <v>115</v>
      </c>
      <c r="B88" s="190"/>
      <c r="C88" s="142">
        <v>55031.27</v>
      </c>
      <c r="D88" s="142"/>
      <c r="E88" s="142"/>
      <c r="F88" s="106">
        <v>51573.96</v>
      </c>
      <c r="G88" s="106">
        <v>189.97</v>
      </c>
      <c r="H88" s="106">
        <v>277.58999999999997</v>
      </c>
      <c r="I88" s="106">
        <v>2967.88</v>
      </c>
      <c r="J88" s="143">
        <v>3105.9</v>
      </c>
      <c r="K88" s="145">
        <v>116.15</v>
      </c>
      <c r="L88" s="145"/>
      <c r="M88" s="145"/>
      <c r="N88" s="145"/>
      <c r="O88" s="145"/>
      <c r="P88" s="173">
        <f t="shared" si="0"/>
        <v>2989.75</v>
      </c>
      <c r="Q88" s="173">
        <f t="shared" si="1"/>
        <v>55031.27</v>
      </c>
    </row>
    <row r="89" spans="1:17">
      <c r="A89" s="173" t="s">
        <v>116</v>
      </c>
      <c r="B89" s="190"/>
      <c r="C89" s="180">
        <v>54863.13</v>
      </c>
      <c r="D89" s="180"/>
      <c r="E89" s="180"/>
      <c r="F89" s="106">
        <v>51416.75</v>
      </c>
      <c r="G89" s="106">
        <v>107.43</v>
      </c>
      <c r="H89" s="106">
        <v>341.33</v>
      </c>
      <c r="I89" s="106">
        <v>3043.92</v>
      </c>
      <c r="J89" s="143">
        <v>3050.42</v>
      </c>
      <c r="K89" s="145">
        <v>52.8</v>
      </c>
      <c r="L89" s="145"/>
      <c r="M89" s="145"/>
      <c r="N89" s="145"/>
      <c r="O89" s="145"/>
      <c r="P89" s="173">
        <f t="shared" si="0"/>
        <v>2997.62</v>
      </c>
      <c r="Q89" s="173">
        <f t="shared" si="1"/>
        <v>54863.130000000005</v>
      </c>
    </row>
    <row r="90" spans="1:17">
      <c r="A90" s="173" t="s">
        <v>117</v>
      </c>
      <c r="B90" s="190"/>
      <c r="C90" s="180">
        <v>58615.74</v>
      </c>
      <c r="D90" s="180"/>
      <c r="E90" s="142">
        <v>58655.27</v>
      </c>
      <c r="F90" s="106">
        <v>55827.69</v>
      </c>
      <c r="G90" s="106">
        <v>317.86</v>
      </c>
      <c r="H90" s="106">
        <v>130.13</v>
      </c>
      <c r="I90" s="106">
        <v>2379.59</v>
      </c>
      <c r="J90" s="143">
        <v>2340.06</v>
      </c>
      <c r="K90" s="145">
        <v>0</v>
      </c>
      <c r="L90" s="145"/>
      <c r="M90" s="145"/>
      <c r="N90" s="145"/>
      <c r="O90" s="145"/>
      <c r="P90" s="173">
        <f t="shared" si="0"/>
        <v>2340.06</v>
      </c>
      <c r="Q90" s="173">
        <f t="shared" si="1"/>
        <v>58615.74</v>
      </c>
    </row>
    <row r="91" spans="1:17">
      <c r="A91" s="173" t="s">
        <v>118</v>
      </c>
      <c r="B91" s="190"/>
      <c r="C91" s="180">
        <v>64103.37</v>
      </c>
      <c r="D91" s="180"/>
      <c r="E91" s="142">
        <v>64319.69</v>
      </c>
      <c r="F91" s="106">
        <v>61079.040000000001</v>
      </c>
      <c r="G91" s="106">
        <v>296.89999999999998</v>
      </c>
      <c r="H91" s="106">
        <v>15.7</v>
      </c>
      <c r="I91" s="106">
        <v>2928.05</v>
      </c>
      <c r="J91" s="143">
        <v>2711.73</v>
      </c>
      <c r="K91" s="145">
        <v>0</v>
      </c>
      <c r="L91" s="145"/>
      <c r="M91" s="145"/>
      <c r="N91" s="145"/>
      <c r="O91" s="145"/>
      <c r="P91" s="173">
        <f t="shared" si="0"/>
        <v>2711.73</v>
      </c>
      <c r="Q91" s="173">
        <f t="shared" si="1"/>
        <v>64103.37</v>
      </c>
    </row>
    <row r="92" spans="1:17">
      <c r="A92" s="173" t="s">
        <v>119</v>
      </c>
      <c r="B92" s="190"/>
      <c r="C92" s="180">
        <v>66835.929999999993</v>
      </c>
      <c r="D92" s="180"/>
      <c r="E92" s="142">
        <v>66620.850000000006</v>
      </c>
      <c r="F92" s="106">
        <v>63351.22</v>
      </c>
      <c r="G92" s="106">
        <v>509.1</v>
      </c>
      <c r="H92" s="106">
        <v>149.31</v>
      </c>
      <c r="I92" s="106">
        <v>2611.2199999999998</v>
      </c>
      <c r="J92" s="145">
        <v>2826.3</v>
      </c>
      <c r="K92" s="145">
        <v>0</v>
      </c>
      <c r="L92" s="145"/>
      <c r="M92" s="145"/>
      <c r="N92" s="145"/>
      <c r="O92" s="145"/>
      <c r="P92" s="173">
        <f t="shared" si="0"/>
        <v>2826.3</v>
      </c>
      <c r="Q92" s="173">
        <f t="shared" si="1"/>
        <v>66835.929999999993</v>
      </c>
    </row>
    <row r="93" spans="1:17">
      <c r="A93" s="173" t="s">
        <v>120</v>
      </c>
      <c r="B93" s="190"/>
      <c r="C93" s="180">
        <v>63466.7</v>
      </c>
      <c r="D93" s="180"/>
      <c r="E93" s="142">
        <v>63478.080000000002</v>
      </c>
      <c r="F93" s="106">
        <v>60452.9</v>
      </c>
      <c r="G93" s="106">
        <v>279.82</v>
      </c>
      <c r="H93" s="106">
        <v>252.03</v>
      </c>
      <c r="I93" s="106">
        <v>2493.33</v>
      </c>
      <c r="J93" s="143">
        <v>2465.75</v>
      </c>
      <c r="K93" s="145">
        <v>0</v>
      </c>
      <c r="L93" s="143">
        <v>16.2</v>
      </c>
      <c r="M93" s="145">
        <v>0</v>
      </c>
      <c r="N93" s="145">
        <v>0</v>
      </c>
      <c r="O93" s="145">
        <v>0</v>
      </c>
      <c r="P93" s="173">
        <f>(J93-K93)+(L93-M93)</f>
        <v>2481.9499999999998</v>
      </c>
      <c r="Q93" s="173">
        <f t="shared" si="1"/>
        <v>63466.7</v>
      </c>
    </row>
    <row r="94" spans="1:17">
      <c r="A94" s="187" t="s">
        <v>121</v>
      </c>
      <c r="B94" s="191"/>
      <c r="C94" s="180">
        <v>74504.600000000006</v>
      </c>
      <c r="D94" s="180"/>
      <c r="E94" s="142">
        <v>74512.66</v>
      </c>
      <c r="F94" s="106">
        <v>70969.240000000005</v>
      </c>
      <c r="G94" s="106">
        <v>655.6</v>
      </c>
      <c r="H94" s="11">
        <v>0</v>
      </c>
      <c r="I94" s="106">
        <v>2887.82</v>
      </c>
      <c r="J94" s="221">
        <v>2829.42</v>
      </c>
      <c r="K94" s="221">
        <v>0</v>
      </c>
      <c r="L94" s="143">
        <v>50.34</v>
      </c>
      <c r="M94" s="221">
        <v>0</v>
      </c>
      <c r="N94" s="221">
        <v>0</v>
      </c>
      <c r="O94" s="221">
        <v>0</v>
      </c>
      <c r="P94" s="187">
        <f>(J94-K94)+(L94-M94)</f>
        <v>2879.76</v>
      </c>
      <c r="Q94" s="187">
        <f t="shared" si="1"/>
        <v>74504.600000000006</v>
      </c>
    </row>
    <row r="95" spans="1:17">
      <c r="A95" s="187" t="s">
        <v>122</v>
      </c>
      <c r="B95" s="191"/>
      <c r="C95" s="187">
        <v>68465.64</v>
      </c>
      <c r="D95" s="187"/>
      <c r="E95" s="142">
        <v>68484.61</v>
      </c>
      <c r="F95" s="106">
        <v>64870.47</v>
      </c>
      <c r="G95" s="106">
        <v>295.88</v>
      </c>
      <c r="H95" s="11">
        <v>0</v>
      </c>
      <c r="I95" s="106">
        <v>3318.26</v>
      </c>
      <c r="J95" s="143">
        <v>3299.29</v>
      </c>
      <c r="K95" s="187">
        <v>0</v>
      </c>
      <c r="L95" s="187">
        <v>0</v>
      </c>
      <c r="M95" s="187">
        <v>0</v>
      </c>
      <c r="N95" s="187">
        <v>0</v>
      </c>
      <c r="O95" s="187">
        <v>0</v>
      </c>
      <c r="P95" s="187">
        <f>(J95-K95)+(L95-M95)</f>
        <v>3299.29</v>
      </c>
      <c r="Q95" s="187">
        <f t="shared" si="1"/>
        <v>68465.64</v>
      </c>
    </row>
    <row r="96" spans="1:17">
      <c r="A96" s="187" t="s">
        <v>123</v>
      </c>
      <c r="B96" s="191"/>
      <c r="C96" s="187">
        <v>64651.960000000006</v>
      </c>
      <c r="D96" s="187"/>
      <c r="E96" s="142">
        <v>64628.14</v>
      </c>
      <c r="F96" s="106">
        <v>62071.43</v>
      </c>
      <c r="G96" s="106">
        <v>308.12</v>
      </c>
      <c r="H96" s="11">
        <v>0</v>
      </c>
      <c r="I96" s="106">
        <v>2248.59</v>
      </c>
      <c r="J96" s="143">
        <v>2256.8200000000002</v>
      </c>
      <c r="K96" s="187">
        <v>0</v>
      </c>
      <c r="L96" s="187">
        <v>0</v>
      </c>
      <c r="M96" s="187">
        <v>0</v>
      </c>
      <c r="N96" s="143">
        <v>15.59</v>
      </c>
      <c r="O96" s="187">
        <v>0</v>
      </c>
      <c r="P96" s="187">
        <f t="shared" ref="P96:P145" si="2">(J96-K96)+(L96-M96)+(N96-O96)</f>
        <v>2272.4100000000003</v>
      </c>
      <c r="Q96" s="187">
        <f t="shared" si="1"/>
        <v>64651.960000000006</v>
      </c>
    </row>
    <row r="97" spans="1:17">
      <c r="A97" s="187" t="s">
        <v>124</v>
      </c>
      <c r="B97" s="191"/>
      <c r="C97" s="187">
        <v>64214.65</v>
      </c>
      <c r="D97" s="187"/>
      <c r="E97" s="142">
        <v>64145.69</v>
      </c>
      <c r="F97" s="106">
        <v>61398.03</v>
      </c>
      <c r="G97" s="106">
        <v>206.83</v>
      </c>
      <c r="H97" s="11">
        <v>0</v>
      </c>
      <c r="I97" s="106">
        <v>2540.83</v>
      </c>
      <c r="J97" s="143">
        <v>2544.13</v>
      </c>
      <c r="K97" s="187">
        <v>0</v>
      </c>
      <c r="L97" s="143">
        <v>65.66</v>
      </c>
      <c r="M97" s="187">
        <v>0</v>
      </c>
      <c r="N97" s="187">
        <v>0</v>
      </c>
      <c r="O97" s="187">
        <v>0</v>
      </c>
      <c r="P97" s="187">
        <f t="shared" si="2"/>
        <v>2609.79</v>
      </c>
      <c r="Q97" s="187">
        <f t="shared" si="1"/>
        <v>64214.65</v>
      </c>
    </row>
    <row r="98" spans="1:17">
      <c r="A98" s="187" t="s">
        <v>125</v>
      </c>
      <c r="B98" s="191"/>
      <c r="C98" s="187">
        <v>85251.13</v>
      </c>
      <c r="D98" s="187"/>
      <c r="E98" s="142">
        <v>85140.47</v>
      </c>
      <c r="F98" s="106">
        <v>81944.22</v>
      </c>
      <c r="G98" s="106">
        <v>486.19</v>
      </c>
      <c r="H98" s="106">
        <v>33.58</v>
      </c>
      <c r="I98" s="106">
        <v>2676.48</v>
      </c>
      <c r="J98" s="143">
        <v>2787.14</v>
      </c>
      <c r="K98" s="187">
        <v>0</v>
      </c>
      <c r="L98" s="187">
        <v>0</v>
      </c>
      <c r="M98" s="187">
        <v>0</v>
      </c>
      <c r="N98" s="187">
        <v>0</v>
      </c>
      <c r="O98" s="187">
        <v>0</v>
      </c>
      <c r="P98" s="187">
        <f t="shared" si="2"/>
        <v>2787.14</v>
      </c>
      <c r="Q98" s="187">
        <f t="shared" si="1"/>
        <v>85251.13</v>
      </c>
    </row>
    <row r="99" spans="1:17">
      <c r="A99" s="187" t="s">
        <v>126</v>
      </c>
      <c r="B99" s="191"/>
      <c r="C99" s="187">
        <v>71226.329999999987</v>
      </c>
      <c r="D99" s="187"/>
      <c r="E99" s="142">
        <v>71205.289999999994</v>
      </c>
      <c r="F99" s="106">
        <v>67920.92</v>
      </c>
      <c r="G99" s="106">
        <v>392.79</v>
      </c>
      <c r="H99" s="106">
        <v>187.36</v>
      </c>
      <c r="I99" s="106">
        <v>2704.22</v>
      </c>
      <c r="J99" s="143">
        <v>2725.26</v>
      </c>
      <c r="K99" s="187">
        <v>0</v>
      </c>
      <c r="L99" s="187">
        <v>0</v>
      </c>
      <c r="M99" s="187">
        <v>0</v>
      </c>
      <c r="N99" s="187">
        <v>0</v>
      </c>
      <c r="O99" s="187">
        <v>0</v>
      </c>
      <c r="P99" s="187">
        <f t="shared" si="2"/>
        <v>2725.26</v>
      </c>
      <c r="Q99" s="187">
        <f t="shared" si="1"/>
        <v>71226.329999999987</v>
      </c>
    </row>
    <row r="100" spans="1:17">
      <c r="A100" s="187" t="s">
        <v>127</v>
      </c>
      <c r="B100" s="191"/>
      <c r="C100" s="187">
        <v>73279.98</v>
      </c>
      <c r="D100" s="293">
        <v>2035</v>
      </c>
      <c r="E100" s="142">
        <v>72922.740000000005</v>
      </c>
      <c r="F100" s="106">
        <v>70067.34</v>
      </c>
      <c r="G100" s="106">
        <v>244.37</v>
      </c>
      <c r="H100" s="106">
        <v>171.17</v>
      </c>
      <c r="I100" s="106">
        <v>2439.86</v>
      </c>
      <c r="J100" s="143">
        <v>2797.1</v>
      </c>
      <c r="K100" s="187">
        <v>0</v>
      </c>
      <c r="L100" s="187">
        <v>0</v>
      </c>
      <c r="M100" s="187">
        <v>0</v>
      </c>
      <c r="N100" s="187">
        <v>0</v>
      </c>
      <c r="O100" s="187">
        <v>0</v>
      </c>
      <c r="P100" s="187">
        <f t="shared" si="2"/>
        <v>2797.1</v>
      </c>
      <c r="Q100" s="187">
        <f t="shared" si="1"/>
        <v>73279.98</v>
      </c>
    </row>
    <row r="101" spans="1:17">
      <c r="A101" s="187" t="s">
        <v>128</v>
      </c>
      <c r="B101" s="191"/>
      <c r="C101" s="187">
        <v>69592.61</v>
      </c>
      <c r="D101" s="293">
        <v>1955</v>
      </c>
      <c r="E101" s="142">
        <v>70061.5</v>
      </c>
      <c r="F101" s="106">
        <v>65896.94</v>
      </c>
      <c r="G101" s="106">
        <v>423.69</v>
      </c>
      <c r="H101" s="106">
        <v>224.76</v>
      </c>
      <c r="I101" s="106">
        <v>3516.11</v>
      </c>
      <c r="J101" s="292">
        <v>3031.33</v>
      </c>
      <c r="K101" s="187">
        <v>0</v>
      </c>
      <c r="L101" s="292">
        <v>15.89</v>
      </c>
      <c r="M101" s="187">
        <v>0</v>
      </c>
      <c r="N101" s="187">
        <v>0</v>
      </c>
      <c r="O101" s="187">
        <v>0</v>
      </c>
      <c r="P101" s="187">
        <f t="shared" si="2"/>
        <v>3047.22</v>
      </c>
      <c r="Q101" s="187">
        <f t="shared" si="1"/>
        <v>69592.61</v>
      </c>
    </row>
    <row r="102" spans="1:17">
      <c r="A102" s="187" t="s">
        <v>129</v>
      </c>
      <c r="B102" s="191"/>
      <c r="C102" s="187">
        <v>76659.06</v>
      </c>
      <c r="D102" s="293">
        <v>2014</v>
      </c>
      <c r="E102" s="142">
        <v>76082.34</v>
      </c>
      <c r="F102" s="106">
        <v>74236.59</v>
      </c>
      <c r="G102" s="106">
        <v>40.5</v>
      </c>
      <c r="H102" s="106">
        <v>181.83</v>
      </c>
      <c r="I102" s="106">
        <v>1623.42</v>
      </c>
      <c r="J102" s="143">
        <v>2200.14</v>
      </c>
      <c r="K102" s="187">
        <v>0</v>
      </c>
      <c r="L102" s="187">
        <v>0</v>
      </c>
      <c r="M102" s="187">
        <v>0</v>
      </c>
      <c r="N102" s="187">
        <v>0</v>
      </c>
      <c r="O102" s="187">
        <v>0</v>
      </c>
      <c r="P102" s="187">
        <f t="shared" si="2"/>
        <v>2200.14</v>
      </c>
      <c r="Q102" s="187">
        <f t="shared" si="1"/>
        <v>76659.06</v>
      </c>
    </row>
    <row r="103" spans="1:17">
      <c r="A103" s="187" t="s">
        <v>130</v>
      </c>
      <c r="B103" s="191"/>
      <c r="C103" s="187">
        <v>69552.59</v>
      </c>
      <c r="D103" s="293">
        <v>1979</v>
      </c>
      <c r="E103" s="142">
        <v>69742.44</v>
      </c>
      <c r="F103" s="106">
        <v>66070.17</v>
      </c>
      <c r="G103" s="106">
        <v>110.54</v>
      </c>
      <c r="H103" s="106">
        <v>192.77</v>
      </c>
      <c r="I103" s="106">
        <v>3368.96</v>
      </c>
      <c r="J103" s="143">
        <v>3179.11</v>
      </c>
      <c r="K103" s="187">
        <v>0</v>
      </c>
      <c r="L103" s="187">
        <v>0</v>
      </c>
      <c r="M103" s="187">
        <v>0</v>
      </c>
      <c r="N103" s="187">
        <v>0</v>
      </c>
      <c r="O103" s="187">
        <v>0</v>
      </c>
      <c r="P103" s="187">
        <f t="shared" si="2"/>
        <v>3179.11</v>
      </c>
      <c r="Q103" s="187">
        <f t="shared" si="1"/>
        <v>69552.59</v>
      </c>
    </row>
    <row r="104" spans="1:17">
      <c r="A104" s="187" t="s">
        <v>131</v>
      </c>
      <c r="B104" s="191"/>
      <c r="C104" s="187">
        <v>70303.489999999991</v>
      </c>
      <c r="D104" s="293">
        <v>2181</v>
      </c>
      <c r="E104" s="142">
        <v>70565.179999999993</v>
      </c>
      <c r="F104" s="106">
        <v>66906.03</v>
      </c>
      <c r="G104" s="106">
        <v>294.62</v>
      </c>
      <c r="H104" s="106">
        <v>363.03</v>
      </c>
      <c r="I104" s="106">
        <v>3001.5</v>
      </c>
      <c r="J104" s="143">
        <v>2739.81</v>
      </c>
      <c r="K104" s="187">
        <v>0</v>
      </c>
      <c r="L104" s="187">
        <v>0</v>
      </c>
      <c r="M104" s="187">
        <v>0</v>
      </c>
      <c r="N104" s="187">
        <v>0</v>
      </c>
      <c r="O104" s="187">
        <v>0</v>
      </c>
      <c r="P104" s="187">
        <f t="shared" si="2"/>
        <v>2739.81</v>
      </c>
      <c r="Q104" s="187">
        <f t="shared" si="1"/>
        <v>70303.489999999991</v>
      </c>
    </row>
    <row r="105" spans="1:17">
      <c r="A105" s="187" t="s">
        <v>132</v>
      </c>
      <c r="B105" s="191"/>
      <c r="C105" s="187">
        <v>67644.62</v>
      </c>
      <c r="D105" s="293">
        <v>2225</v>
      </c>
      <c r="E105" s="142">
        <v>67396.759999999995</v>
      </c>
      <c r="F105" s="106">
        <v>64676.56</v>
      </c>
      <c r="G105" s="106">
        <v>142.19999999999999</v>
      </c>
      <c r="H105" s="106">
        <v>215.16</v>
      </c>
      <c r="I105" s="106">
        <v>2362.84</v>
      </c>
      <c r="J105" s="143">
        <v>2593.35</v>
      </c>
      <c r="K105" s="187">
        <v>0</v>
      </c>
      <c r="L105" s="187">
        <v>0</v>
      </c>
      <c r="M105" s="187">
        <v>0</v>
      </c>
      <c r="N105" s="143">
        <v>22.78</v>
      </c>
      <c r="O105" s="145">
        <v>5.43</v>
      </c>
      <c r="P105" s="187">
        <f t="shared" si="2"/>
        <v>2610.6999999999998</v>
      </c>
      <c r="Q105" s="187">
        <f t="shared" si="1"/>
        <v>67644.62</v>
      </c>
    </row>
    <row r="106" spans="1:17">
      <c r="A106" s="187" t="s">
        <v>133</v>
      </c>
      <c r="B106" s="191"/>
      <c r="C106" s="187">
        <v>75626.59</v>
      </c>
      <c r="D106" s="293">
        <v>2024</v>
      </c>
      <c r="E106" s="142">
        <v>75977.240000000005</v>
      </c>
      <c r="F106" s="106">
        <v>71910.28</v>
      </c>
      <c r="G106" s="106">
        <v>33.58</v>
      </c>
      <c r="H106" s="106">
        <v>343.55</v>
      </c>
      <c r="I106" s="106">
        <v>3689.83</v>
      </c>
      <c r="J106" s="143">
        <v>3304.7</v>
      </c>
      <c r="K106" s="187">
        <v>0</v>
      </c>
      <c r="L106" s="143">
        <v>34.479999999999997</v>
      </c>
      <c r="M106" s="187">
        <v>0</v>
      </c>
      <c r="N106" s="187">
        <v>0</v>
      </c>
      <c r="O106" s="187">
        <v>0</v>
      </c>
      <c r="P106" s="187">
        <f t="shared" si="2"/>
        <v>3339.18</v>
      </c>
      <c r="Q106" s="187">
        <f t="shared" si="1"/>
        <v>75626.59</v>
      </c>
    </row>
    <row r="107" spans="1:17">
      <c r="A107" s="187" t="s">
        <v>134</v>
      </c>
      <c r="B107" s="191"/>
      <c r="C107" s="187">
        <v>63118.010000000009</v>
      </c>
      <c r="D107" s="293">
        <v>1809</v>
      </c>
      <c r="E107" s="142">
        <v>62792.45</v>
      </c>
      <c r="F107" s="106">
        <v>60151.61</v>
      </c>
      <c r="G107" s="106">
        <v>16.8</v>
      </c>
      <c r="H107" s="106">
        <v>161.69</v>
      </c>
      <c r="I107" s="106">
        <v>2462.35</v>
      </c>
      <c r="J107" s="143">
        <v>2727.4</v>
      </c>
      <c r="K107" s="187">
        <v>0</v>
      </c>
      <c r="L107" s="143">
        <v>35.08</v>
      </c>
      <c r="M107" s="187">
        <v>0</v>
      </c>
      <c r="N107" s="143">
        <v>43.17</v>
      </c>
      <c r="O107" s="145">
        <v>17.739999999999998</v>
      </c>
      <c r="P107" s="187">
        <f t="shared" si="2"/>
        <v>2787.91</v>
      </c>
      <c r="Q107" s="187">
        <f t="shared" si="1"/>
        <v>63118.010000000009</v>
      </c>
    </row>
    <row r="108" spans="1:17">
      <c r="A108" s="187" t="s">
        <v>135</v>
      </c>
      <c r="B108" s="191"/>
      <c r="C108" s="187">
        <v>51481.48</v>
      </c>
      <c r="D108" s="293">
        <v>1521</v>
      </c>
      <c r="E108" s="142">
        <v>51120.24</v>
      </c>
      <c r="F108" s="106">
        <v>48208.76</v>
      </c>
      <c r="G108" s="106">
        <v>45.57</v>
      </c>
      <c r="H108" s="106">
        <v>266.63</v>
      </c>
      <c r="I108" s="106">
        <v>2599.2800000000002</v>
      </c>
      <c r="J108" s="143">
        <v>2883.52</v>
      </c>
      <c r="K108" s="187">
        <v>0</v>
      </c>
      <c r="L108" s="187">
        <v>0</v>
      </c>
      <c r="M108" s="187">
        <v>0</v>
      </c>
      <c r="N108" s="143">
        <v>123.8</v>
      </c>
      <c r="O108" s="145">
        <v>46.8</v>
      </c>
      <c r="P108" s="187">
        <f t="shared" si="2"/>
        <v>2960.52</v>
      </c>
      <c r="Q108" s="187">
        <f t="shared" si="1"/>
        <v>51481.479999999996</v>
      </c>
    </row>
    <row r="109" spans="1:17">
      <c r="A109" s="187" t="s">
        <v>136</v>
      </c>
      <c r="B109" s="191"/>
      <c r="C109" s="187">
        <v>58889.9</v>
      </c>
      <c r="D109" s="293">
        <v>1712</v>
      </c>
      <c r="E109" s="142">
        <v>59019.05</v>
      </c>
      <c r="F109" s="106">
        <v>56012.74</v>
      </c>
      <c r="G109" s="106">
        <v>85.15</v>
      </c>
      <c r="H109" s="106">
        <v>390.12</v>
      </c>
      <c r="I109" s="106">
        <v>2531.04</v>
      </c>
      <c r="J109" s="145">
        <v>2348.13</v>
      </c>
      <c r="K109" s="187">
        <v>0</v>
      </c>
      <c r="L109" s="187">
        <v>0</v>
      </c>
      <c r="M109" s="187">
        <v>0</v>
      </c>
      <c r="N109" s="143">
        <v>88.74</v>
      </c>
      <c r="O109" s="145">
        <v>34.979999999999997</v>
      </c>
      <c r="P109" s="187">
        <f t="shared" si="2"/>
        <v>2401.8900000000003</v>
      </c>
      <c r="Q109" s="187">
        <f t="shared" si="1"/>
        <v>58889.9</v>
      </c>
    </row>
    <row r="110" spans="1:17">
      <c r="A110" s="187" t="s">
        <v>137</v>
      </c>
      <c r="B110" s="191"/>
      <c r="C110" s="187">
        <v>56173.31</v>
      </c>
      <c r="D110" s="293">
        <v>1639</v>
      </c>
      <c r="E110" s="142">
        <v>56118.34</v>
      </c>
      <c r="F110" s="106">
        <v>53314.93</v>
      </c>
      <c r="G110" s="106">
        <v>42.06</v>
      </c>
      <c r="H110" s="106">
        <v>421.98</v>
      </c>
      <c r="I110" s="106">
        <v>2339.37</v>
      </c>
      <c r="J110" s="296">
        <v>2329.5700000000002</v>
      </c>
      <c r="K110" s="187">
        <v>0</v>
      </c>
      <c r="L110" s="187">
        <v>0</v>
      </c>
      <c r="M110" s="187">
        <v>0</v>
      </c>
      <c r="N110" s="296">
        <v>81.540000000000006</v>
      </c>
      <c r="O110" s="297">
        <v>16.77</v>
      </c>
      <c r="P110" s="187">
        <f t="shared" si="2"/>
        <v>2394.34</v>
      </c>
      <c r="Q110" s="187">
        <f t="shared" si="1"/>
        <v>56173.31</v>
      </c>
    </row>
    <row r="111" spans="1:17">
      <c r="A111" s="187" t="s">
        <v>138</v>
      </c>
      <c r="B111" s="191"/>
      <c r="C111" s="187">
        <v>58371.859999999993</v>
      </c>
      <c r="D111" s="293">
        <v>1688</v>
      </c>
      <c r="E111" s="142">
        <v>58305.05</v>
      </c>
      <c r="F111" s="106">
        <v>55248.7</v>
      </c>
      <c r="G111" s="106">
        <v>43.09</v>
      </c>
      <c r="H111" s="106">
        <v>347.69</v>
      </c>
      <c r="I111" s="106">
        <v>2665.57</v>
      </c>
      <c r="J111" s="143">
        <v>2716.8</v>
      </c>
      <c r="K111" s="187">
        <v>0</v>
      </c>
      <c r="L111" s="143">
        <v>15.58</v>
      </c>
      <c r="M111" s="187">
        <v>0</v>
      </c>
      <c r="N111" s="143">
        <v>0</v>
      </c>
      <c r="O111" s="145">
        <v>0</v>
      </c>
      <c r="P111" s="187">
        <f t="shared" si="2"/>
        <v>2732.38</v>
      </c>
      <c r="Q111" s="187">
        <f t="shared" si="1"/>
        <v>58371.859999999993</v>
      </c>
    </row>
    <row r="112" spans="1:17">
      <c r="A112" s="187" t="s">
        <v>139</v>
      </c>
      <c r="B112" s="191"/>
      <c r="C112" s="187">
        <v>63649.289999999994</v>
      </c>
      <c r="D112" s="293">
        <v>1787</v>
      </c>
      <c r="E112" s="142">
        <v>63735.45</v>
      </c>
      <c r="F112" s="106">
        <v>61307.37</v>
      </c>
      <c r="G112" s="106">
        <v>52.49</v>
      </c>
      <c r="H112" s="106">
        <v>271.08999999999997</v>
      </c>
      <c r="I112" s="106">
        <v>2104.5</v>
      </c>
      <c r="J112" s="145">
        <v>2018.34</v>
      </c>
      <c r="K112" s="187">
        <v>0</v>
      </c>
      <c r="L112" s="187">
        <v>0</v>
      </c>
      <c r="M112" s="187">
        <v>0</v>
      </c>
      <c r="N112" s="143">
        <v>0</v>
      </c>
      <c r="O112" s="145">
        <v>0</v>
      </c>
      <c r="P112" s="187">
        <f t="shared" si="2"/>
        <v>2018.34</v>
      </c>
      <c r="Q112" s="187">
        <f t="shared" si="1"/>
        <v>63649.289999999994</v>
      </c>
    </row>
    <row r="113" spans="1:17">
      <c r="A113" s="187" t="s">
        <v>140</v>
      </c>
      <c r="B113" s="191"/>
      <c r="C113" s="187">
        <v>60398.42</v>
      </c>
      <c r="D113" s="293"/>
      <c r="E113" s="56">
        <v>60191.27</v>
      </c>
      <c r="F113" s="56">
        <v>57178.93</v>
      </c>
      <c r="G113" s="111">
        <v>0</v>
      </c>
      <c r="H113" s="56">
        <v>432.17</v>
      </c>
      <c r="I113" s="56">
        <v>2580.17</v>
      </c>
      <c r="J113" s="298">
        <v>2787.32</v>
      </c>
      <c r="K113" s="187">
        <v>0</v>
      </c>
      <c r="L113" s="187">
        <v>0</v>
      </c>
      <c r="M113" s="187">
        <v>0</v>
      </c>
      <c r="N113" s="143">
        <v>0</v>
      </c>
      <c r="O113" s="145">
        <v>0</v>
      </c>
      <c r="P113" s="187">
        <f t="shared" si="2"/>
        <v>2787.32</v>
      </c>
      <c r="Q113" s="187">
        <f t="shared" si="1"/>
        <v>60398.42</v>
      </c>
    </row>
    <row r="114" spans="1:17">
      <c r="A114" s="187" t="s">
        <v>141</v>
      </c>
      <c r="B114" s="191"/>
      <c r="C114" s="187">
        <v>56964.52</v>
      </c>
      <c r="D114" s="293"/>
      <c r="E114" s="56">
        <v>56942.149999999987</v>
      </c>
      <c r="F114" s="56">
        <v>54420.33</v>
      </c>
      <c r="G114" s="111">
        <v>61.78</v>
      </c>
      <c r="H114" s="56">
        <v>299.88</v>
      </c>
      <c r="I114" s="56">
        <v>2160.16</v>
      </c>
      <c r="J114" s="145">
        <v>2166.34</v>
      </c>
      <c r="K114" s="187">
        <v>0</v>
      </c>
      <c r="L114" s="145">
        <v>16.190000000000001</v>
      </c>
      <c r="M114" s="187">
        <v>0</v>
      </c>
      <c r="N114" s="143">
        <v>0</v>
      </c>
      <c r="O114" s="145">
        <v>0</v>
      </c>
      <c r="P114" s="187">
        <f t="shared" si="2"/>
        <v>2182.5300000000002</v>
      </c>
      <c r="Q114" s="187">
        <f t="shared" ref="Q114:Q145" si="3">SUM(F114,G114,H114,P114)</f>
        <v>56964.52</v>
      </c>
    </row>
    <row r="115" spans="1:17">
      <c r="A115" s="187" t="s">
        <v>142</v>
      </c>
      <c r="B115" s="191"/>
      <c r="C115" s="187">
        <v>54356.75</v>
      </c>
      <c r="D115" s="2">
        <v>1637</v>
      </c>
      <c r="E115" s="187">
        <v>54239.89</v>
      </c>
      <c r="F115" s="187">
        <v>50919.68</v>
      </c>
      <c r="G115" s="187">
        <v>46.77</v>
      </c>
      <c r="H115" s="187">
        <v>283.04000000000002</v>
      </c>
      <c r="I115" s="187">
        <v>2990.4</v>
      </c>
      <c r="J115" s="145">
        <v>3083.28</v>
      </c>
      <c r="K115" s="187">
        <v>0</v>
      </c>
      <c r="L115" s="187">
        <v>0</v>
      </c>
      <c r="M115" s="187">
        <v>0</v>
      </c>
      <c r="N115" s="145">
        <v>23.98</v>
      </c>
      <c r="O115" s="145">
        <v>0</v>
      </c>
      <c r="P115" s="187">
        <f t="shared" si="2"/>
        <v>3107.26</v>
      </c>
      <c r="Q115" s="187">
        <f t="shared" si="3"/>
        <v>54356.75</v>
      </c>
    </row>
    <row r="116" spans="1:17">
      <c r="A116" s="187" t="s">
        <v>143</v>
      </c>
      <c r="B116" s="191"/>
      <c r="C116" s="187">
        <v>49653.3</v>
      </c>
      <c r="D116" s="187" t="s">
        <v>307</v>
      </c>
      <c r="E116" s="187">
        <v>49748.579999999987</v>
      </c>
      <c r="F116" s="187">
        <v>46128.03</v>
      </c>
      <c r="G116" s="187">
        <v>102.36</v>
      </c>
      <c r="H116" s="187">
        <v>289.88</v>
      </c>
      <c r="I116" s="187">
        <v>3228.31</v>
      </c>
      <c r="J116" s="145">
        <v>3133.03</v>
      </c>
      <c r="K116" s="187">
        <v>0</v>
      </c>
      <c r="L116" s="187">
        <v>0</v>
      </c>
      <c r="M116" s="187">
        <v>0</v>
      </c>
      <c r="N116" s="143">
        <v>0</v>
      </c>
      <c r="O116" s="145">
        <v>0</v>
      </c>
      <c r="P116" s="187">
        <f t="shared" si="2"/>
        <v>3133.03</v>
      </c>
      <c r="Q116" s="187">
        <f t="shared" si="3"/>
        <v>49653.299999999996</v>
      </c>
    </row>
    <row r="117" spans="1:17">
      <c r="A117" s="187" t="s">
        <v>145</v>
      </c>
      <c r="B117" s="191"/>
      <c r="C117" s="187">
        <v>50527.75</v>
      </c>
      <c r="D117" s="30" t="s">
        <v>308</v>
      </c>
      <c r="E117" s="187">
        <v>50407.18</v>
      </c>
      <c r="F117" s="187">
        <v>47850.75</v>
      </c>
      <c r="G117" s="187">
        <v>25.18</v>
      </c>
      <c r="H117" s="187">
        <v>188.22</v>
      </c>
      <c r="I117" s="187">
        <v>2343.0300000000002</v>
      </c>
      <c r="J117" s="145">
        <v>2357.33</v>
      </c>
      <c r="K117" s="187">
        <v>0</v>
      </c>
      <c r="L117" s="145">
        <v>87.07</v>
      </c>
      <c r="M117" s="187">
        <v>0</v>
      </c>
      <c r="N117" s="145">
        <v>19.2</v>
      </c>
      <c r="O117" s="145">
        <v>0</v>
      </c>
      <c r="P117" s="187">
        <f t="shared" si="2"/>
        <v>2463.6</v>
      </c>
      <c r="Q117" s="187">
        <f t="shared" si="3"/>
        <v>50527.75</v>
      </c>
    </row>
    <row r="118" spans="1:17">
      <c r="A118" s="2" t="s">
        <v>147</v>
      </c>
      <c r="B118" s="191"/>
      <c r="C118" s="187">
        <v>47385.9</v>
      </c>
      <c r="D118" s="2" t="s">
        <v>309</v>
      </c>
      <c r="E118" s="187">
        <v>46870.52</v>
      </c>
      <c r="F118" s="187">
        <v>44573.78</v>
      </c>
      <c r="G118" s="187">
        <v>64.16</v>
      </c>
      <c r="H118" s="187">
        <v>87.67</v>
      </c>
      <c r="I118" s="187">
        <v>2144.91</v>
      </c>
      <c r="J118" s="145">
        <v>2634.51</v>
      </c>
      <c r="K118" s="187">
        <v>0</v>
      </c>
      <c r="L118" s="145">
        <v>25.78</v>
      </c>
      <c r="M118" s="187">
        <v>0</v>
      </c>
      <c r="N118" s="143">
        <v>0</v>
      </c>
      <c r="O118" s="145">
        <v>0</v>
      </c>
      <c r="P118" s="187">
        <f t="shared" si="2"/>
        <v>2660.2900000000004</v>
      </c>
      <c r="Q118" s="187">
        <f t="shared" si="3"/>
        <v>47385.9</v>
      </c>
    </row>
    <row r="119" spans="1:17">
      <c r="A119" s="2" t="s">
        <v>149</v>
      </c>
      <c r="B119" s="191"/>
      <c r="C119" s="187">
        <v>48813.649999999987</v>
      </c>
      <c r="D119" s="56">
        <v>1407</v>
      </c>
      <c r="E119" s="187">
        <v>49452.29</v>
      </c>
      <c r="F119" s="2">
        <v>45726.39</v>
      </c>
      <c r="G119" s="187">
        <v>32.380000000000003</v>
      </c>
      <c r="H119" s="187">
        <v>46.17</v>
      </c>
      <c r="I119" s="187">
        <v>3647.35</v>
      </c>
      <c r="J119" s="145">
        <v>2957.33</v>
      </c>
      <c r="K119" s="187">
        <v>0</v>
      </c>
      <c r="L119" s="145">
        <v>24.99</v>
      </c>
      <c r="M119" s="187">
        <v>0</v>
      </c>
      <c r="N119" s="145">
        <v>26.39</v>
      </c>
      <c r="O119" s="145">
        <v>0</v>
      </c>
      <c r="P119" s="187">
        <f t="shared" si="2"/>
        <v>3008.7099999999996</v>
      </c>
      <c r="Q119" s="187">
        <f t="shared" si="3"/>
        <v>48813.649999999994</v>
      </c>
    </row>
    <row r="120" spans="1:17">
      <c r="A120" s="2" t="s">
        <v>150</v>
      </c>
      <c r="B120" s="191"/>
      <c r="C120" s="187">
        <v>42687.829999999987</v>
      </c>
      <c r="D120" s="300">
        <v>1281</v>
      </c>
      <c r="E120" s="187">
        <v>42457.23</v>
      </c>
      <c r="F120" s="2">
        <v>38758.089999999997</v>
      </c>
      <c r="G120" s="187">
        <v>0</v>
      </c>
      <c r="H120" s="187">
        <v>144.72</v>
      </c>
      <c r="I120" s="187">
        <v>3554.42</v>
      </c>
      <c r="J120" s="145">
        <v>3737.35</v>
      </c>
      <c r="K120" s="187">
        <v>0</v>
      </c>
      <c r="L120" s="145">
        <v>47.67</v>
      </c>
      <c r="M120" s="187">
        <v>0</v>
      </c>
      <c r="N120" s="143">
        <v>0</v>
      </c>
      <c r="O120" s="145">
        <v>0</v>
      </c>
      <c r="P120" s="187">
        <f t="shared" si="2"/>
        <v>3785.02</v>
      </c>
      <c r="Q120" s="187">
        <f t="shared" si="3"/>
        <v>42687.829999999994</v>
      </c>
    </row>
    <row r="121" spans="1:17">
      <c r="A121" s="118" t="s">
        <v>151</v>
      </c>
      <c r="B121" s="187"/>
      <c r="C121" s="187">
        <v>37865.160000000003</v>
      </c>
      <c r="D121" s="11" t="s">
        <v>310</v>
      </c>
      <c r="E121" s="187">
        <v>37599.25</v>
      </c>
      <c r="F121" s="187">
        <v>34426.32</v>
      </c>
      <c r="G121" s="187">
        <v>16.79</v>
      </c>
      <c r="H121" s="187">
        <v>163.09</v>
      </c>
      <c r="I121" s="187">
        <v>2993.05</v>
      </c>
      <c r="J121" s="140">
        <v>3180.41</v>
      </c>
      <c r="K121" s="187">
        <v>0</v>
      </c>
      <c r="L121" s="140">
        <v>67.16</v>
      </c>
      <c r="M121" s="187">
        <v>0</v>
      </c>
      <c r="N121" s="140">
        <v>11.39</v>
      </c>
      <c r="O121" s="140">
        <v>0</v>
      </c>
      <c r="P121" s="187">
        <f t="shared" si="2"/>
        <v>3258.9599999999996</v>
      </c>
      <c r="Q121" s="187">
        <f t="shared" si="3"/>
        <v>37865.159999999996</v>
      </c>
    </row>
    <row r="122" spans="1:17">
      <c r="A122" s="11" t="s">
        <v>153</v>
      </c>
      <c r="B122" s="187"/>
      <c r="C122" s="187">
        <v>47376.36</v>
      </c>
      <c r="D122" s="300" t="s">
        <v>311</v>
      </c>
      <c r="E122" s="187">
        <v>47606.93</v>
      </c>
      <c r="F122" s="187">
        <v>43702.94</v>
      </c>
      <c r="G122" s="187">
        <v>125.92</v>
      </c>
      <c r="H122" s="187">
        <v>64.349999999999994</v>
      </c>
      <c r="I122" s="187">
        <v>3713.72</v>
      </c>
      <c r="J122" s="305">
        <v>3409.1</v>
      </c>
      <c r="K122" s="187">
        <v>0</v>
      </c>
      <c r="L122" s="305">
        <v>32.68</v>
      </c>
      <c r="M122" s="187">
        <v>0</v>
      </c>
      <c r="N122" s="305">
        <v>41.37</v>
      </c>
      <c r="O122" s="140">
        <v>0</v>
      </c>
      <c r="P122" s="187">
        <f t="shared" si="2"/>
        <v>3483.1499999999996</v>
      </c>
      <c r="Q122" s="187">
        <f t="shared" si="3"/>
        <v>47376.36</v>
      </c>
    </row>
    <row r="123" spans="1:17">
      <c r="A123" s="11" t="s">
        <v>154</v>
      </c>
      <c r="B123" s="187"/>
      <c r="C123" s="187">
        <v>66636.7</v>
      </c>
      <c r="D123" s="56">
        <v>1806</v>
      </c>
      <c r="E123" s="187">
        <v>66529.91</v>
      </c>
      <c r="F123" s="187">
        <v>62433.53</v>
      </c>
      <c r="G123" s="187">
        <v>35.39</v>
      </c>
      <c r="H123" s="187">
        <v>383.46</v>
      </c>
      <c r="I123" s="187">
        <v>3677.53</v>
      </c>
      <c r="J123" s="140">
        <v>3702.67</v>
      </c>
      <c r="K123" s="187">
        <v>0</v>
      </c>
      <c r="L123" s="140">
        <v>81.650000000000006</v>
      </c>
      <c r="M123" s="187">
        <v>0</v>
      </c>
      <c r="N123" s="142">
        <v>0</v>
      </c>
      <c r="O123" s="140">
        <v>0</v>
      </c>
      <c r="P123" s="187">
        <f t="shared" si="2"/>
        <v>3784.32</v>
      </c>
      <c r="Q123" s="187">
        <f t="shared" si="3"/>
        <v>66636.7</v>
      </c>
    </row>
    <row r="124" spans="1:17">
      <c r="A124" s="11" t="s">
        <v>155</v>
      </c>
      <c r="B124" s="187"/>
      <c r="C124" s="187">
        <v>75840.28</v>
      </c>
      <c r="D124" s="2" t="s">
        <v>312</v>
      </c>
      <c r="E124" s="187">
        <v>75867.23</v>
      </c>
      <c r="F124" s="187">
        <v>72085.37</v>
      </c>
      <c r="G124" s="187">
        <v>137.94999999999999</v>
      </c>
      <c r="H124" s="187">
        <v>0</v>
      </c>
      <c r="I124" s="187">
        <v>3643.91</v>
      </c>
      <c r="J124" s="145">
        <v>3528.71</v>
      </c>
      <c r="K124" s="187">
        <v>0</v>
      </c>
      <c r="L124" s="145">
        <v>90.05</v>
      </c>
      <c r="M124" s="145">
        <v>20.98</v>
      </c>
      <c r="N124" s="145">
        <v>19.18</v>
      </c>
      <c r="O124" s="140">
        <v>0</v>
      </c>
      <c r="P124" s="187">
        <f t="shared" si="2"/>
        <v>3616.96</v>
      </c>
      <c r="Q124" s="187">
        <f t="shared" si="3"/>
        <v>75840.28</v>
      </c>
    </row>
    <row r="125" spans="1:17">
      <c r="A125" s="11" t="s">
        <v>157</v>
      </c>
      <c r="B125" s="187"/>
      <c r="C125" s="187">
        <v>42077.29</v>
      </c>
      <c r="D125" s="2" t="s">
        <v>313</v>
      </c>
      <c r="E125" s="187">
        <v>41725.22</v>
      </c>
      <c r="F125" s="187">
        <v>39246.19</v>
      </c>
      <c r="G125" s="187">
        <v>93.46</v>
      </c>
      <c r="H125" s="187">
        <v>58.44</v>
      </c>
      <c r="I125" s="187">
        <v>2327.13</v>
      </c>
      <c r="J125" s="145">
        <v>2608.4299999999998</v>
      </c>
      <c r="K125" s="187">
        <v>0</v>
      </c>
      <c r="L125" s="145">
        <v>70.77</v>
      </c>
      <c r="M125" s="145">
        <v>0</v>
      </c>
      <c r="N125" s="145">
        <v>0</v>
      </c>
      <c r="O125" s="140">
        <v>0</v>
      </c>
      <c r="P125" s="187">
        <f t="shared" si="2"/>
        <v>2679.2</v>
      </c>
      <c r="Q125" s="187">
        <f t="shared" si="3"/>
        <v>42077.29</v>
      </c>
    </row>
    <row r="126" spans="1:17">
      <c r="A126" s="11" t="s">
        <v>159</v>
      </c>
      <c r="B126" s="187"/>
      <c r="C126" s="187">
        <v>42198.97</v>
      </c>
      <c r="D126" s="2" t="s">
        <v>314</v>
      </c>
      <c r="E126" s="187">
        <v>42393.06</v>
      </c>
      <c r="F126" s="187">
        <v>38683.620000000003</v>
      </c>
      <c r="G126" s="187">
        <v>100.2</v>
      </c>
      <c r="H126" s="187">
        <v>53</v>
      </c>
      <c r="I126" s="187">
        <v>3556.24</v>
      </c>
      <c r="J126" s="307">
        <v>3362.15</v>
      </c>
      <c r="K126" s="187">
        <v>0</v>
      </c>
      <c r="L126" s="145">
        <v>0</v>
      </c>
      <c r="M126" s="145">
        <v>0</v>
      </c>
      <c r="N126" s="145">
        <v>0</v>
      </c>
      <c r="O126" s="140">
        <v>0</v>
      </c>
      <c r="P126" s="187">
        <f t="shared" si="2"/>
        <v>3362.15</v>
      </c>
      <c r="Q126" s="187">
        <f t="shared" si="3"/>
        <v>42198.97</v>
      </c>
    </row>
    <row r="127" spans="1:17">
      <c r="A127" s="30" t="s">
        <v>161</v>
      </c>
      <c r="B127" s="187"/>
      <c r="C127" s="187">
        <v>31282.94</v>
      </c>
      <c r="D127" s="2" t="s">
        <v>315</v>
      </c>
      <c r="E127" s="187">
        <v>31294.9</v>
      </c>
      <c r="F127" s="187">
        <v>28030.97</v>
      </c>
      <c r="G127" s="187">
        <v>97.24</v>
      </c>
      <c r="H127" s="187">
        <v>117.8</v>
      </c>
      <c r="I127" s="187">
        <v>3048.89</v>
      </c>
      <c r="J127" s="145">
        <v>3191.35</v>
      </c>
      <c r="K127" s="145">
        <v>166.71</v>
      </c>
      <c r="L127" s="145">
        <v>12.29</v>
      </c>
      <c r="M127" s="145">
        <v>0</v>
      </c>
      <c r="N127" s="145">
        <v>0</v>
      </c>
      <c r="O127" s="140">
        <v>0</v>
      </c>
      <c r="P127" s="187">
        <f t="shared" si="2"/>
        <v>3036.93</v>
      </c>
      <c r="Q127" s="187">
        <f t="shared" si="3"/>
        <v>31282.940000000002</v>
      </c>
    </row>
    <row r="128" spans="1:17">
      <c r="A128" s="30" t="s">
        <v>163</v>
      </c>
      <c r="B128" s="187"/>
      <c r="C128" s="187">
        <v>45129.9</v>
      </c>
      <c r="D128" s="2" t="s">
        <v>316</v>
      </c>
      <c r="E128" s="187">
        <v>45575.27</v>
      </c>
      <c r="F128" s="187">
        <v>40263.599999999999</v>
      </c>
      <c r="G128" s="187">
        <v>385.4</v>
      </c>
      <c r="H128" s="187">
        <v>73.180000000000007</v>
      </c>
      <c r="I128" s="187">
        <v>4853.09</v>
      </c>
      <c r="J128" s="145">
        <v>4847.0200000000004</v>
      </c>
      <c r="K128" s="145">
        <v>439.3</v>
      </c>
      <c r="L128" s="145">
        <v>0</v>
      </c>
      <c r="M128" s="145">
        <v>0</v>
      </c>
      <c r="N128" s="145">
        <v>0</v>
      </c>
      <c r="O128" s="140">
        <v>0</v>
      </c>
      <c r="P128" s="187">
        <f t="shared" si="2"/>
        <v>4407.72</v>
      </c>
      <c r="Q128" s="187">
        <f t="shared" si="3"/>
        <v>45129.9</v>
      </c>
    </row>
    <row r="129" spans="1:17">
      <c r="A129" s="30" t="s">
        <v>165</v>
      </c>
      <c r="B129" s="187"/>
      <c r="C129" s="187">
        <v>40752.28</v>
      </c>
      <c r="D129" s="2" t="s">
        <v>317</v>
      </c>
      <c r="E129" s="187">
        <v>40826.019999999997</v>
      </c>
      <c r="F129" s="187">
        <v>36789.72</v>
      </c>
      <c r="G129" s="187">
        <v>154.55000000000001</v>
      </c>
      <c r="H129" s="187">
        <v>206.1</v>
      </c>
      <c r="I129" s="187">
        <v>3675.65</v>
      </c>
      <c r="J129" s="145">
        <v>3585.12</v>
      </c>
      <c r="K129" s="187">
        <v>0</v>
      </c>
      <c r="L129" s="145">
        <v>16.79</v>
      </c>
      <c r="M129" s="145">
        <v>0</v>
      </c>
      <c r="N129" s="145">
        <v>0</v>
      </c>
      <c r="O129" s="140">
        <v>0</v>
      </c>
      <c r="P129" s="187">
        <f t="shared" si="2"/>
        <v>3601.91</v>
      </c>
      <c r="Q129" s="187">
        <f t="shared" si="3"/>
        <v>40752.28</v>
      </c>
    </row>
    <row r="130" spans="1:17">
      <c r="A130" s="11" t="s">
        <v>166</v>
      </c>
      <c r="B130" s="187"/>
      <c r="C130" s="187">
        <v>55904.41</v>
      </c>
      <c r="D130" s="2" t="s">
        <v>318</v>
      </c>
      <c r="E130" s="187">
        <v>55395.55</v>
      </c>
      <c r="F130" s="187">
        <v>51724.97</v>
      </c>
      <c r="G130" s="187">
        <v>135.53</v>
      </c>
      <c r="H130" s="187">
        <v>153.16999999999999</v>
      </c>
      <c r="I130" s="187">
        <v>3381.88</v>
      </c>
      <c r="J130" s="106">
        <v>3819.17</v>
      </c>
      <c r="K130" s="187">
        <v>0</v>
      </c>
      <c r="L130" s="106">
        <v>49.77</v>
      </c>
      <c r="M130" s="145">
        <v>0</v>
      </c>
      <c r="N130" s="106">
        <v>35.58</v>
      </c>
      <c r="O130" s="106">
        <v>13.78</v>
      </c>
      <c r="P130" s="187">
        <f t="shared" si="2"/>
        <v>3890.7400000000002</v>
      </c>
      <c r="Q130" s="187">
        <f t="shared" si="3"/>
        <v>55904.409999999996</v>
      </c>
    </row>
    <row r="131" spans="1:17">
      <c r="A131" s="11" t="s">
        <v>168</v>
      </c>
      <c r="B131" s="187"/>
      <c r="C131" s="187">
        <v>46088.540000000008</v>
      </c>
      <c r="D131" s="2" t="s">
        <v>279</v>
      </c>
      <c r="E131" s="187">
        <v>46369.31</v>
      </c>
      <c r="F131" s="187">
        <v>42333.83</v>
      </c>
      <c r="G131" s="187">
        <v>110.51</v>
      </c>
      <c r="H131" s="187">
        <v>771.72</v>
      </c>
      <c r="I131" s="187">
        <v>3153.25</v>
      </c>
      <c r="J131" s="106">
        <v>2812.5</v>
      </c>
      <c r="K131" s="187">
        <v>0</v>
      </c>
      <c r="L131" s="106">
        <v>41.78</v>
      </c>
      <c r="M131" s="145">
        <v>0</v>
      </c>
      <c r="N131" s="106">
        <v>31.98</v>
      </c>
      <c r="O131" s="106">
        <v>13.78</v>
      </c>
      <c r="P131" s="187">
        <f t="shared" si="2"/>
        <v>2872.48</v>
      </c>
      <c r="Q131" s="187">
        <f t="shared" si="3"/>
        <v>46088.540000000008</v>
      </c>
    </row>
    <row r="132" spans="1:17">
      <c r="A132" s="11" t="s">
        <v>170</v>
      </c>
      <c r="B132" s="187"/>
      <c r="C132" s="187">
        <v>40600.81</v>
      </c>
      <c r="D132" s="2" t="s">
        <v>319</v>
      </c>
      <c r="E132" s="187">
        <v>40559.22</v>
      </c>
      <c r="F132" s="187">
        <v>36265.919999999998</v>
      </c>
      <c r="G132" s="187">
        <v>201.29</v>
      </c>
      <c r="H132" s="187">
        <v>846.64</v>
      </c>
      <c r="I132" s="187">
        <v>3245.37</v>
      </c>
      <c r="J132" s="106">
        <v>3222.18</v>
      </c>
      <c r="K132" s="187">
        <v>0</v>
      </c>
      <c r="L132" s="106">
        <v>24.99</v>
      </c>
      <c r="M132" s="145">
        <v>0</v>
      </c>
      <c r="N132" s="106">
        <v>67.959999999999994</v>
      </c>
      <c r="O132" s="106">
        <v>28.17</v>
      </c>
      <c r="P132" s="187">
        <f t="shared" si="2"/>
        <v>3286.9599999999996</v>
      </c>
      <c r="Q132" s="187">
        <f t="shared" si="3"/>
        <v>40600.81</v>
      </c>
    </row>
    <row r="133" spans="1:17">
      <c r="A133" s="11" t="s">
        <v>172</v>
      </c>
      <c r="B133" s="187"/>
      <c r="C133" s="187">
        <v>47921.569999999992</v>
      </c>
      <c r="D133" s="2" t="s">
        <v>320</v>
      </c>
      <c r="E133" s="187">
        <v>47892.34</v>
      </c>
      <c r="F133" s="187">
        <v>44305.3</v>
      </c>
      <c r="G133" s="187">
        <v>109.52</v>
      </c>
      <c r="H133" s="187">
        <v>443.09</v>
      </c>
      <c r="I133" s="187">
        <v>3034.43</v>
      </c>
      <c r="J133" s="106">
        <v>3000.87</v>
      </c>
      <c r="K133" s="187">
        <v>0</v>
      </c>
      <c r="L133" s="145">
        <v>0</v>
      </c>
      <c r="M133" s="145">
        <v>0</v>
      </c>
      <c r="N133" s="106">
        <v>107.94</v>
      </c>
      <c r="O133" s="106">
        <v>45.15</v>
      </c>
      <c r="P133" s="187">
        <f t="shared" si="2"/>
        <v>3063.66</v>
      </c>
      <c r="Q133" s="187">
        <f t="shared" si="3"/>
        <v>47921.569999999992</v>
      </c>
    </row>
    <row r="134" spans="1:17">
      <c r="A134" s="11" t="s">
        <v>174</v>
      </c>
      <c r="B134" s="187"/>
      <c r="C134" s="187">
        <v>52613.88</v>
      </c>
      <c r="D134" s="2" t="s">
        <v>321</v>
      </c>
      <c r="E134" s="187">
        <v>52248.710000000006</v>
      </c>
      <c r="F134" s="187">
        <v>48605.05</v>
      </c>
      <c r="G134" s="187">
        <v>95.26</v>
      </c>
      <c r="H134" s="187">
        <v>764.8</v>
      </c>
      <c r="I134" s="187">
        <v>2783.6</v>
      </c>
      <c r="J134" s="106">
        <v>3056.29</v>
      </c>
      <c r="K134" s="187">
        <v>0</v>
      </c>
      <c r="L134" s="106">
        <v>18.89</v>
      </c>
      <c r="M134" s="145">
        <v>0</v>
      </c>
      <c r="N134" s="106">
        <v>119.54</v>
      </c>
      <c r="O134" s="106">
        <v>45.95</v>
      </c>
      <c r="P134" s="187">
        <f t="shared" si="2"/>
        <v>3148.77</v>
      </c>
      <c r="Q134" s="187">
        <f t="shared" si="3"/>
        <v>52613.880000000005</v>
      </c>
    </row>
    <row r="135" spans="1:17">
      <c r="A135" s="11" t="s">
        <v>176</v>
      </c>
      <c r="B135" s="187"/>
      <c r="C135" s="187">
        <v>88000.02</v>
      </c>
      <c r="D135" s="2" t="s">
        <v>322</v>
      </c>
      <c r="E135" s="187">
        <v>86996.77</v>
      </c>
      <c r="F135" s="187">
        <v>82950.350000000006</v>
      </c>
      <c r="G135" s="187">
        <v>62.5</v>
      </c>
      <c r="H135" s="187">
        <v>177.98</v>
      </c>
      <c r="I135" s="187">
        <v>3805.94</v>
      </c>
      <c r="J135" s="312">
        <v>4760.79</v>
      </c>
      <c r="K135" s="187">
        <v>0</v>
      </c>
      <c r="L135" s="106">
        <v>0</v>
      </c>
      <c r="M135" s="145">
        <v>0</v>
      </c>
      <c r="N135" s="118">
        <v>80.760000000000005</v>
      </c>
      <c r="O135" s="118">
        <v>32.36</v>
      </c>
      <c r="P135" s="187">
        <f t="shared" si="2"/>
        <v>4809.1899999999996</v>
      </c>
      <c r="Q135" s="187">
        <f t="shared" si="3"/>
        <v>88000.02</v>
      </c>
    </row>
    <row r="136" spans="1:17">
      <c r="A136" s="11" t="s">
        <v>178</v>
      </c>
      <c r="B136" s="187"/>
      <c r="C136" s="187">
        <v>57392.819999999992</v>
      </c>
      <c r="D136" s="2" t="s">
        <v>323</v>
      </c>
      <c r="E136" s="187">
        <v>57733.009999999987</v>
      </c>
      <c r="F136" s="187">
        <v>53561.46</v>
      </c>
      <c r="G136" s="187">
        <v>71.84</v>
      </c>
      <c r="H136" s="187">
        <v>186.18</v>
      </c>
      <c r="I136" s="187">
        <v>3913.53</v>
      </c>
      <c r="J136" s="312">
        <v>3532.14</v>
      </c>
      <c r="K136" s="187">
        <v>0</v>
      </c>
      <c r="L136" s="106">
        <v>0</v>
      </c>
      <c r="M136" s="145">
        <v>0</v>
      </c>
      <c r="N136" s="118">
        <v>71.959999999999994</v>
      </c>
      <c r="O136" s="118">
        <v>30.76</v>
      </c>
      <c r="P136" s="187">
        <f t="shared" si="2"/>
        <v>3573.3399999999997</v>
      </c>
      <c r="Q136" s="187">
        <f t="shared" si="3"/>
        <v>57392.819999999992</v>
      </c>
    </row>
    <row r="137" spans="1:17">
      <c r="A137" s="11" t="s">
        <v>180</v>
      </c>
      <c r="B137" s="187"/>
      <c r="C137" s="187">
        <v>75773.69</v>
      </c>
      <c r="D137" s="2" t="s">
        <v>324</v>
      </c>
      <c r="E137" s="187">
        <v>75948.790000000008</v>
      </c>
      <c r="F137" s="187">
        <v>71362.75</v>
      </c>
      <c r="G137" s="187">
        <v>171.06</v>
      </c>
      <c r="H137" s="187">
        <v>295.05</v>
      </c>
      <c r="I137" s="187">
        <v>4119.93</v>
      </c>
      <c r="J137" s="106">
        <v>3885.04</v>
      </c>
      <c r="K137" s="187">
        <v>0</v>
      </c>
      <c r="L137" s="106">
        <v>54.97</v>
      </c>
      <c r="M137" s="106">
        <v>16.98</v>
      </c>
      <c r="N137" s="106">
        <v>37.979999999999997</v>
      </c>
      <c r="O137" s="106">
        <v>16.18</v>
      </c>
      <c r="P137" s="187">
        <f t="shared" si="2"/>
        <v>3944.83</v>
      </c>
      <c r="Q137" s="187">
        <f t="shared" si="3"/>
        <v>75773.69</v>
      </c>
    </row>
    <row r="138" spans="1:17">
      <c r="A138" s="2" t="s">
        <v>182</v>
      </c>
      <c r="B138" s="187"/>
      <c r="C138" s="187">
        <v>56910.23</v>
      </c>
      <c r="D138" s="27" t="s">
        <v>325</v>
      </c>
      <c r="E138" s="318">
        <v>57120.37</v>
      </c>
      <c r="F138" s="318">
        <v>53661.919999999998</v>
      </c>
      <c r="G138" s="318">
        <v>190.83</v>
      </c>
      <c r="H138" s="318">
        <v>159.80000000000001</v>
      </c>
      <c r="I138" s="318">
        <v>3107.82</v>
      </c>
      <c r="J138" s="106">
        <v>2865.11</v>
      </c>
      <c r="K138" s="187">
        <v>0</v>
      </c>
      <c r="L138" s="106">
        <v>0</v>
      </c>
      <c r="M138" s="145">
        <v>0</v>
      </c>
      <c r="N138" s="106">
        <v>48.75</v>
      </c>
      <c r="O138" s="106">
        <v>16.18</v>
      </c>
      <c r="P138" s="187">
        <f t="shared" si="2"/>
        <v>2897.6800000000003</v>
      </c>
      <c r="Q138" s="187">
        <f t="shared" si="3"/>
        <v>56910.23</v>
      </c>
    </row>
    <row r="139" spans="1:17">
      <c r="A139" s="325" t="s">
        <v>184</v>
      </c>
      <c r="B139" s="187"/>
      <c r="C139" s="187">
        <v>58051.89</v>
      </c>
      <c r="D139" s="2" t="s">
        <v>326</v>
      </c>
      <c r="E139" s="324">
        <v>58012.78</v>
      </c>
      <c r="F139" s="324">
        <v>54171.54</v>
      </c>
      <c r="G139" s="324">
        <v>26.38</v>
      </c>
      <c r="H139" s="324">
        <v>238.43</v>
      </c>
      <c r="I139" s="324">
        <v>3576.43</v>
      </c>
      <c r="J139" s="106" t="s">
        <v>327</v>
      </c>
      <c r="K139" s="187">
        <v>0</v>
      </c>
      <c r="L139" s="106">
        <v>13.19</v>
      </c>
      <c r="M139" s="145">
        <v>0</v>
      </c>
      <c r="N139" s="106" t="s">
        <v>328</v>
      </c>
      <c r="O139" s="106" t="s">
        <v>329</v>
      </c>
      <c r="P139" s="187">
        <f t="shared" si="2"/>
        <v>3615.54</v>
      </c>
      <c r="Q139" s="187">
        <f t="shared" si="3"/>
        <v>58051.89</v>
      </c>
    </row>
    <row r="140" spans="1:17">
      <c r="A140" s="11" t="s">
        <v>186</v>
      </c>
      <c r="B140" s="187"/>
      <c r="C140" s="187">
        <v>56750.23</v>
      </c>
      <c r="D140" s="2" t="s">
        <v>330</v>
      </c>
      <c r="E140" s="324">
        <v>56679.69</v>
      </c>
      <c r="F140" s="324">
        <v>53681.34</v>
      </c>
      <c r="G140" s="324">
        <v>119.93</v>
      </c>
      <c r="H140" s="324">
        <v>325.45999999999998</v>
      </c>
      <c r="I140" s="324">
        <v>2552.96</v>
      </c>
      <c r="J140" s="106">
        <v>2574.13</v>
      </c>
      <c r="K140" s="187">
        <v>0</v>
      </c>
      <c r="L140" s="106">
        <v>0</v>
      </c>
      <c r="M140" s="145">
        <v>0</v>
      </c>
      <c r="N140" s="106">
        <v>80.739999999999995</v>
      </c>
      <c r="O140" s="106">
        <v>31.37</v>
      </c>
      <c r="P140" s="187">
        <f t="shared" si="2"/>
        <v>2623.5</v>
      </c>
      <c r="Q140" s="187">
        <f t="shared" si="3"/>
        <v>56750.229999999996</v>
      </c>
    </row>
    <row r="141" spans="1:17">
      <c r="A141" s="187" t="s">
        <v>188</v>
      </c>
      <c r="B141" s="187"/>
      <c r="C141" s="187">
        <v>57253.16</v>
      </c>
      <c r="D141" s="2" t="s">
        <v>331</v>
      </c>
      <c r="E141" s="2">
        <v>56994.48</v>
      </c>
      <c r="F141" s="56">
        <v>54225.09</v>
      </c>
      <c r="G141" s="106">
        <v>81.540000000000006</v>
      </c>
      <c r="H141" s="140">
        <v>39.92</v>
      </c>
      <c r="I141" s="140">
        <v>2647.93</v>
      </c>
      <c r="J141" s="338" t="s">
        <v>332</v>
      </c>
      <c r="K141" s="140">
        <v>0</v>
      </c>
      <c r="L141" s="56">
        <v>24.99</v>
      </c>
      <c r="M141" s="342">
        <v>0</v>
      </c>
      <c r="N141" s="339" t="s">
        <v>333</v>
      </c>
      <c r="O141" s="339" t="s">
        <v>334</v>
      </c>
      <c r="P141" s="187">
        <f t="shared" si="2"/>
        <v>2906.6099999999997</v>
      </c>
      <c r="Q141" s="187">
        <f t="shared" si="3"/>
        <v>57253.159999999996</v>
      </c>
    </row>
    <row r="142" spans="1:17">
      <c r="A142" s="328" t="s">
        <v>192</v>
      </c>
      <c r="B142" s="328"/>
      <c r="C142" s="328">
        <v>60756.22</v>
      </c>
      <c r="D142" s="2">
        <v>1700</v>
      </c>
      <c r="E142" s="2">
        <v>60358.29</v>
      </c>
      <c r="F142" s="332">
        <v>56042.58</v>
      </c>
      <c r="G142" s="330">
        <v>86.13</v>
      </c>
      <c r="H142" s="305">
        <v>131.93</v>
      </c>
      <c r="I142" s="305">
        <v>4097.6499999999996</v>
      </c>
      <c r="J142" s="336">
        <v>4419.32</v>
      </c>
      <c r="K142" s="305">
        <v>0</v>
      </c>
      <c r="L142" s="332">
        <v>76.260000000000005</v>
      </c>
      <c r="M142" s="337">
        <v>0</v>
      </c>
      <c r="N142" s="144">
        <v>0</v>
      </c>
      <c r="O142" s="144">
        <v>0</v>
      </c>
      <c r="P142" s="187">
        <f t="shared" si="2"/>
        <v>4495.58</v>
      </c>
      <c r="Q142" s="187">
        <f t="shared" si="3"/>
        <v>60756.22</v>
      </c>
    </row>
    <row r="143" spans="1:17">
      <c r="A143" s="350" t="s">
        <v>193</v>
      </c>
      <c r="B143" s="350"/>
      <c r="C143" s="350">
        <v>54781.81</v>
      </c>
      <c r="D143" s="2">
        <v>1679</v>
      </c>
      <c r="E143" s="2">
        <v>54962.39</v>
      </c>
      <c r="F143" s="332">
        <v>51430.74</v>
      </c>
      <c r="G143" s="330">
        <v>52.16</v>
      </c>
      <c r="H143" s="305">
        <v>110.92</v>
      </c>
      <c r="I143" s="305">
        <v>3368.57</v>
      </c>
      <c r="J143" s="336">
        <v>3187.99</v>
      </c>
      <c r="K143" s="305">
        <v>0</v>
      </c>
      <c r="L143" s="332">
        <v>0</v>
      </c>
      <c r="M143" s="344">
        <v>0</v>
      </c>
      <c r="N143" s="345">
        <v>0</v>
      </c>
      <c r="O143" s="345">
        <v>0</v>
      </c>
      <c r="P143" s="328">
        <f t="shared" si="2"/>
        <v>3187.99</v>
      </c>
      <c r="Q143" s="328">
        <f t="shared" si="3"/>
        <v>54781.81</v>
      </c>
    </row>
    <row r="144" spans="1:17">
      <c r="A144" s="350" t="s">
        <v>194</v>
      </c>
      <c r="B144" s="350"/>
      <c r="C144" s="350">
        <v>63431.409999999996</v>
      </c>
      <c r="D144" s="2">
        <v>1796</v>
      </c>
      <c r="E144" s="2">
        <v>63689.3</v>
      </c>
      <c r="F144" s="332">
        <v>59630.239999999998</v>
      </c>
      <c r="G144" s="330">
        <v>66.86</v>
      </c>
      <c r="H144" s="305">
        <v>156.09</v>
      </c>
      <c r="I144" s="305">
        <v>3836.11</v>
      </c>
      <c r="J144" s="336">
        <v>3562.33</v>
      </c>
      <c r="K144" s="305">
        <v>0</v>
      </c>
      <c r="L144" s="332">
        <v>15.89</v>
      </c>
      <c r="M144" s="344">
        <v>0</v>
      </c>
      <c r="N144" s="345">
        <v>0</v>
      </c>
      <c r="O144" s="345">
        <v>0</v>
      </c>
      <c r="P144" s="328">
        <f t="shared" si="2"/>
        <v>3578.22</v>
      </c>
      <c r="Q144" s="328">
        <f t="shared" si="3"/>
        <v>63431.409999999996</v>
      </c>
    </row>
    <row r="145" spans="1:17">
      <c r="A145" s="354" t="s">
        <v>482</v>
      </c>
      <c r="B145" s="354"/>
      <c r="C145" s="354">
        <v>74821.97</v>
      </c>
      <c r="D145" s="2">
        <v>1857</v>
      </c>
      <c r="E145" s="2">
        <v>74782.62</v>
      </c>
      <c r="F145" s="56">
        <v>69197.600000000006</v>
      </c>
      <c r="G145" s="106">
        <v>112.28</v>
      </c>
      <c r="H145" s="140">
        <v>907.77</v>
      </c>
      <c r="I145" s="140">
        <v>4564.97</v>
      </c>
      <c r="J145" s="336">
        <v>4550.95</v>
      </c>
      <c r="K145" s="305">
        <v>0</v>
      </c>
      <c r="L145" s="335">
        <v>36.770000000000003</v>
      </c>
      <c r="M145" s="335">
        <v>10.98</v>
      </c>
      <c r="N145" s="335">
        <v>27.58</v>
      </c>
      <c r="O145" s="345">
        <v>0</v>
      </c>
      <c r="P145" s="328">
        <f t="shared" si="2"/>
        <v>4604.32</v>
      </c>
      <c r="Q145" s="328">
        <f t="shared" si="3"/>
        <v>74821.97</v>
      </c>
    </row>
    <row r="146" spans="1:17">
      <c r="A146" s="350"/>
      <c r="B146" s="350"/>
      <c r="C146" s="350"/>
      <c r="D146" s="2"/>
      <c r="E146" s="2"/>
      <c r="F146" s="332"/>
      <c r="G146" s="330"/>
      <c r="H146" s="305"/>
      <c r="I146" s="305"/>
      <c r="J146" s="336"/>
      <c r="K146" s="305"/>
      <c r="L146" s="332"/>
      <c r="M146" s="344"/>
      <c r="N146" s="345"/>
      <c r="O146" s="345"/>
      <c r="P146" s="328"/>
      <c r="Q146" s="328"/>
    </row>
    <row r="147" spans="1:17">
      <c r="A147" s="350"/>
      <c r="B147" s="350"/>
      <c r="C147" s="350"/>
      <c r="D147" s="2"/>
      <c r="E147" s="2"/>
      <c r="F147" s="332"/>
      <c r="G147" s="330"/>
      <c r="H147" s="305"/>
      <c r="I147" s="305"/>
      <c r="J147" s="336"/>
      <c r="K147" s="305"/>
      <c r="L147" s="332"/>
      <c r="M147" s="344"/>
      <c r="N147" s="345"/>
      <c r="O147" s="345"/>
      <c r="P147" s="328"/>
      <c r="Q147" s="328"/>
    </row>
    <row r="148" spans="1:17">
      <c r="A148" s="187" t="s">
        <v>335</v>
      </c>
      <c r="B148" s="327"/>
      <c r="C148" s="326"/>
      <c r="D148" s="187"/>
      <c r="E148" s="187"/>
      <c r="F148" s="118"/>
      <c r="G148" s="118"/>
      <c r="H148" s="187"/>
      <c r="I148" s="11"/>
      <c r="J148" s="187"/>
      <c r="K148" s="187"/>
      <c r="L148" s="187"/>
      <c r="M148" s="187"/>
      <c r="N148" s="187"/>
      <c r="O148" s="187"/>
      <c r="P148" s="187"/>
      <c r="Q148" s="187"/>
    </row>
    <row r="149" spans="1:17">
      <c r="A149" s="180" t="s">
        <v>0</v>
      </c>
      <c r="B149" s="187"/>
      <c r="C149" s="180" t="s">
        <v>1</v>
      </c>
      <c r="D149" s="180"/>
      <c r="E149" s="180"/>
      <c r="F149" s="187"/>
      <c r="G149" s="187"/>
      <c r="H149" s="187"/>
      <c r="I149" s="187"/>
      <c r="J149" s="187"/>
      <c r="K149" s="187"/>
      <c r="L149" s="187"/>
      <c r="M149" s="187"/>
      <c r="N149" s="187"/>
      <c r="O149" s="187"/>
      <c r="P149" s="187"/>
      <c r="Q149" s="187"/>
    </row>
    <row r="150" spans="1:17">
      <c r="A150" s="11" t="s">
        <v>174</v>
      </c>
      <c r="B150" s="56"/>
      <c r="C150" s="56">
        <v>52613.88</v>
      </c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</row>
    <row r="151" spans="1:17">
      <c r="A151" s="11" t="s">
        <v>176</v>
      </c>
      <c r="B151" s="56"/>
      <c r="C151" s="187">
        <v>88000.02</v>
      </c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</row>
    <row r="152" spans="1:17">
      <c r="A152" s="11" t="s">
        <v>178</v>
      </c>
      <c r="B152" s="56"/>
      <c r="C152" s="187">
        <v>57392.819999999992</v>
      </c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</row>
    <row r="153" spans="1:17">
      <c r="A153" s="11" t="s">
        <v>180</v>
      </c>
      <c r="B153" s="56"/>
      <c r="C153" s="187">
        <v>75773.69</v>
      </c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</row>
    <row r="154" spans="1:17">
      <c r="A154" s="2" t="s">
        <v>182</v>
      </c>
      <c r="B154" s="187"/>
      <c r="C154" s="187">
        <v>56910.23</v>
      </c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</row>
    <row r="155" spans="1:17">
      <c r="A155" s="325" t="s">
        <v>184</v>
      </c>
      <c r="B155" s="187"/>
      <c r="C155" s="187">
        <v>58051.89</v>
      </c>
    </row>
    <row r="156" spans="1:17">
      <c r="A156" s="11" t="s">
        <v>186</v>
      </c>
      <c r="B156" s="187"/>
      <c r="C156" s="187">
        <v>56750.23</v>
      </c>
    </row>
    <row r="157" spans="1:17">
      <c r="A157" s="187" t="s">
        <v>188</v>
      </c>
      <c r="B157" s="187"/>
      <c r="C157" s="187">
        <v>57253.16</v>
      </c>
    </row>
    <row r="158" spans="1:17">
      <c r="A158" s="328" t="s">
        <v>192</v>
      </c>
      <c r="B158" s="328"/>
      <c r="C158" s="328">
        <v>60756.22</v>
      </c>
    </row>
    <row r="159" spans="1:17">
      <c r="A159" s="350" t="s">
        <v>193</v>
      </c>
      <c r="B159" s="350"/>
      <c r="C159" s="350">
        <v>54781.81</v>
      </c>
    </row>
    <row r="160" spans="1:17">
      <c r="A160" s="350" t="s">
        <v>194</v>
      </c>
      <c r="B160" s="350"/>
      <c r="C160" s="350">
        <v>63431.409999999996</v>
      </c>
    </row>
    <row r="161" spans="1:3">
      <c r="A161" s="354" t="s">
        <v>482</v>
      </c>
      <c r="B161" s="354"/>
      <c r="C161" s="354">
        <v>74821.97</v>
      </c>
    </row>
  </sheetData>
  <mergeCells count="1">
    <mergeCell ref="H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64"/>
  <sheetViews>
    <sheetView topLeftCell="A43" workbookViewId="0">
      <pane ySplit="12" topLeftCell="A136" activePane="bottomLeft" state="frozen"/>
      <selection activeCell="A43" sqref="A43"/>
      <selection pane="bottomLeft" activeCell="E156" sqref="E156"/>
    </sheetView>
  </sheetViews>
  <sheetFormatPr defaultColWidth="9.109375" defaultRowHeight="13.8"/>
  <cols>
    <col min="1" max="1" width="33.6640625" style="69" customWidth="1"/>
    <col min="2" max="2" width="18.109375" style="69" customWidth="1"/>
    <col min="3" max="3" width="16.109375" style="69" customWidth="1"/>
    <col min="4" max="6" width="16.33203125" style="69" customWidth="1"/>
    <col min="7" max="7" width="16.88671875" style="69" customWidth="1"/>
    <col min="8" max="8" width="17.44140625" style="69" customWidth="1"/>
    <col min="9" max="9" width="21.88671875" style="69" customWidth="1"/>
    <col min="10" max="10" width="23.88671875" style="69" customWidth="1"/>
    <col min="11" max="11" width="16.33203125" style="69" customWidth="1"/>
    <col min="12" max="12" width="17.109375" style="69" customWidth="1"/>
    <col min="13" max="13" width="16.109375" style="69" customWidth="1"/>
    <col min="14" max="14" width="17" style="69" customWidth="1"/>
    <col min="15" max="17" width="9.109375" style="69" customWidth="1"/>
    <col min="18" max="16384" width="9.109375" style="69"/>
  </cols>
  <sheetData>
    <row r="1" spans="1:7" ht="14.4" customHeight="1">
      <c r="A1" s="372" t="s">
        <v>336</v>
      </c>
      <c r="B1" s="364"/>
      <c r="C1" s="364"/>
      <c r="D1" s="365"/>
      <c r="E1" s="72"/>
      <c r="F1" s="72"/>
    </row>
    <row r="2" spans="1:7" s="72" customFormat="1" ht="27.6" customHeight="1">
      <c r="A2" s="70" t="s">
        <v>0</v>
      </c>
      <c r="B2" s="71" t="s">
        <v>337</v>
      </c>
      <c r="C2" s="71" t="s">
        <v>338</v>
      </c>
      <c r="D2" s="71" t="s">
        <v>339</v>
      </c>
      <c r="E2" s="250"/>
      <c r="F2" s="250"/>
    </row>
    <row r="3" spans="1:7" ht="27.6" customHeight="1">
      <c r="A3" s="58" t="s">
        <v>30</v>
      </c>
      <c r="B3" s="73">
        <v>4640.5600000000004</v>
      </c>
      <c r="C3" s="74">
        <f t="shared" ref="C3:C20" si="0">B3*0.06</f>
        <v>278.43360000000001</v>
      </c>
      <c r="D3" s="74">
        <f t="shared" ref="D3:D20" si="1">B3*0.02</f>
        <v>92.811200000000014</v>
      </c>
      <c r="E3" s="251"/>
      <c r="F3" s="251"/>
    </row>
    <row r="4" spans="1:7" ht="27.6" customHeight="1">
      <c r="A4" s="58" t="s">
        <v>31</v>
      </c>
      <c r="B4" s="75">
        <v>12060.9</v>
      </c>
      <c r="C4" s="74">
        <f t="shared" si="0"/>
        <v>723.654</v>
      </c>
      <c r="D4" s="74">
        <f t="shared" si="1"/>
        <v>241.21799999999999</v>
      </c>
      <c r="E4" s="251"/>
      <c r="F4" s="251"/>
    </row>
    <row r="5" spans="1:7" ht="14.4" customHeight="1" thickBot="1">
      <c r="A5" s="58" t="s">
        <v>32</v>
      </c>
      <c r="B5" s="76">
        <v>11251.81</v>
      </c>
      <c r="C5" s="74">
        <f t="shared" si="0"/>
        <v>675.10859999999991</v>
      </c>
      <c r="D5" s="74">
        <f t="shared" si="1"/>
        <v>225.03620000000001</v>
      </c>
      <c r="E5" s="251"/>
      <c r="F5" s="251"/>
      <c r="G5" s="77"/>
    </row>
    <row r="6" spans="1:7">
      <c r="A6" s="60" t="s">
        <v>33</v>
      </c>
      <c r="B6" s="78">
        <v>8547.7099999999991</v>
      </c>
      <c r="C6" s="79">
        <f t="shared" si="0"/>
        <v>512.86259999999993</v>
      </c>
      <c r="D6" s="74">
        <f t="shared" si="1"/>
        <v>170.95419999999999</v>
      </c>
      <c r="E6" s="251"/>
      <c r="F6" s="251"/>
    </row>
    <row r="7" spans="1:7">
      <c r="A7" s="60" t="s">
        <v>34</v>
      </c>
      <c r="B7" s="78">
        <v>10272.1</v>
      </c>
      <c r="C7" s="79">
        <f t="shared" si="0"/>
        <v>616.32600000000002</v>
      </c>
      <c r="D7" s="74">
        <f t="shared" si="1"/>
        <v>205.44200000000001</v>
      </c>
      <c r="E7" s="251"/>
      <c r="F7" s="251"/>
    </row>
    <row r="8" spans="1:7">
      <c r="A8" s="80" t="s">
        <v>340</v>
      </c>
      <c r="B8" s="76">
        <v>11991.64</v>
      </c>
      <c r="C8" s="81">
        <f t="shared" si="0"/>
        <v>719.49839999999995</v>
      </c>
      <c r="D8" s="82">
        <f t="shared" si="1"/>
        <v>239.83279999999999</v>
      </c>
      <c r="E8" s="251"/>
      <c r="F8" s="251"/>
    </row>
    <row r="9" spans="1:7">
      <c r="A9" s="59" t="s">
        <v>341</v>
      </c>
      <c r="B9" s="83">
        <v>10169.08</v>
      </c>
      <c r="C9" s="74">
        <f t="shared" si="0"/>
        <v>610.14479999999992</v>
      </c>
      <c r="D9" s="74">
        <f t="shared" si="1"/>
        <v>203.38159999999999</v>
      </c>
      <c r="E9" s="251"/>
      <c r="F9" s="251"/>
    </row>
    <row r="10" spans="1:7">
      <c r="A10" s="58" t="s">
        <v>342</v>
      </c>
      <c r="B10" s="84">
        <v>10185.83</v>
      </c>
      <c r="C10" s="74">
        <f t="shared" si="0"/>
        <v>611.14980000000003</v>
      </c>
      <c r="D10" s="74">
        <f t="shared" si="1"/>
        <v>203.7166</v>
      </c>
      <c r="E10" s="251"/>
      <c r="F10" s="251"/>
    </row>
    <row r="11" spans="1:7">
      <c r="A11" s="58" t="s">
        <v>38</v>
      </c>
      <c r="B11" s="78">
        <v>9415.2199999999993</v>
      </c>
      <c r="C11" s="74">
        <f t="shared" si="0"/>
        <v>564.91319999999996</v>
      </c>
      <c r="D11" s="74">
        <f t="shared" si="1"/>
        <v>188.30439999999999</v>
      </c>
      <c r="E11" s="251"/>
      <c r="F11" s="251"/>
    </row>
    <row r="12" spans="1:7">
      <c r="A12" s="85" t="s">
        <v>39</v>
      </c>
      <c r="B12" s="86">
        <v>10664.05</v>
      </c>
      <c r="C12" s="63">
        <f t="shared" si="0"/>
        <v>639.84299999999996</v>
      </c>
      <c r="D12" s="63">
        <f t="shared" si="1"/>
        <v>213.28099999999998</v>
      </c>
      <c r="E12" s="252"/>
      <c r="F12" s="252"/>
    </row>
    <row r="13" spans="1:7">
      <c r="A13" s="87" t="s">
        <v>40</v>
      </c>
      <c r="B13" s="88">
        <v>10643.55</v>
      </c>
      <c r="C13" s="63">
        <f t="shared" si="0"/>
        <v>638.61299999999994</v>
      </c>
      <c r="D13" s="63">
        <f t="shared" si="1"/>
        <v>212.87099999999998</v>
      </c>
      <c r="E13" s="252"/>
      <c r="F13" s="252"/>
    </row>
    <row r="14" spans="1:7">
      <c r="A14" s="89" t="s">
        <v>41</v>
      </c>
      <c r="B14" s="84">
        <v>8627.64</v>
      </c>
      <c r="C14" s="63">
        <f t="shared" si="0"/>
        <v>517.65839999999992</v>
      </c>
      <c r="D14" s="63">
        <f t="shared" si="1"/>
        <v>172.55279999999999</v>
      </c>
      <c r="E14" s="252"/>
      <c r="F14" s="252"/>
    </row>
    <row r="15" spans="1:7">
      <c r="A15" s="87" t="s">
        <v>42</v>
      </c>
      <c r="B15" s="78">
        <v>6972.79</v>
      </c>
      <c r="C15" s="63">
        <f t="shared" si="0"/>
        <v>418.36739999999998</v>
      </c>
      <c r="D15" s="63">
        <f t="shared" si="1"/>
        <v>139.45580000000001</v>
      </c>
      <c r="E15" s="252"/>
      <c r="F15" s="252"/>
    </row>
    <row r="16" spans="1:7">
      <c r="A16" s="89" t="s">
        <v>43</v>
      </c>
      <c r="B16" s="84">
        <v>7716.13</v>
      </c>
      <c r="C16" s="63">
        <f t="shared" si="0"/>
        <v>462.96780000000001</v>
      </c>
      <c r="D16" s="63">
        <f t="shared" si="1"/>
        <v>154.32259999999999</v>
      </c>
      <c r="E16" s="252"/>
      <c r="F16" s="252"/>
    </row>
    <row r="17" spans="1:6">
      <c r="A17" s="87" t="s">
        <v>44</v>
      </c>
      <c r="B17" s="84">
        <v>10826.18</v>
      </c>
      <c r="C17" s="63">
        <f t="shared" si="0"/>
        <v>649.57079999999996</v>
      </c>
      <c r="D17" s="63">
        <f t="shared" si="1"/>
        <v>216.52360000000002</v>
      </c>
      <c r="E17" s="252"/>
      <c r="F17" s="252"/>
    </row>
    <row r="18" spans="1:6">
      <c r="A18" s="58" t="s">
        <v>45</v>
      </c>
      <c r="B18" s="84">
        <v>10472.75</v>
      </c>
      <c r="C18" s="63">
        <f t="shared" si="0"/>
        <v>628.36500000000001</v>
      </c>
      <c r="D18" s="63">
        <f t="shared" si="1"/>
        <v>209.45500000000001</v>
      </c>
      <c r="E18" s="252"/>
      <c r="F18" s="252"/>
    </row>
    <row r="19" spans="1:6">
      <c r="A19" s="58" t="s">
        <v>46</v>
      </c>
      <c r="B19" s="84">
        <v>12144.18</v>
      </c>
      <c r="C19" s="63">
        <f t="shared" si="0"/>
        <v>728.6508</v>
      </c>
      <c r="D19" s="63">
        <f t="shared" si="1"/>
        <v>242.8836</v>
      </c>
      <c r="E19" s="252"/>
      <c r="F19" s="252"/>
    </row>
    <row r="20" spans="1:6">
      <c r="A20" s="58" t="s">
        <v>47</v>
      </c>
      <c r="B20" s="84">
        <v>9134.6299999999992</v>
      </c>
      <c r="C20" s="63">
        <f t="shared" si="0"/>
        <v>548.07779999999991</v>
      </c>
      <c r="D20" s="63">
        <f t="shared" si="1"/>
        <v>182.6926</v>
      </c>
      <c r="E20" s="252"/>
      <c r="F20" s="252"/>
    </row>
    <row r="21" spans="1:6">
      <c r="A21" s="58" t="s">
        <v>48</v>
      </c>
      <c r="B21" s="82">
        <v>9378.85</v>
      </c>
      <c r="C21" s="63">
        <f t="shared" ref="C21:C55" si="2">(B21*0.06)*1.13</f>
        <v>635.88602999999989</v>
      </c>
      <c r="D21" s="63">
        <f t="shared" ref="D21:D55" si="3">(B21*0.02)*1.13</f>
        <v>211.96200999999996</v>
      </c>
      <c r="E21" s="252"/>
      <c r="F21" s="252"/>
    </row>
    <row r="22" spans="1:6">
      <c r="A22" s="60" t="s">
        <v>49</v>
      </c>
      <c r="B22" s="74">
        <v>8840.32</v>
      </c>
      <c r="C22" s="90">
        <f t="shared" si="2"/>
        <v>599.37369599999988</v>
      </c>
      <c r="D22" s="63">
        <f t="shared" si="3"/>
        <v>199.79123199999998</v>
      </c>
      <c r="E22" s="252"/>
      <c r="F22" s="252"/>
    </row>
    <row r="23" spans="1:6">
      <c r="A23" s="58" t="s">
        <v>50</v>
      </c>
      <c r="B23" s="74">
        <v>9831.2000000000007</v>
      </c>
      <c r="C23" s="63">
        <f t="shared" si="2"/>
        <v>666.55536000000006</v>
      </c>
      <c r="D23" s="63">
        <f t="shared" si="3"/>
        <v>222.18512000000001</v>
      </c>
      <c r="E23" s="252"/>
      <c r="F23" s="252"/>
    </row>
    <row r="24" spans="1:6">
      <c r="A24" s="58" t="s">
        <v>51</v>
      </c>
      <c r="B24" s="74">
        <v>10206.77</v>
      </c>
      <c r="C24" s="63">
        <f t="shared" si="2"/>
        <v>692.01900599999999</v>
      </c>
      <c r="D24" s="63">
        <f t="shared" si="3"/>
        <v>230.673002</v>
      </c>
      <c r="E24" s="252"/>
      <c r="F24" s="252"/>
    </row>
    <row r="25" spans="1:6">
      <c r="A25" s="59" t="s">
        <v>52</v>
      </c>
      <c r="B25" s="91">
        <v>12184.27</v>
      </c>
      <c r="C25" s="92">
        <f t="shared" si="2"/>
        <v>826.09350599999993</v>
      </c>
      <c r="D25" s="92">
        <f t="shared" si="3"/>
        <v>275.36450200000002</v>
      </c>
      <c r="E25" s="252"/>
      <c r="F25" s="252"/>
    </row>
    <row r="26" spans="1:6">
      <c r="A26" s="58" t="s">
        <v>53</v>
      </c>
      <c r="B26" s="82">
        <v>11920.02</v>
      </c>
      <c r="C26" s="63">
        <f t="shared" si="2"/>
        <v>808.17735599999992</v>
      </c>
      <c r="D26" s="63">
        <f t="shared" si="3"/>
        <v>269.39245199999999</v>
      </c>
      <c r="E26" s="252"/>
      <c r="F26" s="252"/>
    </row>
    <row r="27" spans="1:6" s="61" customFormat="1">
      <c r="A27" s="60" t="s">
        <v>54</v>
      </c>
      <c r="B27" s="74">
        <v>13116.63</v>
      </c>
      <c r="C27" s="63">
        <f t="shared" si="2"/>
        <v>889.30751399999974</v>
      </c>
      <c r="D27" s="63">
        <f t="shared" si="3"/>
        <v>296.43583799999999</v>
      </c>
      <c r="E27" s="252"/>
      <c r="F27" s="252"/>
    </row>
    <row r="28" spans="1:6" s="61" customFormat="1">
      <c r="A28" s="60" t="s">
        <v>55</v>
      </c>
      <c r="B28" s="74">
        <v>12257.18</v>
      </c>
      <c r="C28" s="63">
        <f t="shared" si="2"/>
        <v>831.03680399999985</v>
      </c>
      <c r="D28" s="63">
        <f t="shared" si="3"/>
        <v>277.01226800000001</v>
      </c>
      <c r="E28" s="252"/>
      <c r="F28" s="252"/>
    </row>
    <row r="29" spans="1:6" s="61" customFormat="1">
      <c r="A29" s="60" t="s">
        <v>56</v>
      </c>
      <c r="B29" s="74">
        <v>13754.28</v>
      </c>
      <c r="C29" s="63">
        <f t="shared" si="2"/>
        <v>932.54018399999995</v>
      </c>
      <c r="D29" s="63">
        <f t="shared" si="3"/>
        <v>310.84672799999998</v>
      </c>
      <c r="E29" s="252"/>
      <c r="F29" s="252"/>
    </row>
    <row r="30" spans="1:6">
      <c r="A30" s="58" t="s">
        <v>57</v>
      </c>
      <c r="B30" s="82">
        <v>12247.99</v>
      </c>
      <c r="C30" s="63">
        <f t="shared" si="2"/>
        <v>830.41372199999978</v>
      </c>
      <c r="D30" s="63">
        <f t="shared" si="3"/>
        <v>276.804574</v>
      </c>
      <c r="E30" s="252"/>
      <c r="F30" s="252"/>
    </row>
    <row r="31" spans="1:6">
      <c r="A31" s="62" t="s">
        <v>58</v>
      </c>
      <c r="B31" s="65">
        <f>13152.46-1164.26</f>
        <v>11988.199999999999</v>
      </c>
      <c r="C31" s="93">
        <f t="shared" si="2"/>
        <v>812.79995999999983</v>
      </c>
      <c r="D31" s="92">
        <f t="shared" si="3"/>
        <v>270.93331999999998</v>
      </c>
      <c r="E31" s="252"/>
      <c r="F31" s="252"/>
    </row>
    <row r="32" spans="1:6">
      <c r="A32" s="59" t="s">
        <v>59</v>
      </c>
      <c r="B32" s="82">
        <v>11665.99</v>
      </c>
      <c r="C32" s="92">
        <f t="shared" si="2"/>
        <v>790.95412199999987</v>
      </c>
      <c r="D32" s="92">
        <f t="shared" si="3"/>
        <v>263.65137399999998</v>
      </c>
      <c r="E32" s="252"/>
      <c r="F32" s="252"/>
    </row>
    <row r="33" spans="1:9">
      <c r="A33" s="59" t="s">
        <v>60</v>
      </c>
      <c r="B33" s="91">
        <v>11814.15</v>
      </c>
      <c r="C33" s="92">
        <f t="shared" si="2"/>
        <v>800.99936999999989</v>
      </c>
      <c r="D33" s="92">
        <f t="shared" si="3"/>
        <v>266.99978999999996</v>
      </c>
      <c r="E33" s="252"/>
      <c r="F33" s="252"/>
    </row>
    <row r="34" spans="1:9" s="94" customFormat="1">
      <c r="A34" s="58" t="s">
        <v>61</v>
      </c>
      <c r="B34" s="74">
        <v>11963.75</v>
      </c>
      <c r="C34" s="63">
        <f t="shared" si="2"/>
        <v>811.14224999999988</v>
      </c>
      <c r="D34" s="63">
        <f t="shared" si="3"/>
        <v>270.38074999999998</v>
      </c>
      <c r="E34" s="63"/>
      <c r="F34" s="63"/>
    </row>
    <row r="35" spans="1:9" s="94" customFormat="1">
      <c r="A35" s="58" t="s">
        <v>62</v>
      </c>
      <c r="B35" s="95">
        <v>12977.57</v>
      </c>
      <c r="C35" s="63">
        <f t="shared" si="2"/>
        <v>879.87924599999985</v>
      </c>
      <c r="D35" s="63">
        <f t="shared" si="3"/>
        <v>293.29308199999997</v>
      </c>
      <c r="E35" s="63"/>
      <c r="F35" s="63"/>
    </row>
    <row r="36" spans="1:9" s="94" customFormat="1">
      <c r="A36" s="58" t="s">
        <v>63</v>
      </c>
      <c r="B36" s="101">
        <v>13094.69</v>
      </c>
      <c r="C36" s="63">
        <f t="shared" si="2"/>
        <v>887.81998199999998</v>
      </c>
      <c r="D36" s="63">
        <f t="shared" si="3"/>
        <v>295.93999399999996</v>
      </c>
      <c r="E36" s="63"/>
      <c r="F36" s="63"/>
    </row>
    <row r="37" spans="1:9" s="94" customFormat="1">
      <c r="A37" s="27" t="s">
        <v>64</v>
      </c>
      <c r="B37" s="107">
        <v>13216.82</v>
      </c>
      <c r="C37" s="92">
        <f t="shared" si="2"/>
        <v>896.10039599999982</v>
      </c>
      <c r="D37" s="92">
        <f t="shared" si="3"/>
        <v>298.700132</v>
      </c>
      <c r="E37" s="92"/>
      <c r="F37" s="92"/>
    </row>
    <row r="38" spans="1:9" s="94" customFormat="1">
      <c r="A38" s="2" t="s">
        <v>65</v>
      </c>
      <c r="B38" s="104">
        <v>12088.66</v>
      </c>
      <c r="C38" s="105">
        <f t="shared" si="2"/>
        <v>819.61114799999984</v>
      </c>
      <c r="D38" s="105">
        <f t="shared" si="3"/>
        <v>273.20371599999999</v>
      </c>
      <c r="E38" s="253"/>
      <c r="F38" s="253"/>
      <c r="G38" s="114"/>
    </row>
    <row r="39" spans="1:9" s="94" customFormat="1">
      <c r="A39" s="2" t="s">
        <v>66</v>
      </c>
      <c r="B39" s="104">
        <v>13164.76</v>
      </c>
      <c r="C39" s="105">
        <f t="shared" si="2"/>
        <v>892.57072799999992</v>
      </c>
      <c r="D39" s="105">
        <f t="shared" si="3"/>
        <v>297.52357599999999</v>
      </c>
      <c r="E39" s="253"/>
      <c r="F39" s="253"/>
      <c r="G39" s="114"/>
    </row>
    <row r="40" spans="1:9" s="94" customFormat="1">
      <c r="A40" s="2" t="s">
        <v>67</v>
      </c>
      <c r="B40" s="104">
        <v>13465.82</v>
      </c>
      <c r="C40" s="105">
        <f t="shared" si="2"/>
        <v>912.98259599999983</v>
      </c>
      <c r="D40" s="105">
        <f t="shared" si="3"/>
        <v>304.32753199999996</v>
      </c>
      <c r="E40" s="253"/>
      <c r="F40" s="253"/>
      <c r="G40" s="114"/>
    </row>
    <row r="41" spans="1:9" s="94" customFormat="1">
      <c r="A41" s="2" t="s">
        <v>68</v>
      </c>
      <c r="B41" s="104">
        <v>12064.43</v>
      </c>
      <c r="C41" s="105">
        <f t="shared" si="2"/>
        <v>817.96835399999998</v>
      </c>
      <c r="D41" s="105">
        <f t="shared" si="3"/>
        <v>272.65611799999999</v>
      </c>
      <c r="E41" s="253"/>
      <c r="F41" s="253"/>
      <c r="G41" s="114"/>
    </row>
    <row r="42" spans="1:9" s="61" customFormat="1">
      <c r="A42" s="2" t="s">
        <v>69</v>
      </c>
      <c r="B42" s="104">
        <v>13132.43</v>
      </c>
      <c r="C42" s="105">
        <f t="shared" si="2"/>
        <v>890.37875399999984</v>
      </c>
      <c r="D42" s="105">
        <f t="shared" si="3"/>
        <v>296.79291799999999</v>
      </c>
      <c r="E42" s="158"/>
      <c r="F42" s="158"/>
    </row>
    <row r="43" spans="1:9" s="94" customFormat="1">
      <c r="A43" s="2" t="s">
        <v>70</v>
      </c>
      <c r="B43" s="104">
        <v>12136.79</v>
      </c>
      <c r="C43" s="105">
        <f t="shared" si="2"/>
        <v>822.87436199999991</v>
      </c>
      <c r="D43" s="105">
        <f t="shared" si="3"/>
        <v>274.29145399999999</v>
      </c>
      <c r="E43" s="253"/>
      <c r="F43" s="253"/>
      <c r="G43" s="114"/>
    </row>
    <row r="44" spans="1:9" s="94" customFormat="1">
      <c r="A44" s="2" t="s">
        <v>71</v>
      </c>
      <c r="B44" s="104">
        <v>10521.5</v>
      </c>
      <c r="C44" s="105">
        <f t="shared" si="2"/>
        <v>713.35769999999991</v>
      </c>
      <c r="D44" s="105">
        <f t="shared" si="3"/>
        <v>237.7859</v>
      </c>
      <c r="E44" s="253"/>
      <c r="F44" s="253"/>
      <c r="G44" s="114"/>
    </row>
    <row r="45" spans="1:9" s="61" customFormat="1">
      <c r="A45" s="2" t="s">
        <v>72</v>
      </c>
      <c r="B45" s="104">
        <v>11342.72</v>
      </c>
      <c r="C45" s="105">
        <f t="shared" si="2"/>
        <v>769.0364159999998</v>
      </c>
      <c r="D45" s="105">
        <f t="shared" si="3"/>
        <v>256.34547199999997</v>
      </c>
      <c r="E45" s="158"/>
      <c r="F45" s="158"/>
    </row>
    <row r="46" spans="1:9" s="94" customFormat="1">
      <c r="A46" s="2" t="s">
        <v>73</v>
      </c>
      <c r="B46" s="104">
        <v>11613.62</v>
      </c>
      <c r="C46" s="105">
        <f t="shared" si="2"/>
        <v>787.40343600000006</v>
      </c>
      <c r="D46" s="105">
        <f t="shared" si="3"/>
        <v>262.46781200000004</v>
      </c>
      <c r="E46" s="253"/>
      <c r="F46" s="253"/>
      <c r="G46" s="114"/>
    </row>
    <row r="47" spans="1:9" s="94" customFormat="1" ht="14.4" customHeight="1" thickBot="1">
      <c r="A47" s="2" t="s">
        <v>74</v>
      </c>
      <c r="B47" s="104">
        <v>10459.85</v>
      </c>
      <c r="C47" s="105">
        <f t="shared" si="2"/>
        <v>709.17782999999997</v>
      </c>
      <c r="D47" s="105">
        <f t="shared" si="3"/>
        <v>236.39260999999999</v>
      </c>
      <c r="E47" s="253"/>
      <c r="F47" s="253"/>
      <c r="G47" s="114"/>
    </row>
    <row r="48" spans="1:9" s="94" customFormat="1" ht="18" customHeight="1" thickBot="1">
      <c r="A48" s="2" t="s">
        <v>75</v>
      </c>
      <c r="B48" s="104">
        <v>10632.8</v>
      </c>
      <c r="C48" s="105">
        <f t="shared" si="2"/>
        <v>720.90383999999983</v>
      </c>
      <c r="D48" s="105">
        <f t="shared" si="3"/>
        <v>240.30127999999996</v>
      </c>
      <c r="E48" s="158"/>
      <c r="F48" s="158"/>
      <c r="G48" s="136"/>
      <c r="H48" s="133"/>
      <c r="I48" s="132"/>
    </row>
    <row r="49" spans="1:14" s="94" customFormat="1" ht="18" customHeight="1" thickBot="1">
      <c r="A49" s="2" t="s">
        <v>76</v>
      </c>
      <c r="B49" s="106">
        <v>9288.83</v>
      </c>
      <c r="C49" s="105">
        <f t="shared" si="2"/>
        <v>629.78267399999993</v>
      </c>
      <c r="D49" s="105">
        <f t="shared" si="3"/>
        <v>209.92755799999998</v>
      </c>
      <c r="E49" s="158"/>
      <c r="F49" s="158"/>
      <c r="G49" s="137"/>
      <c r="H49" s="133"/>
      <c r="I49" s="132"/>
      <c r="J49" s="61"/>
      <c r="K49" s="61"/>
      <c r="L49" s="61"/>
      <c r="M49" s="61"/>
    </row>
    <row r="50" spans="1:14" s="94" customFormat="1" ht="18" customHeight="1" thickBot="1">
      <c r="A50" s="2" t="s">
        <v>77</v>
      </c>
      <c r="B50" s="106">
        <v>11689.34</v>
      </c>
      <c r="C50" s="105">
        <f t="shared" si="2"/>
        <v>792.53725199999997</v>
      </c>
      <c r="D50" s="105">
        <f t="shared" si="3"/>
        <v>264.17908399999999</v>
      </c>
      <c r="E50" s="158"/>
      <c r="F50" s="158"/>
      <c r="G50" s="138"/>
      <c r="H50" s="133"/>
      <c r="I50" s="132"/>
      <c r="J50" s="133"/>
      <c r="K50" s="61"/>
      <c r="L50" s="96"/>
      <c r="M50" s="61"/>
    </row>
    <row r="51" spans="1:14" s="94" customFormat="1" ht="14.4" customHeight="1">
      <c r="A51" s="2" t="s">
        <v>78</v>
      </c>
      <c r="B51" s="106">
        <v>10149.26</v>
      </c>
      <c r="C51" s="105">
        <f t="shared" si="2"/>
        <v>688.11982799999998</v>
      </c>
      <c r="D51" s="105">
        <f t="shared" si="3"/>
        <v>229.373276</v>
      </c>
      <c r="E51" s="158"/>
      <c r="F51" s="158"/>
      <c r="I51" s="13"/>
      <c r="J51" s="61"/>
      <c r="K51" s="69"/>
      <c r="L51" s="69"/>
      <c r="M51" s="61"/>
    </row>
    <row r="52" spans="1:14" s="94" customFormat="1">
      <c r="A52" s="2" t="s">
        <v>79</v>
      </c>
      <c r="B52" s="106">
        <v>10629.35</v>
      </c>
      <c r="C52" s="105">
        <f t="shared" si="2"/>
        <v>720.66992999999991</v>
      </c>
      <c r="D52" s="105">
        <f t="shared" si="3"/>
        <v>240.22331</v>
      </c>
      <c r="E52" s="158"/>
      <c r="F52" s="158"/>
      <c r="G52" s="61"/>
      <c r="H52" s="61"/>
      <c r="I52" s="61"/>
      <c r="J52" s="61"/>
      <c r="K52" s="69"/>
      <c r="L52" s="97"/>
      <c r="M52" s="61"/>
    </row>
    <row r="53" spans="1:14" s="94" customFormat="1">
      <c r="A53" s="2" t="s">
        <v>85</v>
      </c>
      <c r="B53" s="106">
        <v>10374.780000000001</v>
      </c>
      <c r="C53" s="105">
        <f t="shared" si="2"/>
        <v>703.41008399999998</v>
      </c>
      <c r="D53" s="105">
        <f t="shared" si="3"/>
        <v>234.47002800000001</v>
      </c>
      <c r="E53" s="158"/>
      <c r="F53" s="158"/>
      <c r="G53" s="61"/>
      <c r="H53" s="61"/>
      <c r="I53" s="61"/>
      <c r="J53" s="61"/>
      <c r="K53" s="69"/>
      <c r="L53" s="98"/>
      <c r="M53" s="61"/>
    </row>
    <row r="54" spans="1:14" s="61" customFormat="1">
      <c r="A54" s="2" t="s">
        <v>86</v>
      </c>
      <c r="B54" s="106">
        <v>10277.44</v>
      </c>
      <c r="C54" s="105">
        <f t="shared" si="2"/>
        <v>696.81043199999988</v>
      </c>
      <c r="D54" s="105">
        <f t="shared" si="3"/>
        <v>232.27014400000002</v>
      </c>
      <c r="E54" s="105" t="s">
        <v>100</v>
      </c>
      <c r="F54" s="197" t="s">
        <v>101</v>
      </c>
      <c r="G54" s="147" t="s">
        <v>228</v>
      </c>
      <c r="H54" s="147" t="s">
        <v>81</v>
      </c>
      <c r="I54" s="147" t="s">
        <v>82</v>
      </c>
      <c r="J54" s="147" t="s">
        <v>229</v>
      </c>
      <c r="K54" s="147" t="s">
        <v>84</v>
      </c>
      <c r="L54" s="147" t="s">
        <v>343</v>
      </c>
      <c r="M54" s="147" t="s">
        <v>201</v>
      </c>
      <c r="N54" s="147" t="s">
        <v>107</v>
      </c>
    </row>
    <row r="55" spans="1:14" s="61" customFormat="1">
      <c r="A55" s="2" t="s">
        <v>87</v>
      </c>
      <c r="B55" s="106">
        <v>12541.61</v>
      </c>
      <c r="C55" s="105">
        <f t="shared" si="2"/>
        <v>850.32115799999997</v>
      </c>
      <c r="D55" s="105">
        <f t="shared" si="3"/>
        <v>283.44038599999999</v>
      </c>
      <c r="E55" s="105"/>
      <c r="F55" s="105"/>
      <c r="G55" s="106">
        <v>7702.17</v>
      </c>
      <c r="H55" s="106">
        <v>229.04</v>
      </c>
      <c r="I55" s="106">
        <v>38.14</v>
      </c>
      <c r="J55" s="106">
        <v>6571.23</v>
      </c>
      <c r="K55" s="118">
        <v>7237</v>
      </c>
      <c r="L55" s="118">
        <f>SUM(2566.94,97.8)</f>
        <v>2664.7400000000002</v>
      </c>
      <c r="M55" s="118">
        <f>K55-L55</f>
        <v>4572.26</v>
      </c>
      <c r="N55" s="106">
        <f>SUM(G55,H55,I55,M55)</f>
        <v>12541.61</v>
      </c>
    </row>
    <row r="56" spans="1:14" s="61" customFormat="1">
      <c r="A56" s="2"/>
      <c r="B56" s="106"/>
      <c r="C56" s="105"/>
      <c r="D56" s="105"/>
      <c r="E56" s="105"/>
      <c r="F56" s="105"/>
      <c r="G56" s="56"/>
      <c r="H56" s="56"/>
      <c r="I56" s="11"/>
      <c r="J56" s="56">
        <v>155</v>
      </c>
      <c r="K56" s="118">
        <v>172</v>
      </c>
      <c r="L56" s="118"/>
      <c r="M56" s="118"/>
      <c r="N56" s="106"/>
    </row>
    <row r="57" spans="1:14" s="61" customFormat="1">
      <c r="A57" s="2" t="s">
        <v>88</v>
      </c>
      <c r="B57" s="106">
        <v>13228.19</v>
      </c>
      <c r="C57" s="105">
        <f>(B57*0.06)*1.13</f>
        <v>896.87128199999995</v>
      </c>
      <c r="D57" s="105">
        <f>(B57*0.02)*1.13</f>
        <v>298.95709399999998</v>
      </c>
      <c r="E57" s="105"/>
      <c r="F57" s="105"/>
      <c r="G57" s="106">
        <v>8691.4500000000007</v>
      </c>
      <c r="H57" s="106">
        <v>32.39</v>
      </c>
      <c r="I57" s="106">
        <v>29.1</v>
      </c>
      <c r="J57" s="106">
        <v>7099.41</v>
      </c>
      <c r="K57" s="118">
        <v>7358</v>
      </c>
      <c r="L57" s="118">
        <f>SUM(2803.87,78.88)</f>
        <v>2882.75</v>
      </c>
      <c r="M57" s="118">
        <f>K57-L57</f>
        <v>4475.25</v>
      </c>
      <c r="N57" s="106">
        <f>SUM(G57,H57,I57,M57)</f>
        <v>13228.19</v>
      </c>
    </row>
    <row r="58" spans="1:14" s="61" customFormat="1">
      <c r="A58" s="2"/>
      <c r="B58" s="106"/>
      <c r="C58" s="105"/>
      <c r="D58" s="105"/>
      <c r="E58" s="105"/>
      <c r="F58" s="105"/>
      <c r="G58" s="11"/>
      <c r="H58" s="56"/>
      <c r="I58" s="56"/>
      <c r="J58" s="56">
        <v>165</v>
      </c>
      <c r="K58" s="118">
        <v>172</v>
      </c>
      <c r="L58" s="118"/>
      <c r="M58" s="118"/>
      <c r="N58" s="106"/>
    </row>
    <row r="59" spans="1:14" s="61" customFormat="1">
      <c r="A59" s="2" t="s">
        <v>89</v>
      </c>
      <c r="B59" s="106">
        <v>13802.12</v>
      </c>
      <c r="C59" s="105">
        <f>(B59*0.06)*1.13</f>
        <v>935.78373599999998</v>
      </c>
      <c r="D59" s="105">
        <f>(B59*0.02)*1.13</f>
        <v>311.92791199999999</v>
      </c>
      <c r="E59" s="105"/>
      <c r="F59" s="105"/>
      <c r="G59" s="140">
        <v>9725.69</v>
      </c>
      <c r="H59" s="140">
        <v>151.96</v>
      </c>
      <c r="I59" s="140">
        <v>18</v>
      </c>
      <c r="J59" s="106">
        <v>6053.43</v>
      </c>
      <c r="K59" s="118">
        <v>6230</v>
      </c>
      <c r="L59" s="118">
        <f>SUM(2272.53,51)</f>
        <v>2323.5300000000002</v>
      </c>
      <c r="M59" s="118">
        <f>K59-L59</f>
        <v>3906.47</v>
      </c>
      <c r="N59" s="106">
        <f>SUM(G59,H59,I59,M59)</f>
        <v>13802.119999999999</v>
      </c>
    </row>
    <row r="60" spans="1:14" s="61" customFormat="1">
      <c r="A60" s="2"/>
      <c r="B60" s="106"/>
      <c r="C60" s="105"/>
      <c r="D60" s="105"/>
      <c r="E60" s="105"/>
      <c r="F60" s="105"/>
      <c r="G60" s="118"/>
      <c r="H60" s="118"/>
      <c r="I60" s="118"/>
      <c r="J60" s="56">
        <v>135</v>
      </c>
      <c r="K60" s="118">
        <v>139</v>
      </c>
      <c r="L60" s="118"/>
      <c r="M60" s="118"/>
      <c r="N60" s="106"/>
    </row>
    <row r="61" spans="1:14">
      <c r="A61" s="2" t="s">
        <v>90</v>
      </c>
      <c r="B61" s="106">
        <v>10844.2</v>
      </c>
      <c r="C61" s="105">
        <f>(B61*0.06)*1.13</f>
        <v>735.23676</v>
      </c>
      <c r="D61" s="105">
        <f>(B61*0.02)*1.13</f>
        <v>245.07891999999998</v>
      </c>
      <c r="E61" s="105"/>
      <c r="F61" s="105"/>
      <c r="G61" s="140">
        <v>6303.1</v>
      </c>
      <c r="H61" s="140">
        <v>98.09</v>
      </c>
      <c r="I61" s="140">
        <v>54</v>
      </c>
      <c r="J61" s="106">
        <v>6494.2</v>
      </c>
      <c r="K61" s="118">
        <v>6548</v>
      </c>
      <c r="L61" s="145">
        <f>(2145.19+13.8)</f>
        <v>2158.9900000000002</v>
      </c>
      <c r="M61" s="106">
        <f>K61-L61</f>
        <v>4389.01</v>
      </c>
      <c r="N61" s="106">
        <f>SUM(G61,H61,I61,M61)</f>
        <v>10844.2</v>
      </c>
    </row>
    <row r="62" spans="1:14">
      <c r="A62" s="2"/>
      <c r="B62" s="106"/>
      <c r="C62" s="105"/>
      <c r="D62" s="105"/>
      <c r="E62" s="105"/>
      <c r="F62" s="105"/>
      <c r="G62" s="118"/>
      <c r="H62" s="118"/>
      <c r="I62" s="118"/>
      <c r="J62" s="56">
        <v>148</v>
      </c>
      <c r="K62" s="118">
        <v>149</v>
      </c>
      <c r="L62" s="171"/>
      <c r="M62" s="118"/>
      <c r="N62" s="106"/>
    </row>
    <row r="63" spans="1:14">
      <c r="A63" s="2" t="s">
        <v>93</v>
      </c>
      <c r="B63" s="106">
        <v>9015.41</v>
      </c>
      <c r="C63" s="105">
        <f>(B63*0.06)*1.13</f>
        <v>611.24479799999983</v>
      </c>
      <c r="D63" s="105">
        <f>(B63*0.02)*1.13</f>
        <v>203.74826599999997</v>
      </c>
      <c r="E63" s="105"/>
      <c r="F63" s="105"/>
      <c r="G63" s="140">
        <v>5532.54</v>
      </c>
      <c r="H63" s="140">
        <v>94.8</v>
      </c>
      <c r="I63" s="140">
        <v>121.37</v>
      </c>
      <c r="J63" s="140">
        <v>5019.12</v>
      </c>
      <c r="K63" s="118">
        <v>5091</v>
      </c>
      <c r="L63" s="143">
        <v>1824.3</v>
      </c>
      <c r="M63" s="106">
        <f>K63-L63</f>
        <v>3266.7</v>
      </c>
      <c r="N63" s="106">
        <f>SUM(G63,H63,I63,M63)</f>
        <v>9015.41</v>
      </c>
    </row>
    <row r="64" spans="1:14">
      <c r="A64" s="2"/>
      <c r="B64" s="106"/>
      <c r="C64" s="105"/>
      <c r="D64" s="105"/>
      <c r="E64" s="105"/>
      <c r="F64" s="105"/>
      <c r="G64" s="118"/>
      <c r="H64" s="118"/>
      <c r="I64" s="118"/>
      <c r="J64" s="56">
        <v>113</v>
      </c>
      <c r="K64" s="106"/>
      <c r="L64" s="118"/>
      <c r="M64" s="106"/>
      <c r="N64" s="106"/>
    </row>
    <row r="65" spans="1:15" s="94" customFormat="1">
      <c r="A65" s="2" t="s">
        <v>94</v>
      </c>
      <c r="B65" s="106">
        <v>12517.81</v>
      </c>
      <c r="C65" s="105">
        <f>(B65*0.06)*1.13</f>
        <v>848.70751799999982</v>
      </c>
      <c r="D65" s="105">
        <f>(B65*0.02)*1.13</f>
        <v>282.90250599999996</v>
      </c>
      <c r="E65" s="105"/>
      <c r="F65" s="105"/>
      <c r="G65" s="140">
        <v>7684.17</v>
      </c>
      <c r="H65" s="140">
        <v>104.8</v>
      </c>
      <c r="I65" s="118"/>
      <c r="J65" s="140">
        <v>6709.14</v>
      </c>
      <c r="K65" s="143">
        <v>6803.34</v>
      </c>
      <c r="L65" s="145">
        <v>2074.5</v>
      </c>
      <c r="M65" s="106">
        <f>K65-L65</f>
        <v>4728.84</v>
      </c>
      <c r="N65" s="106">
        <f>SUM(G65,H65,I65,M65)</f>
        <v>12517.810000000001</v>
      </c>
    </row>
    <row r="66" spans="1:15" s="94" customFormat="1">
      <c r="A66" s="2"/>
      <c r="B66" s="106"/>
      <c r="C66" s="105"/>
      <c r="D66" s="105"/>
      <c r="E66" s="105"/>
      <c r="F66" s="105"/>
      <c r="G66" s="118"/>
      <c r="H66" s="118"/>
      <c r="I66" s="118"/>
      <c r="J66" s="118"/>
      <c r="K66" s="118"/>
      <c r="L66" s="118"/>
      <c r="M66" s="106"/>
      <c r="N66" s="106"/>
    </row>
    <row r="67" spans="1:15" s="94" customFormat="1">
      <c r="A67" s="2" t="s">
        <v>95</v>
      </c>
      <c r="B67" s="106">
        <v>10197.33</v>
      </c>
      <c r="C67" s="105">
        <f>(B67*0.06)*1.13</f>
        <v>691.37897399999986</v>
      </c>
      <c r="D67" s="105">
        <f>(B67*0.02)*1.13</f>
        <v>230.45965799999996</v>
      </c>
      <c r="E67" s="105"/>
      <c r="F67" s="105"/>
      <c r="G67" s="106">
        <v>7203.42</v>
      </c>
      <c r="H67" s="106">
        <v>310.57</v>
      </c>
      <c r="I67" s="106">
        <v>100.67</v>
      </c>
      <c r="J67" s="140">
        <v>2312.3000000000002</v>
      </c>
      <c r="K67" s="148">
        <v>2621.37</v>
      </c>
      <c r="L67" s="148">
        <v>38.700000000000003</v>
      </c>
      <c r="M67" s="106">
        <f>K67-L67</f>
        <v>2582.67</v>
      </c>
      <c r="N67" s="106">
        <f>SUM(G67,H67,I67,M67)</f>
        <v>10197.33</v>
      </c>
    </row>
    <row r="68" spans="1:15" s="94" customFormat="1">
      <c r="A68" s="2"/>
      <c r="B68" s="106"/>
      <c r="C68" s="105"/>
      <c r="D68" s="105"/>
      <c r="E68" s="105"/>
      <c r="F68" s="105"/>
      <c r="G68" s="11"/>
      <c r="H68" s="56"/>
      <c r="I68" s="56"/>
      <c r="J68" s="118"/>
      <c r="K68" s="118"/>
      <c r="L68" s="118"/>
      <c r="M68" s="106"/>
      <c r="N68" s="106"/>
    </row>
    <row r="69" spans="1:15" s="94" customFormat="1">
      <c r="A69" s="2" t="s">
        <v>96</v>
      </c>
      <c r="B69" s="106">
        <v>10844.59</v>
      </c>
      <c r="C69" s="105">
        <f>(B69*0.06)*1.13</f>
        <v>735.26320199999986</v>
      </c>
      <c r="D69" s="105">
        <f>(B69*0.02)*1.13</f>
        <v>245.08773399999998</v>
      </c>
      <c r="E69" s="105"/>
      <c r="F69" s="105"/>
      <c r="G69" s="106">
        <v>7217.26</v>
      </c>
      <c r="H69" s="106">
        <v>33.6</v>
      </c>
      <c r="I69" s="106">
        <v>135.6</v>
      </c>
      <c r="J69" s="106">
        <v>3083.24</v>
      </c>
      <c r="K69" s="159">
        <v>3458.13</v>
      </c>
      <c r="L69" s="118">
        <v>0</v>
      </c>
      <c r="M69" s="106">
        <f>K69-L69</f>
        <v>3458.13</v>
      </c>
      <c r="N69" s="106">
        <f>SUM(G69,H69,I69,M69)</f>
        <v>10844.59</v>
      </c>
    </row>
    <row r="70" spans="1:15" s="94" customFormat="1">
      <c r="A70" s="2"/>
      <c r="B70" s="106"/>
      <c r="C70" s="105"/>
      <c r="D70" s="105"/>
      <c r="E70" s="105"/>
      <c r="F70" s="105"/>
      <c r="G70" s="56"/>
      <c r="H70" s="11"/>
      <c r="I70" s="56"/>
      <c r="J70" s="56"/>
      <c r="K70" s="118"/>
      <c r="L70" s="118"/>
      <c r="M70" s="106"/>
      <c r="N70" s="106"/>
    </row>
    <row r="71" spans="1:15" s="94" customFormat="1">
      <c r="A71" s="2" t="s">
        <v>97</v>
      </c>
      <c r="B71" s="106">
        <v>10302.969999999999</v>
      </c>
      <c r="C71" s="105">
        <f>(B71*0.06)*1.13</f>
        <v>698.54136599999993</v>
      </c>
      <c r="D71" s="105">
        <f>(B71*0.02)*1.13</f>
        <v>232.84712199999996</v>
      </c>
      <c r="E71" s="105"/>
      <c r="F71" s="105"/>
      <c r="G71" s="106">
        <v>7636.66</v>
      </c>
      <c r="H71" s="106">
        <v>78.8</v>
      </c>
      <c r="I71" s="106">
        <v>189.63</v>
      </c>
      <c r="J71" s="106">
        <v>2166.71</v>
      </c>
      <c r="K71" s="159">
        <v>2397.88</v>
      </c>
      <c r="L71" s="118">
        <v>0</v>
      </c>
      <c r="M71" s="106">
        <f>K71-L71</f>
        <v>2397.88</v>
      </c>
      <c r="N71" s="106">
        <f>SUM(G71,H71,I71,M71)</f>
        <v>10302.970000000001</v>
      </c>
    </row>
    <row r="72" spans="1:15" s="94" customFormat="1">
      <c r="A72" s="2"/>
      <c r="B72" s="106"/>
      <c r="C72" s="105"/>
      <c r="D72" s="105"/>
      <c r="E72" s="105"/>
      <c r="F72" s="105"/>
      <c r="G72" s="56"/>
      <c r="H72" s="11"/>
      <c r="I72" s="56"/>
      <c r="J72" s="56"/>
      <c r="K72" s="118"/>
      <c r="L72" s="118"/>
      <c r="M72" s="106"/>
      <c r="N72" s="106"/>
    </row>
    <row r="73" spans="1:15" s="94" customFormat="1">
      <c r="A73" s="2" t="s">
        <v>98</v>
      </c>
      <c r="B73" s="106">
        <v>9839.6</v>
      </c>
      <c r="C73" s="105">
        <f>(B73*0.06)*1.13</f>
        <v>667.12487999999996</v>
      </c>
      <c r="D73" s="105">
        <f>(B73*0.02)*1.13</f>
        <v>222.37495999999999</v>
      </c>
      <c r="E73" s="105"/>
      <c r="F73" s="105"/>
      <c r="G73" s="106">
        <v>7549.74</v>
      </c>
      <c r="H73" s="106">
        <v>207.31</v>
      </c>
      <c r="I73" s="106">
        <v>76.8</v>
      </c>
      <c r="J73" s="106">
        <v>2365.5500000000002</v>
      </c>
      <c r="K73" s="161">
        <v>2484.9499999999998</v>
      </c>
      <c r="L73" s="161">
        <v>479.2</v>
      </c>
      <c r="M73" s="106">
        <f>K73-L73</f>
        <v>2005.7499999999998</v>
      </c>
      <c r="N73" s="106">
        <f>SUM(G73,H73,I73,M73)</f>
        <v>9839.6</v>
      </c>
    </row>
    <row r="74" spans="1:15" s="94" customFormat="1">
      <c r="A74" s="2"/>
      <c r="B74" s="106"/>
      <c r="C74" s="105"/>
      <c r="D74" s="105"/>
      <c r="E74" s="105"/>
      <c r="F74" s="105"/>
      <c r="G74" s="56"/>
      <c r="H74" s="11"/>
      <c r="I74" s="56"/>
      <c r="J74" s="56"/>
      <c r="K74" s="11"/>
      <c r="L74" s="56"/>
      <c r="M74" s="106"/>
      <c r="N74" s="106"/>
    </row>
    <row r="75" spans="1:15" s="94" customFormat="1">
      <c r="A75" s="2" t="s">
        <v>99</v>
      </c>
      <c r="B75" s="106">
        <v>8737.69</v>
      </c>
      <c r="C75" s="105">
        <f>(B75*0.06)*1.13</f>
        <v>592.41538199999991</v>
      </c>
      <c r="D75" s="105">
        <f>(B75*0.02)*1.13</f>
        <v>197.47179399999999</v>
      </c>
      <c r="E75" s="105"/>
      <c r="F75" s="105"/>
      <c r="G75" s="106">
        <v>6043.18</v>
      </c>
      <c r="H75" s="106">
        <v>244.19</v>
      </c>
      <c r="I75" s="106">
        <v>26.39</v>
      </c>
      <c r="J75" s="106">
        <v>2282.52</v>
      </c>
      <c r="K75" s="145">
        <v>2423.9299999999998</v>
      </c>
      <c r="L75" s="118">
        <v>0</v>
      </c>
      <c r="M75" s="106">
        <f>K75-L75</f>
        <v>2423.9299999999998</v>
      </c>
      <c r="N75" s="106">
        <f>SUM(G75,H75,I75,M75)</f>
        <v>8737.69</v>
      </c>
    </row>
    <row r="76" spans="1:15" s="94" customFormat="1">
      <c r="A76" s="2"/>
      <c r="B76" s="106"/>
      <c r="C76" s="105">
        <f>(B76*0.06)*1.13</f>
        <v>0</v>
      </c>
      <c r="D76" s="105">
        <f>(B76*0.02)*1.13</f>
        <v>0</v>
      </c>
      <c r="E76" s="105"/>
      <c r="F76" s="105"/>
      <c r="G76" s="115"/>
      <c r="H76" s="181"/>
      <c r="I76" s="115"/>
      <c r="J76" s="115"/>
      <c r="K76" s="118"/>
      <c r="L76" s="118"/>
      <c r="M76" s="106"/>
      <c r="N76" s="106"/>
    </row>
    <row r="77" spans="1:15" s="94" customFormat="1">
      <c r="A77" s="2" t="s">
        <v>108</v>
      </c>
      <c r="B77" s="106">
        <v>7902.3499999999995</v>
      </c>
      <c r="C77" s="105">
        <f>(B77*0.06)*1.13</f>
        <v>535.77932999999996</v>
      </c>
      <c r="D77" s="105">
        <f>(B77*0.02)*1.13</f>
        <v>178.59310999999997</v>
      </c>
      <c r="E77" s="105"/>
      <c r="F77" s="105"/>
      <c r="G77" s="104">
        <v>5145.1899999999996</v>
      </c>
      <c r="H77" s="104">
        <v>235.99</v>
      </c>
      <c r="I77" s="118">
        <v>0</v>
      </c>
      <c r="J77" s="104">
        <v>2409.61</v>
      </c>
      <c r="K77" s="182">
        <v>2521.17</v>
      </c>
      <c r="L77" s="118">
        <v>0</v>
      </c>
      <c r="M77" s="106">
        <f>K77-L77</f>
        <v>2521.17</v>
      </c>
      <c r="N77" s="106">
        <f>SUM(G77,H77,I77,M77)</f>
        <v>7902.3499999999995</v>
      </c>
    </row>
    <row r="78" spans="1:15" s="94" customFormat="1">
      <c r="A78" s="2"/>
      <c r="B78" s="106"/>
      <c r="C78" s="105"/>
      <c r="D78" s="105"/>
      <c r="E78" s="105"/>
      <c r="F78" s="105"/>
      <c r="G78" s="115"/>
      <c r="H78" s="181"/>
      <c r="I78" s="118"/>
      <c r="J78" s="115"/>
      <c r="K78" s="118"/>
      <c r="L78" s="118"/>
      <c r="M78" s="106"/>
      <c r="N78" s="106"/>
    </row>
    <row r="79" spans="1:15" s="94" customFormat="1">
      <c r="A79" s="2" t="s">
        <v>109</v>
      </c>
      <c r="B79" s="106">
        <v>7985.93</v>
      </c>
      <c r="C79" s="105">
        <f>(B79*0.06)*1.13</f>
        <v>541.446054</v>
      </c>
      <c r="D79" s="105">
        <f>(B79*0.02)*1.13</f>
        <v>180.48201799999998</v>
      </c>
      <c r="E79" s="105"/>
      <c r="F79" s="105"/>
      <c r="G79" s="106">
        <v>5239.66</v>
      </c>
      <c r="H79" s="106">
        <v>110.87</v>
      </c>
      <c r="I79" s="106">
        <v>46.58</v>
      </c>
      <c r="J79" s="106">
        <v>2542.02</v>
      </c>
      <c r="K79" s="145">
        <v>2588.8200000000002</v>
      </c>
      <c r="L79" s="118">
        <v>0</v>
      </c>
      <c r="M79" s="106">
        <f>K79-L79</f>
        <v>2588.8200000000002</v>
      </c>
      <c r="N79" s="106">
        <f>SUM(G79,H79,I79,M79)</f>
        <v>7985.93</v>
      </c>
      <c r="O79" s="114"/>
    </row>
    <row r="80" spans="1:15" s="94" customFormat="1">
      <c r="A80" s="2"/>
      <c r="B80" s="106"/>
      <c r="C80" s="105"/>
      <c r="D80" s="105"/>
      <c r="E80" s="105"/>
      <c r="F80" s="105"/>
      <c r="G80" s="56"/>
      <c r="H80" s="56"/>
      <c r="I80" s="56"/>
      <c r="J80" s="11"/>
      <c r="K80" s="118"/>
      <c r="L80" s="118"/>
      <c r="M80" s="106"/>
      <c r="N80" s="106"/>
      <c r="O80" s="114"/>
    </row>
    <row r="81" spans="1:15" s="94" customFormat="1">
      <c r="A81" s="2" t="s">
        <v>110</v>
      </c>
      <c r="B81" s="106">
        <v>10543.86</v>
      </c>
      <c r="C81" s="105">
        <f>(B81*0.06)*1.13</f>
        <v>714.87370799999997</v>
      </c>
      <c r="D81" s="105">
        <f>(B81*0.02)*1.13</f>
        <v>238.291236</v>
      </c>
      <c r="E81" s="105"/>
      <c r="F81" s="105"/>
      <c r="G81" s="106">
        <v>7606.4</v>
      </c>
      <c r="H81" s="106">
        <v>259.41000000000003</v>
      </c>
      <c r="I81" s="106">
        <v>128.16999999999999</v>
      </c>
      <c r="J81" s="106">
        <v>2491.39</v>
      </c>
      <c r="K81" s="143">
        <v>2549.88</v>
      </c>
      <c r="L81" s="118">
        <v>0</v>
      </c>
      <c r="M81" s="106">
        <f>K81-L81</f>
        <v>2549.88</v>
      </c>
      <c r="N81" s="106">
        <f>SUM(G81,H81,I81,M81)</f>
        <v>10543.86</v>
      </c>
      <c r="O81" s="114"/>
    </row>
    <row r="82" spans="1:15" s="94" customFormat="1">
      <c r="A82" s="2"/>
      <c r="B82" s="106"/>
      <c r="C82" s="105"/>
      <c r="D82" s="105"/>
      <c r="E82" s="105"/>
      <c r="F82" s="105"/>
      <c r="G82" s="118"/>
      <c r="H82" s="118"/>
      <c r="I82" s="118"/>
      <c r="J82" s="11"/>
      <c r="K82" s="118"/>
      <c r="L82" s="118"/>
      <c r="M82" s="106"/>
      <c r="N82" s="106"/>
      <c r="O82" s="114"/>
    </row>
    <row r="83" spans="1:15" s="94" customFormat="1">
      <c r="A83" s="173" t="s">
        <v>111</v>
      </c>
      <c r="B83" s="106">
        <v>12962.6</v>
      </c>
      <c r="C83" s="105">
        <f>(B83*0.06)*1.13</f>
        <v>878.86427999999989</v>
      </c>
      <c r="D83" s="105">
        <f>(B83*0.02)*1.13</f>
        <v>292.95475999999996</v>
      </c>
      <c r="E83" s="105"/>
      <c r="F83" s="105"/>
      <c r="G83" s="106">
        <v>9038.83</v>
      </c>
      <c r="H83" s="106">
        <v>286.27</v>
      </c>
      <c r="I83" s="106">
        <v>68.400000000000006</v>
      </c>
      <c r="J83" s="106">
        <v>3590.88</v>
      </c>
      <c r="K83" s="143">
        <v>3569.1</v>
      </c>
      <c r="L83" s="118">
        <v>0</v>
      </c>
      <c r="M83" s="106">
        <f>K83-L83</f>
        <v>3569.1</v>
      </c>
      <c r="N83" s="106">
        <f>SUM(G83,H83,I83,M83)</f>
        <v>12962.6</v>
      </c>
      <c r="O83" s="114"/>
    </row>
    <row r="84" spans="1:15" s="94" customFormat="1">
      <c r="A84" s="173"/>
      <c r="B84" s="106"/>
      <c r="C84" s="105"/>
      <c r="D84" s="105"/>
      <c r="E84" s="105"/>
      <c r="F84" s="105"/>
      <c r="G84" s="106"/>
      <c r="H84" s="106"/>
      <c r="I84" s="106"/>
      <c r="J84" s="106"/>
      <c r="K84" s="143"/>
      <c r="L84" s="118"/>
      <c r="M84" s="106"/>
      <c r="N84" s="106"/>
      <c r="O84" s="114"/>
    </row>
    <row r="85" spans="1:15" s="94" customFormat="1">
      <c r="A85" s="173" t="s">
        <v>112</v>
      </c>
      <c r="B85" s="106">
        <v>10719.71</v>
      </c>
      <c r="C85" s="105">
        <f>(B85*0.06)*1.13</f>
        <v>726.79633799999988</v>
      </c>
      <c r="D85" s="105">
        <f>(B85*0.02)*1.13</f>
        <v>242.26544599999997</v>
      </c>
      <c r="E85" s="105"/>
      <c r="F85" s="105"/>
      <c r="G85" s="106">
        <v>7764.31</v>
      </c>
      <c r="H85" s="106">
        <v>78.3</v>
      </c>
      <c r="I85" s="106">
        <v>103.66</v>
      </c>
      <c r="J85" s="106">
        <v>2623.92</v>
      </c>
      <c r="K85" s="143">
        <v>2773.44</v>
      </c>
      <c r="L85" s="118">
        <v>0</v>
      </c>
      <c r="M85" s="106">
        <f>K85-L85</f>
        <v>2773.44</v>
      </c>
      <c r="N85" s="106">
        <f>SUM(G85,H85,I85,M85)</f>
        <v>10719.710000000001</v>
      </c>
      <c r="O85" s="114"/>
    </row>
    <row r="86" spans="1:15" s="94" customFormat="1">
      <c r="A86" s="173"/>
      <c r="B86" s="106"/>
      <c r="C86" s="105"/>
      <c r="D86" s="105"/>
      <c r="E86" s="105"/>
      <c r="F86" s="105"/>
      <c r="G86" s="118"/>
      <c r="H86" s="118"/>
      <c r="I86" s="118"/>
      <c r="J86" s="118"/>
      <c r="K86" s="118"/>
      <c r="L86" s="118"/>
      <c r="M86" s="106"/>
      <c r="N86" s="106"/>
      <c r="O86" s="114"/>
    </row>
    <row r="87" spans="1:15" s="94" customFormat="1">
      <c r="A87" s="173" t="s">
        <v>113</v>
      </c>
      <c r="B87" s="106">
        <v>9281.84</v>
      </c>
      <c r="C87" s="105">
        <f t="shared" ref="C87:C118" si="4">(B87*0.06)*1.13</f>
        <v>629.30875199999991</v>
      </c>
      <c r="D87" s="105">
        <f t="shared" ref="D87:D118" si="5">(B87*0.02)*1.13</f>
        <v>209.76958399999998</v>
      </c>
      <c r="E87" s="105"/>
      <c r="F87" s="105"/>
      <c r="G87" s="106">
        <v>6736.8</v>
      </c>
      <c r="H87" s="106">
        <v>108.3</v>
      </c>
      <c r="I87" s="106">
        <v>136.29</v>
      </c>
      <c r="J87" s="106">
        <v>2252.98</v>
      </c>
      <c r="K87" s="143">
        <v>2300.4499999999998</v>
      </c>
      <c r="L87" s="118">
        <v>0</v>
      </c>
      <c r="M87" s="106">
        <f t="shared" ref="M87:M118" si="6">K87-L87</f>
        <v>2300.4499999999998</v>
      </c>
      <c r="N87" s="106">
        <f t="shared" ref="N87:N118" si="7">SUM(G87,H87,I87,M87)</f>
        <v>9281.84</v>
      </c>
      <c r="O87" s="114"/>
    </row>
    <row r="88" spans="1:15" s="94" customFormat="1">
      <c r="A88" s="173" t="s">
        <v>114</v>
      </c>
      <c r="B88" s="106">
        <v>10311.719999999999</v>
      </c>
      <c r="C88" s="105">
        <f t="shared" si="4"/>
        <v>699.13461599999982</v>
      </c>
      <c r="D88" s="105">
        <f t="shared" si="5"/>
        <v>233.04487199999997</v>
      </c>
      <c r="E88" s="105"/>
      <c r="F88" s="105"/>
      <c r="G88" s="106">
        <v>7841.25</v>
      </c>
      <c r="H88" s="106">
        <v>101.2</v>
      </c>
      <c r="I88" s="106">
        <v>146.69999999999999</v>
      </c>
      <c r="J88" s="106">
        <v>2103.19</v>
      </c>
      <c r="K88" s="143">
        <v>2336.79</v>
      </c>
      <c r="L88" s="145">
        <v>114.22</v>
      </c>
      <c r="M88" s="106">
        <f t="shared" si="6"/>
        <v>2222.5700000000002</v>
      </c>
      <c r="N88" s="106">
        <f t="shared" si="7"/>
        <v>10311.719999999999</v>
      </c>
      <c r="O88" s="114"/>
    </row>
    <row r="89" spans="1:15" s="94" customFormat="1">
      <c r="A89" s="173" t="s">
        <v>115</v>
      </c>
      <c r="B89" s="106">
        <v>9208</v>
      </c>
      <c r="C89" s="105">
        <f t="shared" si="4"/>
        <v>624.30239999999992</v>
      </c>
      <c r="D89" s="105">
        <f t="shared" si="5"/>
        <v>208.10079999999996</v>
      </c>
      <c r="E89" s="105"/>
      <c r="F89" s="105"/>
      <c r="G89" s="106">
        <v>6993.59</v>
      </c>
      <c r="H89" s="106">
        <v>300.64999999999998</v>
      </c>
      <c r="I89" s="106">
        <v>58.17</v>
      </c>
      <c r="J89" s="106">
        <v>2034.67</v>
      </c>
      <c r="K89" s="143">
        <v>1992.27</v>
      </c>
      <c r="L89" s="148">
        <v>136.68</v>
      </c>
      <c r="M89" s="106">
        <f t="shared" si="6"/>
        <v>1855.59</v>
      </c>
      <c r="N89" s="106">
        <f t="shared" si="7"/>
        <v>9208</v>
      </c>
      <c r="O89" s="114"/>
    </row>
    <row r="90" spans="1:15" s="94" customFormat="1">
      <c r="A90" s="173" t="s">
        <v>116</v>
      </c>
      <c r="B90" s="106">
        <v>9146.91</v>
      </c>
      <c r="C90" s="105">
        <f t="shared" si="4"/>
        <v>620.16049799999985</v>
      </c>
      <c r="D90" s="105">
        <f t="shared" si="5"/>
        <v>206.72016599999998</v>
      </c>
      <c r="E90" s="105"/>
      <c r="F90" s="105"/>
      <c r="G90" s="106">
        <v>6974.01</v>
      </c>
      <c r="H90" s="106">
        <v>200.86</v>
      </c>
      <c r="I90" s="106">
        <v>135.69</v>
      </c>
      <c r="J90" s="106">
        <v>1855.67</v>
      </c>
      <c r="K90" s="143">
        <v>1871.67</v>
      </c>
      <c r="L90" s="145">
        <v>35.32</v>
      </c>
      <c r="M90" s="106">
        <f t="shared" si="6"/>
        <v>1836.3500000000001</v>
      </c>
      <c r="N90" s="106">
        <f t="shared" si="7"/>
        <v>9146.91</v>
      </c>
      <c r="O90" s="114"/>
    </row>
    <row r="91" spans="1:15" s="94" customFormat="1">
      <c r="A91" s="173" t="s">
        <v>117</v>
      </c>
      <c r="B91" s="106">
        <v>9126.32</v>
      </c>
      <c r="C91" s="105">
        <f t="shared" si="4"/>
        <v>618.76449600000001</v>
      </c>
      <c r="D91" s="105">
        <f t="shared" si="5"/>
        <v>206.25483199999996</v>
      </c>
      <c r="E91" s="105"/>
      <c r="F91" s="142">
        <v>9132.7099999999991</v>
      </c>
      <c r="G91" s="106">
        <v>7153.39</v>
      </c>
      <c r="H91" s="106">
        <v>144.26</v>
      </c>
      <c r="I91" s="106">
        <v>26.4</v>
      </c>
      <c r="J91" s="106">
        <v>1808.66</v>
      </c>
      <c r="K91" s="143">
        <v>1802.27</v>
      </c>
      <c r="L91" s="118">
        <v>0</v>
      </c>
      <c r="M91" s="106">
        <f t="shared" si="6"/>
        <v>1802.27</v>
      </c>
      <c r="N91" s="106">
        <f t="shared" si="7"/>
        <v>9126.32</v>
      </c>
      <c r="O91" s="114"/>
    </row>
    <row r="92" spans="1:15" s="94" customFormat="1">
      <c r="A92" s="173" t="s">
        <v>118</v>
      </c>
      <c r="B92" s="106">
        <v>8593.31</v>
      </c>
      <c r="C92" s="105">
        <f t="shared" si="4"/>
        <v>582.62641799999983</v>
      </c>
      <c r="D92" s="105">
        <f t="shared" si="5"/>
        <v>194.20880599999998</v>
      </c>
      <c r="E92" s="105"/>
      <c r="F92" s="142">
        <v>8603.7099999999991</v>
      </c>
      <c r="G92" s="106">
        <v>6540.78</v>
      </c>
      <c r="H92" s="106">
        <v>156.38</v>
      </c>
      <c r="I92" s="106">
        <v>67.2</v>
      </c>
      <c r="J92" s="106">
        <v>1839.35</v>
      </c>
      <c r="K92" s="143">
        <v>1828.95</v>
      </c>
      <c r="L92" s="118">
        <v>0</v>
      </c>
      <c r="M92" s="106">
        <f t="shared" si="6"/>
        <v>1828.95</v>
      </c>
      <c r="N92" s="106">
        <f t="shared" si="7"/>
        <v>8593.31</v>
      </c>
      <c r="O92" s="114"/>
    </row>
    <row r="93" spans="1:15" s="94" customFormat="1">
      <c r="A93" s="173" t="s">
        <v>119</v>
      </c>
      <c r="B93" s="106">
        <v>10236.01</v>
      </c>
      <c r="C93" s="105">
        <f t="shared" si="4"/>
        <v>694.00147800000002</v>
      </c>
      <c r="D93" s="105">
        <f t="shared" si="5"/>
        <v>231.33382599999999</v>
      </c>
      <c r="E93" s="105"/>
      <c r="F93" s="142">
        <v>10220.41</v>
      </c>
      <c r="G93" s="106">
        <v>8098.96</v>
      </c>
      <c r="H93" s="106">
        <v>128.97</v>
      </c>
      <c r="I93" s="106">
        <v>62.4</v>
      </c>
      <c r="J93" s="106">
        <v>1930.08</v>
      </c>
      <c r="K93" s="143">
        <v>1945.68</v>
      </c>
      <c r="L93" s="118">
        <v>0</v>
      </c>
      <c r="M93" s="106">
        <f t="shared" si="6"/>
        <v>1945.68</v>
      </c>
      <c r="N93" s="106">
        <f t="shared" si="7"/>
        <v>10236.01</v>
      </c>
      <c r="O93" s="114"/>
    </row>
    <row r="94" spans="1:15" s="94" customFormat="1">
      <c r="A94" s="173" t="s">
        <v>120</v>
      </c>
      <c r="B94" s="106">
        <v>9515.0300000000007</v>
      </c>
      <c r="C94" s="105">
        <f t="shared" si="4"/>
        <v>645.11903399999994</v>
      </c>
      <c r="D94" s="105">
        <f t="shared" si="5"/>
        <v>215.03967799999998</v>
      </c>
      <c r="E94" s="105"/>
      <c r="F94" s="142">
        <v>9491.82</v>
      </c>
      <c r="G94" s="106">
        <v>7625.22</v>
      </c>
      <c r="H94" s="106">
        <v>116.17</v>
      </c>
      <c r="I94" s="106">
        <v>68.27</v>
      </c>
      <c r="J94" s="106">
        <v>1682.16</v>
      </c>
      <c r="K94" s="145">
        <v>1705.37</v>
      </c>
      <c r="L94" s="118">
        <v>0</v>
      </c>
      <c r="M94" s="106">
        <f t="shared" si="6"/>
        <v>1705.37</v>
      </c>
      <c r="N94" s="106">
        <f t="shared" si="7"/>
        <v>9515.0300000000007</v>
      </c>
      <c r="O94" s="114"/>
    </row>
    <row r="95" spans="1:15" s="94" customFormat="1">
      <c r="A95" s="173" t="s">
        <v>121</v>
      </c>
      <c r="B95" s="106">
        <v>8933.1</v>
      </c>
      <c r="C95" s="105">
        <f t="shared" si="4"/>
        <v>605.66417999999999</v>
      </c>
      <c r="D95" s="105">
        <f t="shared" si="5"/>
        <v>201.88806</v>
      </c>
      <c r="E95" s="105"/>
      <c r="F95" s="142">
        <v>8933.1</v>
      </c>
      <c r="G95" s="106">
        <v>7339.26</v>
      </c>
      <c r="H95" s="106">
        <v>0</v>
      </c>
      <c r="I95" s="106">
        <v>77.39</v>
      </c>
      <c r="J95" s="106">
        <v>1516.45</v>
      </c>
      <c r="K95" s="143">
        <v>1516.45</v>
      </c>
      <c r="L95" s="118">
        <v>0</v>
      </c>
      <c r="M95" s="106">
        <f t="shared" si="6"/>
        <v>1516.45</v>
      </c>
      <c r="N95" s="106">
        <f t="shared" si="7"/>
        <v>8933.1</v>
      </c>
      <c r="O95" s="114"/>
    </row>
    <row r="96" spans="1:15" s="94" customFormat="1">
      <c r="A96" s="173" t="s">
        <v>122</v>
      </c>
      <c r="B96" s="106">
        <v>9723.83</v>
      </c>
      <c r="C96" s="105">
        <f t="shared" si="4"/>
        <v>659.27567399999998</v>
      </c>
      <c r="D96" s="105">
        <f t="shared" si="5"/>
        <v>219.75855799999997</v>
      </c>
      <c r="E96" s="105"/>
      <c r="F96" s="142">
        <v>9697.43</v>
      </c>
      <c r="G96" s="106">
        <v>7344.08</v>
      </c>
      <c r="H96" s="106">
        <v>207.6</v>
      </c>
      <c r="I96" s="106">
        <v>75</v>
      </c>
      <c r="J96" s="106">
        <v>2070.75</v>
      </c>
      <c r="K96" s="143">
        <v>2097.15</v>
      </c>
      <c r="L96" s="118">
        <v>0</v>
      </c>
      <c r="M96" s="106">
        <f t="shared" si="6"/>
        <v>2097.15</v>
      </c>
      <c r="N96" s="106">
        <f t="shared" si="7"/>
        <v>9723.83</v>
      </c>
      <c r="O96" s="114"/>
    </row>
    <row r="97" spans="1:15" s="94" customFormat="1">
      <c r="A97" s="173" t="s">
        <v>123</v>
      </c>
      <c r="B97" s="106">
        <v>7801.2899999999991</v>
      </c>
      <c r="C97" s="105">
        <f t="shared" si="4"/>
        <v>528.92746199999988</v>
      </c>
      <c r="D97" s="105">
        <f t="shared" si="5"/>
        <v>176.30915399999995</v>
      </c>
      <c r="E97" s="105"/>
      <c r="F97" s="142">
        <v>7896.68</v>
      </c>
      <c r="G97" s="106">
        <v>5657.82</v>
      </c>
      <c r="H97" s="106">
        <v>201.86</v>
      </c>
      <c r="I97" s="106">
        <v>212.4</v>
      </c>
      <c r="J97" s="106">
        <v>1824.6</v>
      </c>
      <c r="K97" s="143">
        <v>1729.21</v>
      </c>
      <c r="L97" s="118">
        <v>0</v>
      </c>
      <c r="M97" s="106">
        <f t="shared" si="6"/>
        <v>1729.21</v>
      </c>
      <c r="N97" s="106">
        <f t="shared" si="7"/>
        <v>7801.2899999999991</v>
      </c>
      <c r="O97" s="114"/>
    </row>
    <row r="98" spans="1:15" s="94" customFormat="1">
      <c r="A98" s="173" t="s">
        <v>124</v>
      </c>
      <c r="B98" s="106">
        <v>9699.92</v>
      </c>
      <c r="C98" s="105">
        <f t="shared" si="4"/>
        <v>657.65457599999991</v>
      </c>
      <c r="D98" s="105">
        <f t="shared" si="5"/>
        <v>219.21819199999999</v>
      </c>
      <c r="E98" s="105"/>
      <c r="F98" s="142">
        <v>9722.1200000000008</v>
      </c>
      <c r="G98" s="106">
        <v>7494.14</v>
      </c>
      <c r="H98" s="106">
        <v>136</v>
      </c>
      <c r="I98" s="106">
        <v>66.33</v>
      </c>
      <c r="J98" s="106">
        <v>2025.65</v>
      </c>
      <c r="K98" s="143">
        <v>2003.45</v>
      </c>
      <c r="L98" s="118">
        <v>0</v>
      </c>
      <c r="M98" s="106">
        <f t="shared" si="6"/>
        <v>2003.45</v>
      </c>
      <c r="N98" s="106">
        <f t="shared" si="7"/>
        <v>9699.92</v>
      </c>
      <c r="O98" s="114"/>
    </row>
    <row r="99" spans="1:15" s="94" customFormat="1">
      <c r="A99" s="173" t="s">
        <v>125</v>
      </c>
      <c r="B99" s="106">
        <v>10751.68</v>
      </c>
      <c r="C99" s="105">
        <f t="shared" si="4"/>
        <v>728.96390399999996</v>
      </c>
      <c r="D99" s="105">
        <f t="shared" si="5"/>
        <v>242.987968</v>
      </c>
      <c r="E99" s="105"/>
      <c r="F99" s="142">
        <v>11285.55</v>
      </c>
      <c r="G99" s="106">
        <v>8390.2099999999991</v>
      </c>
      <c r="H99" s="106">
        <v>109.4</v>
      </c>
      <c r="I99" s="106">
        <v>71.400000000000006</v>
      </c>
      <c r="J99" s="106">
        <v>2714.54</v>
      </c>
      <c r="K99" s="143">
        <v>2629.35</v>
      </c>
      <c r="L99" s="145">
        <v>448.68</v>
      </c>
      <c r="M99" s="106">
        <f t="shared" si="6"/>
        <v>2180.67</v>
      </c>
      <c r="N99" s="106">
        <f t="shared" si="7"/>
        <v>10751.679999999998</v>
      </c>
      <c r="O99" s="114"/>
    </row>
    <row r="100" spans="1:15" s="94" customFormat="1">
      <c r="A100" s="187" t="s">
        <v>126</v>
      </c>
      <c r="B100" s="106">
        <v>9122.01</v>
      </c>
      <c r="C100" s="105">
        <f t="shared" si="4"/>
        <v>618.47227799999996</v>
      </c>
      <c r="D100" s="105">
        <f t="shared" si="5"/>
        <v>206.15742599999999</v>
      </c>
      <c r="E100" s="105"/>
      <c r="F100" s="142">
        <v>9757.67</v>
      </c>
      <c r="G100" s="106">
        <v>5892.12</v>
      </c>
      <c r="H100" s="106">
        <v>172.76</v>
      </c>
      <c r="I100" s="106">
        <v>166.8</v>
      </c>
      <c r="J100" s="106">
        <v>3525.99</v>
      </c>
      <c r="K100" s="143">
        <v>3564.39</v>
      </c>
      <c r="L100" s="145">
        <v>674.06</v>
      </c>
      <c r="M100" s="106">
        <f t="shared" si="6"/>
        <v>2890.33</v>
      </c>
      <c r="N100" s="106">
        <f t="shared" si="7"/>
        <v>9122.01</v>
      </c>
      <c r="O100" s="114"/>
    </row>
    <row r="101" spans="1:15" s="94" customFormat="1">
      <c r="A101" s="187" t="s">
        <v>127</v>
      </c>
      <c r="B101" s="106">
        <v>9419.27</v>
      </c>
      <c r="C101" s="105">
        <f t="shared" si="4"/>
        <v>638.62650599999995</v>
      </c>
      <c r="D101" s="105">
        <f t="shared" si="5"/>
        <v>212.87550199999998</v>
      </c>
      <c r="E101" s="11">
        <v>285</v>
      </c>
      <c r="F101" s="142">
        <v>9832.73</v>
      </c>
      <c r="G101" s="106">
        <v>7088.72</v>
      </c>
      <c r="H101" s="106">
        <v>131.12</v>
      </c>
      <c r="I101" s="106">
        <v>211.73</v>
      </c>
      <c r="J101" s="106">
        <v>2401.16</v>
      </c>
      <c r="K101" s="143">
        <v>2450.35</v>
      </c>
      <c r="L101" s="145">
        <v>462.65</v>
      </c>
      <c r="M101" s="106">
        <f t="shared" si="6"/>
        <v>1987.6999999999998</v>
      </c>
      <c r="N101" s="106">
        <f t="shared" si="7"/>
        <v>9419.27</v>
      </c>
      <c r="O101" s="114"/>
    </row>
    <row r="102" spans="1:15" s="94" customFormat="1">
      <c r="A102" s="187" t="s">
        <v>128</v>
      </c>
      <c r="B102" s="106">
        <v>10415.91</v>
      </c>
      <c r="C102" s="105">
        <f t="shared" si="4"/>
        <v>706.19869799999981</v>
      </c>
      <c r="D102" s="105">
        <f t="shared" si="5"/>
        <v>235.39956599999996</v>
      </c>
      <c r="E102" s="11">
        <v>378</v>
      </c>
      <c r="F102" s="142">
        <v>11175.11</v>
      </c>
      <c r="G102" s="106">
        <v>7756.08</v>
      </c>
      <c r="H102" s="106">
        <v>48</v>
      </c>
      <c r="I102" s="106">
        <v>58.8</v>
      </c>
      <c r="J102" s="106">
        <v>3312.23</v>
      </c>
      <c r="K102" s="143">
        <v>3326.64</v>
      </c>
      <c r="L102" s="145">
        <v>773.61</v>
      </c>
      <c r="M102" s="106">
        <f t="shared" si="6"/>
        <v>2553.0299999999997</v>
      </c>
      <c r="N102" s="106">
        <f t="shared" si="7"/>
        <v>10415.91</v>
      </c>
      <c r="O102" s="114"/>
    </row>
    <row r="103" spans="1:15" s="94" customFormat="1">
      <c r="A103" s="187" t="s">
        <v>129</v>
      </c>
      <c r="B103" s="106">
        <v>9101.52</v>
      </c>
      <c r="C103" s="105">
        <f t="shared" si="4"/>
        <v>617.08305599999994</v>
      </c>
      <c r="D103" s="105">
        <f t="shared" si="5"/>
        <v>205.69435200000001</v>
      </c>
      <c r="E103" s="11">
        <v>311</v>
      </c>
      <c r="F103" s="142">
        <v>9721.1200000000008</v>
      </c>
      <c r="G103" s="106">
        <v>6488.6</v>
      </c>
      <c r="H103" s="118">
        <v>0</v>
      </c>
      <c r="I103" s="106">
        <v>209.74</v>
      </c>
      <c r="J103" s="106">
        <v>3022.78</v>
      </c>
      <c r="K103" s="143">
        <v>3077.98</v>
      </c>
      <c r="L103" s="145">
        <v>674.8</v>
      </c>
      <c r="M103" s="106">
        <f t="shared" si="6"/>
        <v>2403.1800000000003</v>
      </c>
      <c r="N103" s="106">
        <f t="shared" si="7"/>
        <v>9101.52</v>
      </c>
      <c r="O103" s="114"/>
    </row>
    <row r="104" spans="1:15" s="94" customFormat="1">
      <c r="A104" s="187" t="s">
        <v>130</v>
      </c>
      <c r="B104" s="106">
        <v>9528.0399999999991</v>
      </c>
      <c r="C104" s="105">
        <f t="shared" si="4"/>
        <v>646.00111199999981</v>
      </c>
      <c r="D104" s="105">
        <f t="shared" si="5"/>
        <v>215.33370399999995</v>
      </c>
      <c r="E104" s="11">
        <v>307</v>
      </c>
      <c r="F104" s="142">
        <v>10132.290000000001</v>
      </c>
      <c r="G104" s="106">
        <v>6846.95</v>
      </c>
      <c r="H104" s="106">
        <v>213.87</v>
      </c>
      <c r="I104" s="106">
        <v>197.19</v>
      </c>
      <c r="J104" s="106">
        <v>2874.28</v>
      </c>
      <c r="K104" s="143">
        <v>2919.88</v>
      </c>
      <c r="L104" s="145">
        <v>649.85</v>
      </c>
      <c r="M104" s="106">
        <f t="shared" si="6"/>
        <v>2270.0300000000002</v>
      </c>
      <c r="N104" s="106">
        <f t="shared" si="7"/>
        <v>9528.0399999999991</v>
      </c>
      <c r="O104" s="114"/>
    </row>
    <row r="105" spans="1:15" s="94" customFormat="1">
      <c r="A105" s="187" t="s">
        <v>131</v>
      </c>
      <c r="B105" s="106">
        <v>10371.73</v>
      </c>
      <c r="C105" s="105">
        <f t="shared" si="4"/>
        <v>703.2032939999998</v>
      </c>
      <c r="D105" s="105">
        <f t="shared" si="5"/>
        <v>234.40109799999996</v>
      </c>
      <c r="E105" s="11">
        <v>294</v>
      </c>
      <c r="F105" s="142">
        <v>10689.38</v>
      </c>
      <c r="G105" s="106">
        <v>7505.28</v>
      </c>
      <c r="H105" s="106">
        <v>157.47</v>
      </c>
      <c r="I105" s="106">
        <v>80.400000000000006</v>
      </c>
      <c r="J105" s="106">
        <v>2946.23</v>
      </c>
      <c r="K105" s="143">
        <v>3143.13</v>
      </c>
      <c r="L105" s="145">
        <v>514.54999999999995</v>
      </c>
      <c r="M105" s="106">
        <f t="shared" si="6"/>
        <v>2628.58</v>
      </c>
      <c r="N105" s="106">
        <f t="shared" si="7"/>
        <v>10371.73</v>
      </c>
      <c r="O105" s="114"/>
    </row>
    <row r="106" spans="1:15" s="94" customFormat="1">
      <c r="A106" s="187" t="s">
        <v>132</v>
      </c>
      <c r="B106" s="106">
        <v>9854.6200000000008</v>
      </c>
      <c r="C106" s="105">
        <f t="shared" si="4"/>
        <v>668.14323599999989</v>
      </c>
      <c r="D106" s="105">
        <f t="shared" si="5"/>
        <v>222.71441200000001</v>
      </c>
      <c r="E106" s="11">
        <v>300</v>
      </c>
      <c r="F106" s="142">
        <v>10355.620000000001</v>
      </c>
      <c r="G106" s="106">
        <v>7294.81</v>
      </c>
      <c r="H106" s="106">
        <v>147.5</v>
      </c>
      <c r="I106" s="106">
        <v>54</v>
      </c>
      <c r="J106" s="106">
        <v>2859.31</v>
      </c>
      <c r="K106" s="143">
        <v>2939.01</v>
      </c>
      <c r="L106" s="145">
        <v>580.70000000000005</v>
      </c>
      <c r="M106" s="106">
        <f t="shared" si="6"/>
        <v>2358.3100000000004</v>
      </c>
      <c r="N106" s="106">
        <f t="shared" si="7"/>
        <v>9854.6200000000008</v>
      </c>
      <c r="O106" s="114"/>
    </row>
    <row r="107" spans="1:15" s="94" customFormat="1">
      <c r="A107" s="187" t="s">
        <v>133</v>
      </c>
      <c r="B107" s="106">
        <v>9335.7199999999993</v>
      </c>
      <c r="C107" s="105">
        <f t="shared" si="4"/>
        <v>632.96181599999989</v>
      </c>
      <c r="D107" s="105">
        <f t="shared" si="5"/>
        <v>210.98727199999996</v>
      </c>
      <c r="E107" s="11">
        <v>324</v>
      </c>
      <c r="F107" s="142">
        <v>9950.75</v>
      </c>
      <c r="G107" s="106">
        <v>6940.95</v>
      </c>
      <c r="H107" s="106">
        <v>38.799999999999997</v>
      </c>
      <c r="I107" s="106">
        <v>96.46</v>
      </c>
      <c r="J107" s="106">
        <v>2874.54</v>
      </c>
      <c r="K107" s="143">
        <v>2866.16</v>
      </c>
      <c r="L107" s="145">
        <v>606.65</v>
      </c>
      <c r="M107" s="106">
        <f t="shared" si="6"/>
        <v>2259.5099999999998</v>
      </c>
      <c r="N107" s="106">
        <f t="shared" si="7"/>
        <v>9335.7199999999993</v>
      </c>
      <c r="O107" s="114"/>
    </row>
    <row r="108" spans="1:15" s="94" customFormat="1">
      <c r="A108" s="187" t="s">
        <v>134</v>
      </c>
      <c r="B108" s="106">
        <v>8355.39</v>
      </c>
      <c r="C108" s="105">
        <f t="shared" si="4"/>
        <v>566.49544199999991</v>
      </c>
      <c r="D108" s="105">
        <f t="shared" si="5"/>
        <v>188.83181399999998</v>
      </c>
      <c r="E108" s="11">
        <v>264</v>
      </c>
      <c r="F108" s="142">
        <v>8307.99</v>
      </c>
      <c r="G108" s="106">
        <v>6073.96</v>
      </c>
      <c r="H108" s="106">
        <v>121</v>
      </c>
      <c r="I108" s="106">
        <v>157.35</v>
      </c>
      <c r="J108" s="106">
        <v>1955.68</v>
      </c>
      <c r="K108" s="143">
        <v>2003.08</v>
      </c>
      <c r="L108" s="145">
        <v>0</v>
      </c>
      <c r="M108" s="106">
        <f t="shared" si="6"/>
        <v>2003.08</v>
      </c>
      <c r="N108" s="106">
        <f t="shared" si="7"/>
        <v>8355.39</v>
      </c>
      <c r="O108" s="114"/>
    </row>
    <row r="109" spans="1:15" s="94" customFormat="1">
      <c r="A109" s="187" t="s">
        <v>135</v>
      </c>
      <c r="B109" s="106">
        <v>7442.9399999999987</v>
      </c>
      <c r="C109" s="105">
        <f t="shared" si="4"/>
        <v>504.63133199999987</v>
      </c>
      <c r="D109" s="105">
        <f t="shared" si="5"/>
        <v>168.21044399999997</v>
      </c>
      <c r="E109" s="11">
        <v>241</v>
      </c>
      <c r="F109" s="142">
        <v>7321.46</v>
      </c>
      <c r="G109" s="106">
        <v>5435.7</v>
      </c>
      <c r="H109" s="106">
        <v>134.44</v>
      </c>
      <c r="I109" s="106">
        <v>121.78</v>
      </c>
      <c r="J109" s="106">
        <v>1629.54</v>
      </c>
      <c r="K109" s="143">
        <v>1751.02</v>
      </c>
      <c r="L109" s="145">
        <v>0</v>
      </c>
      <c r="M109" s="106">
        <f t="shared" si="6"/>
        <v>1751.02</v>
      </c>
      <c r="N109" s="106">
        <f t="shared" si="7"/>
        <v>7442.9399999999987</v>
      </c>
      <c r="O109" s="114"/>
    </row>
    <row r="110" spans="1:15" s="94" customFormat="1">
      <c r="A110" s="187" t="s">
        <v>136</v>
      </c>
      <c r="B110" s="106">
        <v>7721.95</v>
      </c>
      <c r="C110" s="105">
        <f t="shared" si="4"/>
        <v>523.54820999999993</v>
      </c>
      <c r="D110" s="105">
        <f t="shared" si="5"/>
        <v>174.51606999999998</v>
      </c>
      <c r="E110" s="11">
        <v>249</v>
      </c>
      <c r="F110" s="142">
        <v>7634.65</v>
      </c>
      <c r="G110" s="106">
        <v>6041.33</v>
      </c>
      <c r="H110" s="106">
        <v>161.07</v>
      </c>
      <c r="I110" s="118">
        <v>0</v>
      </c>
      <c r="J110" s="106">
        <v>1432.25</v>
      </c>
      <c r="K110" s="143">
        <v>1519.55</v>
      </c>
      <c r="L110" s="145">
        <v>0</v>
      </c>
      <c r="M110" s="106">
        <f t="shared" si="6"/>
        <v>1519.55</v>
      </c>
      <c r="N110" s="106">
        <f t="shared" si="7"/>
        <v>7721.95</v>
      </c>
      <c r="O110" s="114"/>
    </row>
    <row r="111" spans="1:15" s="94" customFormat="1">
      <c r="A111" s="187" t="s">
        <v>137</v>
      </c>
      <c r="B111" s="106">
        <v>7747.38</v>
      </c>
      <c r="C111" s="105">
        <f t="shared" si="4"/>
        <v>525.27236399999992</v>
      </c>
      <c r="D111" s="105">
        <f t="shared" si="5"/>
        <v>175.09078799999997</v>
      </c>
      <c r="E111" s="56">
        <v>250</v>
      </c>
      <c r="F111" s="142">
        <v>7738.98</v>
      </c>
      <c r="G111" s="106">
        <v>6213</v>
      </c>
      <c r="H111" s="106">
        <v>18</v>
      </c>
      <c r="I111" s="106">
        <v>132.88999999999999</v>
      </c>
      <c r="J111" s="106">
        <v>1375.09</v>
      </c>
      <c r="K111" s="143">
        <v>1383.49</v>
      </c>
      <c r="L111" s="145">
        <v>0</v>
      </c>
      <c r="M111" s="106">
        <f t="shared" si="6"/>
        <v>1383.49</v>
      </c>
      <c r="N111" s="106">
        <f t="shared" si="7"/>
        <v>7747.38</v>
      </c>
      <c r="O111" s="114"/>
    </row>
    <row r="112" spans="1:15" s="94" customFormat="1">
      <c r="A112" s="187" t="s">
        <v>138</v>
      </c>
      <c r="B112" s="106">
        <v>7630.9199999999992</v>
      </c>
      <c r="C112" s="105">
        <f t="shared" si="4"/>
        <v>517.37637599999982</v>
      </c>
      <c r="D112" s="105">
        <f t="shared" si="5"/>
        <v>172.45879199999996</v>
      </c>
      <c r="E112" s="11">
        <v>248</v>
      </c>
      <c r="F112" s="142">
        <v>7685.27</v>
      </c>
      <c r="G112" s="106">
        <v>6256.78</v>
      </c>
      <c r="H112" s="106">
        <v>115.07</v>
      </c>
      <c r="I112" s="106">
        <v>112.28</v>
      </c>
      <c r="J112" s="106">
        <v>1201.1400000000001</v>
      </c>
      <c r="K112" s="143">
        <v>1205.95</v>
      </c>
      <c r="L112" s="145">
        <v>59.16</v>
      </c>
      <c r="M112" s="106">
        <f t="shared" si="6"/>
        <v>1146.79</v>
      </c>
      <c r="N112" s="106">
        <f t="shared" si="7"/>
        <v>7630.9199999999992</v>
      </c>
      <c r="O112" s="114"/>
    </row>
    <row r="113" spans="1:15" s="94" customFormat="1">
      <c r="A113" s="187" t="s">
        <v>139</v>
      </c>
      <c r="B113" s="106">
        <v>9383.4</v>
      </c>
      <c r="C113" s="105">
        <f t="shared" si="4"/>
        <v>636.19451999999978</v>
      </c>
      <c r="D113" s="105">
        <f t="shared" si="5"/>
        <v>212.06483999999998</v>
      </c>
      <c r="E113" s="11">
        <v>287</v>
      </c>
      <c r="F113" s="142">
        <v>9383.4</v>
      </c>
      <c r="G113" s="106">
        <v>7417.86</v>
      </c>
      <c r="H113" s="106">
        <v>176.96</v>
      </c>
      <c r="I113" s="106">
        <v>87.18</v>
      </c>
      <c r="J113" s="106">
        <v>1701.4</v>
      </c>
      <c r="K113" s="145">
        <v>1701.4</v>
      </c>
      <c r="L113" s="145">
        <v>0</v>
      </c>
      <c r="M113" s="106">
        <f t="shared" si="6"/>
        <v>1701.4</v>
      </c>
      <c r="N113" s="106">
        <f t="shared" si="7"/>
        <v>9383.4</v>
      </c>
      <c r="O113" s="114"/>
    </row>
    <row r="114" spans="1:15" s="94" customFormat="1">
      <c r="A114" s="187" t="s">
        <v>140</v>
      </c>
      <c r="B114" s="106">
        <v>8292.7199999999993</v>
      </c>
      <c r="C114" s="105">
        <f t="shared" si="4"/>
        <v>562.24641599999984</v>
      </c>
      <c r="D114" s="105">
        <f t="shared" si="5"/>
        <v>187.41547199999999</v>
      </c>
      <c r="E114" s="11"/>
      <c r="F114" s="187">
        <v>8292.7199999999993</v>
      </c>
      <c r="G114" s="187">
        <v>6642.43</v>
      </c>
      <c r="H114" s="187">
        <v>88</v>
      </c>
      <c r="I114" s="187">
        <v>286.49</v>
      </c>
      <c r="J114" s="187">
        <v>1275.8</v>
      </c>
      <c r="K114" s="298">
        <v>1275.8</v>
      </c>
      <c r="L114" s="145">
        <v>0</v>
      </c>
      <c r="M114" s="106">
        <f t="shared" si="6"/>
        <v>1275.8</v>
      </c>
      <c r="N114" s="106">
        <f t="shared" si="7"/>
        <v>8292.7199999999993</v>
      </c>
      <c r="O114" s="114"/>
    </row>
    <row r="115" spans="1:15" s="94" customFormat="1">
      <c r="A115" s="187" t="s">
        <v>141</v>
      </c>
      <c r="B115" s="106">
        <v>8898.09</v>
      </c>
      <c r="C115" s="105">
        <f t="shared" si="4"/>
        <v>603.29050199999995</v>
      </c>
      <c r="D115" s="105">
        <f t="shared" si="5"/>
        <v>201.096834</v>
      </c>
      <c r="E115" s="2">
        <v>261</v>
      </c>
      <c r="F115" s="187">
        <v>8755.4500000000007</v>
      </c>
      <c r="G115" s="187">
        <v>7054.66</v>
      </c>
      <c r="H115" s="187">
        <v>290.91000000000003</v>
      </c>
      <c r="I115" s="187">
        <v>132.46</v>
      </c>
      <c r="J115" s="187">
        <v>1277.42</v>
      </c>
      <c r="K115" s="145">
        <v>1420.06</v>
      </c>
      <c r="L115" s="145">
        <v>0</v>
      </c>
      <c r="M115" s="106">
        <f t="shared" si="6"/>
        <v>1420.06</v>
      </c>
      <c r="N115" s="106">
        <f t="shared" si="7"/>
        <v>8898.09</v>
      </c>
      <c r="O115" s="114"/>
    </row>
    <row r="116" spans="1:15" s="94" customFormat="1">
      <c r="A116" s="187" t="s">
        <v>142</v>
      </c>
      <c r="B116" s="106">
        <v>7239.2099999999991</v>
      </c>
      <c r="C116" s="105">
        <f t="shared" si="4"/>
        <v>490.8184379999999</v>
      </c>
      <c r="D116" s="105">
        <f t="shared" si="5"/>
        <v>163.606146</v>
      </c>
      <c r="E116" s="2">
        <v>231</v>
      </c>
      <c r="F116" s="187">
        <v>7172.12</v>
      </c>
      <c r="G116" s="187">
        <v>5412.3</v>
      </c>
      <c r="H116" s="187">
        <v>62.4</v>
      </c>
      <c r="I116" s="187">
        <v>29.99</v>
      </c>
      <c r="J116" s="187">
        <v>1667.43</v>
      </c>
      <c r="K116" s="145">
        <v>1734.52</v>
      </c>
      <c r="L116" s="145">
        <v>0</v>
      </c>
      <c r="M116" s="106">
        <f t="shared" si="6"/>
        <v>1734.52</v>
      </c>
      <c r="N116" s="106">
        <f t="shared" si="7"/>
        <v>7239.2099999999991</v>
      </c>
      <c r="O116" s="114"/>
    </row>
    <row r="117" spans="1:15" s="94" customFormat="1">
      <c r="A117" s="187" t="s">
        <v>143</v>
      </c>
      <c r="B117" s="106">
        <v>8001.94</v>
      </c>
      <c r="C117" s="105">
        <f t="shared" si="4"/>
        <v>542.53153199999986</v>
      </c>
      <c r="D117" s="105">
        <f t="shared" si="5"/>
        <v>180.84384399999999</v>
      </c>
      <c r="E117" s="187" t="s">
        <v>344</v>
      </c>
      <c r="F117" s="187">
        <v>7961.01</v>
      </c>
      <c r="G117" s="187">
        <v>5823.18</v>
      </c>
      <c r="H117" s="187">
        <v>34</v>
      </c>
      <c r="I117" s="187">
        <v>144.47999999999999</v>
      </c>
      <c r="J117" s="187">
        <v>1959.35</v>
      </c>
      <c r="K117" s="301">
        <v>2000.28</v>
      </c>
      <c r="L117" s="145">
        <v>0</v>
      </c>
      <c r="M117" s="106">
        <f t="shared" si="6"/>
        <v>2000.28</v>
      </c>
      <c r="N117" s="106">
        <f t="shared" si="7"/>
        <v>8001.94</v>
      </c>
      <c r="O117" s="114"/>
    </row>
    <row r="118" spans="1:15" s="94" customFormat="1">
      <c r="A118" s="187" t="s">
        <v>145</v>
      </c>
      <c r="B118" s="106">
        <v>7600.8099999999986</v>
      </c>
      <c r="C118" s="105">
        <f t="shared" si="4"/>
        <v>515.3349179999999</v>
      </c>
      <c r="D118" s="105">
        <f t="shared" si="5"/>
        <v>171.77830599999996</v>
      </c>
      <c r="E118" s="187" t="s">
        <v>345</v>
      </c>
      <c r="F118" s="187">
        <v>7559.07</v>
      </c>
      <c r="G118" s="187">
        <v>6084.54</v>
      </c>
      <c r="H118" s="187">
        <v>26.4</v>
      </c>
      <c r="I118" s="187">
        <v>0</v>
      </c>
      <c r="J118" s="187">
        <v>1448.13</v>
      </c>
      <c r="K118" s="145">
        <v>1489.87</v>
      </c>
      <c r="L118" s="145">
        <v>0</v>
      </c>
      <c r="M118" s="106">
        <f t="shared" si="6"/>
        <v>1489.87</v>
      </c>
      <c r="N118" s="106">
        <f t="shared" si="7"/>
        <v>7600.8099999999995</v>
      </c>
      <c r="O118" s="114"/>
    </row>
    <row r="119" spans="1:15" s="94" customFormat="1">
      <c r="A119" s="2" t="s">
        <v>147</v>
      </c>
      <c r="B119" s="106">
        <v>8038.43</v>
      </c>
      <c r="C119" s="105">
        <f t="shared" ref="C119:C145" si="8">(B119*0.06)*1.13</f>
        <v>545.00555399999996</v>
      </c>
      <c r="D119" s="105">
        <f t="shared" ref="D119:D144" si="9">(B119*0.02)*1.13</f>
        <v>181.66851800000001</v>
      </c>
      <c r="E119" s="187" t="s">
        <v>164</v>
      </c>
      <c r="F119" s="187">
        <v>8134.630000000001</v>
      </c>
      <c r="G119" s="187">
        <v>5658</v>
      </c>
      <c r="H119" s="187">
        <v>151.06</v>
      </c>
      <c r="I119" s="187">
        <v>94.89</v>
      </c>
      <c r="J119" s="187">
        <v>2230.6799999999998</v>
      </c>
      <c r="K119" s="145">
        <v>2200.21</v>
      </c>
      <c r="L119" s="145">
        <v>65.73</v>
      </c>
      <c r="M119" s="106">
        <f t="shared" ref="M119:M144" si="10">K119-L119</f>
        <v>2134.48</v>
      </c>
      <c r="N119" s="106">
        <f t="shared" ref="N119:N144" si="11">SUM(G119,H119,I119,M119)</f>
        <v>8038.43</v>
      </c>
      <c r="O119" s="114"/>
    </row>
    <row r="120" spans="1:15" s="94" customFormat="1">
      <c r="A120" s="2" t="s">
        <v>149</v>
      </c>
      <c r="B120" s="106">
        <v>8358.9500000000007</v>
      </c>
      <c r="C120" s="105">
        <f t="shared" si="8"/>
        <v>566.73680999999999</v>
      </c>
      <c r="D120" s="105">
        <f t="shared" si="9"/>
        <v>188.91227000000001</v>
      </c>
      <c r="E120" s="187">
        <v>271</v>
      </c>
      <c r="F120" s="187">
        <v>8499.65</v>
      </c>
      <c r="G120" s="187">
        <v>6178.94</v>
      </c>
      <c r="H120" s="187">
        <v>20.14</v>
      </c>
      <c r="I120" s="187">
        <v>79.349999999999994</v>
      </c>
      <c r="J120" s="187">
        <v>2221.2199999999998</v>
      </c>
      <c r="K120" s="145">
        <v>2261.3000000000002</v>
      </c>
      <c r="L120" s="145">
        <v>180.78</v>
      </c>
      <c r="M120" s="106">
        <f t="shared" si="10"/>
        <v>2080.52</v>
      </c>
      <c r="N120" s="106">
        <f t="shared" si="11"/>
        <v>8358.9500000000007</v>
      </c>
      <c r="O120" s="114"/>
    </row>
    <row r="121" spans="1:15" s="94" customFormat="1">
      <c r="A121" s="2" t="s">
        <v>150</v>
      </c>
      <c r="B121" s="106">
        <v>8898.77</v>
      </c>
      <c r="C121" s="105">
        <f t="shared" si="8"/>
        <v>603.33660599999996</v>
      </c>
      <c r="D121" s="105">
        <f t="shared" si="9"/>
        <v>201.112202</v>
      </c>
      <c r="E121" s="300">
        <v>341</v>
      </c>
      <c r="F121" s="187">
        <v>9145.6899999999987</v>
      </c>
      <c r="G121" s="187">
        <v>5879.82</v>
      </c>
      <c r="H121" s="187">
        <v>67.34</v>
      </c>
      <c r="I121" s="187">
        <v>43.49</v>
      </c>
      <c r="J121" s="187">
        <v>3155.04</v>
      </c>
      <c r="K121" s="145">
        <v>3121.66</v>
      </c>
      <c r="L121" s="145">
        <v>213.54</v>
      </c>
      <c r="M121" s="106">
        <f t="shared" si="10"/>
        <v>2908.12</v>
      </c>
      <c r="N121" s="106">
        <f t="shared" si="11"/>
        <v>8898.77</v>
      </c>
      <c r="O121" s="114"/>
    </row>
    <row r="122" spans="1:15" s="94" customFormat="1">
      <c r="A122" s="299" t="s">
        <v>151</v>
      </c>
      <c r="B122" s="106">
        <v>8495.7199999999993</v>
      </c>
      <c r="C122" s="105">
        <f t="shared" si="8"/>
        <v>576.00981599999989</v>
      </c>
      <c r="D122" s="105">
        <f t="shared" si="9"/>
        <v>192.00327199999998</v>
      </c>
      <c r="E122" s="187" t="s">
        <v>156</v>
      </c>
      <c r="F122" s="187">
        <v>8532.7000000000007</v>
      </c>
      <c r="G122" s="187">
        <v>5405.2</v>
      </c>
      <c r="H122" s="187">
        <v>49.2</v>
      </c>
      <c r="I122" s="187">
        <v>181.29</v>
      </c>
      <c r="J122" s="187">
        <v>2897.01</v>
      </c>
      <c r="K122" s="145">
        <v>3075.97</v>
      </c>
      <c r="L122" s="145">
        <v>215.94</v>
      </c>
      <c r="M122" s="106">
        <f t="shared" si="10"/>
        <v>2860.0299999999997</v>
      </c>
      <c r="N122" s="106">
        <f t="shared" si="11"/>
        <v>8495.7199999999993</v>
      </c>
      <c r="O122" s="114"/>
    </row>
    <row r="123" spans="1:15" s="94" customFormat="1">
      <c r="A123" s="2" t="s">
        <v>153</v>
      </c>
      <c r="B123" s="106">
        <v>8747.0499999999993</v>
      </c>
      <c r="C123" s="105">
        <f t="shared" si="8"/>
        <v>593.04998999999987</v>
      </c>
      <c r="D123" s="105">
        <f t="shared" si="9"/>
        <v>197.68332999999998</v>
      </c>
      <c r="E123" s="187" t="s">
        <v>346</v>
      </c>
      <c r="F123" s="187">
        <v>9053.23</v>
      </c>
      <c r="G123" s="187">
        <v>6354.74</v>
      </c>
      <c r="H123" s="187">
        <v>106.19</v>
      </c>
      <c r="I123" s="187">
        <v>112.18</v>
      </c>
      <c r="J123" s="187">
        <v>2480.12</v>
      </c>
      <c r="K123" s="145">
        <v>2447.42</v>
      </c>
      <c r="L123" s="145">
        <v>273.48</v>
      </c>
      <c r="M123" s="106">
        <f t="shared" si="10"/>
        <v>2173.94</v>
      </c>
      <c r="N123" s="106">
        <f t="shared" si="11"/>
        <v>8747.0499999999993</v>
      </c>
      <c r="O123" s="114"/>
    </row>
    <row r="124" spans="1:15" s="94" customFormat="1">
      <c r="A124" s="2" t="s">
        <v>154</v>
      </c>
      <c r="B124" s="106">
        <v>11628.19</v>
      </c>
      <c r="C124" s="105">
        <f t="shared" si="8"/>
        <v>788.39128199999993</v>
      </c>
      <c r="D124" s="105">
        <f t="shared" si="9"/>
        <v>262.79709400000002</v>
      </c>
      <c r="E124" s="118">
        <v>343</v>
      </c>
      <c r="F124" s="187">
        <v>11883.39</v>
      </c>
      <c r="G124" s="187">
        <v>7749.16</v>
      </c>
      <c r="H124" s="187">
        <v>132.27000000000001</v>
      </c>
      <c r="I124" s="187">
        <v>88.79</v>
      </c>
      <c r="J124" s="187">
        <v>3913.17</v>
      </c>
      <c r="K124" s="145">
        <v>3970.21</v>
      </c>
      <c r="L124" s="145">
        <v>312.24</v>
      </c>
      <c r="M124" s="106">
        <f t="shared" si="10"/>
        <v>3657.9700000000003</v>
      </c>
      <c r="N124" s="106">
        <f t="shared" si="11"/>
        <v>11628.19</v>
      </c>
      <c r="O124" s="114"/>
    </row>
    <row r="125" spans="1:15" s="94" customFormat="1">
      <c r="A125" s="11" t="s">
        <v>155</v>
      </c>
      <c r="B125" s="106">
        <v>11466.82</v>
      </c>
      <c r="C125" s="105">
        <f t="shared" si="8"/>
        <v>777.45039599999984</v>
      </c>
      <c r="D125" s="105">
        <f t="shared" si="9"/>
        <v>259.15013199999999</v>
      </c>
      <c r="E125" s="187" t="s">
        <v>347</v>
      </c>
      <c r="F125" s="187">
        <v>11419.83</v>
      </c>
      <c r="G125" s="187">
        <v>8178.74</v>
      </c>
      <c r="H125" s="187">
        <v>163.99</v>
      </c>
      <c r="I125" s="187">
        <v>137.49</v>
      </c>
      <c r="J125" s="187">
        <v>2939.61</v>
      </c>
      <c r="K125" s="145">
        <v>2986.6</v>
      </c>
      <c r="L125" s="145">
        <v>0</v>
      </c>
      <c r="M125" s="106">
        <f t="shared" si="10"/>
        <v>2986.6</v>
      </c>
      <c r="N125" s="106">
        <f t="shared" si="11"/>
        <v>11466.82</v>
      </c>
      <c r="O125" s="114"/>
    </row>
    <row r="126" spans="1:15" s="94" customFormat="1">
      <c r="A126" s="11" t="s">
        <v>157</v>
      </c>
      <c r="B126" s="106">
        <v>7183.9699999999993</v>
      </c>
      <c r="C126" s="105">
        <f t="shared" si="8"/>
        <v>487.0731659999999</v>
      </c>
      <c r="D126" s="105">
        <f t="shared" si="9"/>
        <v>162.35772199999997</v>
      </c>
      <c r="E126" s="187" t="s">
        <v>348</v>
      </c>
      <c r="F126" s="187">
        <v>7055.61</v>
      </c>
      <c r="G126" s="187">
        <v>5092.74</v>
      </c>
      <c r="H126" s="187">
        <v>82.54</v>
      </c>
      <c r="I126" s="187">
        <v>117.58</v>
      </c>
      <c r="J126" s="187">
        <v>1762.75</v>
      </c>
      <c r="K126" s="145">
        <v>1891.11</v>
      </c>
      <c r="L126" s="145">
        <v>0</v>
      </c>
      <c r="M126" s="106">
        <f t="shared" si="10"/>
        <v>1891.11</v>
      </c>
      <c r="N126" s="106">
        <f t="shared" si="11"/>
        <v>7183.9699999999993</v>
      </c>
      <c r="O126" s="114"/>
    </row>
    <row r="127" spans="1:15" s="94" customFormat="1">
      <c r="A127" s="11" t="s">
        <v>159</v>
      </c>
      <c r="B127" s="106">
        <v>8146.0700000000006</v>
      </c>
      <c r="C127" s="105">
        <f t="shared" si="8"/>
        <v>552.30354599999998</v>
      </c>
      <c r="D127" s="105">
        <f t="shared" si="9"/>
        <v>184.10118199999999</v>
      </c>
      <c r="E127" s="187" t="s">
        <v>349</v>
      </c>
      <c r="F127" s="56">
        <v>8277.1500000000015</v>
      </c>
      <c r="G127" s="187">
        <v>4714.7</v>
      </c>
      <c r="H127" s="187">
        <v>65.599999999999994</v>
      </c>
      <c r="I127" s="187">
        <v>131.47</v>
      </c>
      <c r="J127" s="187">
        <v>3365.38</v>
      </c>
      <c r="K127" s="145">
        <v>3474.57</v>
      </c>
      <c r="L127" s="145">
        <v>240.27</v>
      </c>
      <c r="M127" s="106">
        <f t="shared" si="10"/>
        <v>3234.3</v>
      </c>
      <c r="N127" s="106">
        <f t="shared" si="11"/>
        <v>8146.0700000000006</v>
      </c>
      <c r="O127" s="114"/>
    </row>
    <row r="128" spans="1:15" s="94" customFormat="1">
      <c r="A128" s="30" t="s">
        <v>161</v>
      </c>
      <c r="B128" s="106">
        <v>8098.8499999999995</v>
      </c>
      <c r="C128" s="105">
        <f t="shared" si="8"/>
        <v>549.1020299999999</v>
      </c>
      <c r="D128" s="105">
        <f t="shared" si="9"/>
        <v>183.03400999999999</v>
      </c>
      <c r="E128" s="187" t="s">
        <v>350</v>
      </c>
      <c r="F128" s="187">
        <v>8655.7099999999991</v>
      </c>
      <c r="G128" s="187">
        <v>5351.74</v>
      </c>
      <c r="H128" s="187">
        <v>74.900000000000006</v>
      </c>
      <c r="I128" s="187">
        <v>87.33</v>
      </c>
      <c r="J128" s="187">
        <v>3141.74</v>
      </c>
      <c r="K128" s="145">
        <v>3260.73</v>
      </c>
      <c r="L128" s="145">
        <v>675.85</v>
      </c>
      <c r="M128" s="106">
        <f t="shared" si="10"/>
        <v>2584.88</v>
      </c>
      <c r="N128" s="106">
        <f t="shared" si="11"/>
        <v>8098.8499999999995</v>
      </c>
      <c r="O128" s="114"/>
    </row>
    <row r="129" spans="1:19" s="94" customFormat="1">
      <c r="A129" s="30" t="s">
        <v>163</v>
      </c>
      <c r="B129" s="106">
        <v>10272.379999999999</v>
      </c>
      <c r="C129" s="105">
        <f t="shared" si="8"/>
        <v>696.46736399999986</v>
      </c>
      <c r="D129" s="105">
        <f t="shared" si="9"/>
        <v>232.15578799999997</v>
      </c>
      <c r="E129" s="187" t="s">
        <v>351</v>
      </c>
      <c r="F129" s="187">
        <v>10640.5</v>
      </c>
      <c r="G129" s="187">
        <v>6131.98</v>
      </c>
      <c r="H129" s="187">
        <v>362.89</v>
      </c>
      <c r="I129" s="187">
        <v>106.8</v>
      </c>
      <c r="J129" s="187">
        <v>4038.83</v>
      </c>
      <c r="K129" s="145">
        <v>4309.59</v>
      </c>
      <c r="L129" s="145">
        <v>638.88</v>
      </c>
      <c r="M129" s="106">
        <f t="shared" si="10"/>
        <v>3670.71</v>
      </c>
      <c r="N129" s="106">
        <f t="shared" si="11"/>
        <v>10272.380000000001</v>
      </c>
      <c r="O129" s="114"/>
    </row>
    <row r="130" spans="1:19" s="94" customFormat="1">
      <c r="A130" s="30" t="s">
        <v>165</v>
      </c>
      <c r="B130" s="106">
        <v>8499.36</v>
      </c>
      <c r="C130" s="105">
        <f t="shared" si="8"/>
        <v>576.25660800000003</v>
      </c>
      <c r="D130" s="105">
        <f t="shared" si="9"/>
        <v>192.08553599999999</v>
      </c>
      <c r="E130" s="2" t="s">
        <v>349</v>
      </c>
      <c r="F130" s="187">
        <v>8832.68</v>
      </c>
      <c r="G130" s="187">
        <v>4446.8500000000004</v>
      </c>
      <c r="H130" s="187">
        <v>92.9</v>
      </c>
      <c r="I130" s="187">
        <v>121.49</v>
      </c>
      <c r="J130" s="187">
        <v>4171.4399999999996</v>
      </c>
      <c r="K130" s="145">
        <v>4220.08</v>
      </c>
      <c r="L130" s="145">
        <v>381.96</v>
      </c>
      <c r="M130" s="106">
        <f t="shared" si="10"/>
        <v>3838.12</v>
      </c>
      <c r="N130" s="106">
        <f t="shared" si="11"/>
        <v>8499.36</v>
      </c>
      <c r="O130" s="114"/>
    </row>
    <row r="131" spans="1:19" s="94" customFormat="1">
      <c r="A131" s="11" t="s">
        <v>166</v>
      </c>
      <c r="B131" s="106">
        <v>10693.09</v>
      </c>
      <c r="C131" s="105">
        <f t="shared" si="8"/>
        <v>724.99150199999985</v>
      </c>
      <c r="D131" s="105">
        <f t="shared" si="9"/>
        <v>241.66383400000001</v>
      </c>
      <c r="E131" s="118" t="s">
        <v>352</v>
      </c>
      <c r="F131" s="187">
        <v>11001.39</v>
      </c>
      <c r="G131" s="187">
        <v>6658.98</v>
      </c>
      <c r="H131" s="187">
        <v>243.53</v>
      </c>
      <c r="I131" s="187">
        <v>183.44</v>
      </c>
      <c r="J131" s="187">
        <v>3915.44</v>
      </c>
      <c r="K131" s="106">
        <v>4119.3</v>
      </c>
      <c r="L131" s="106">
        <v>512.16</v>
      </c>
      <c r="M131" s="106">
        <f t="shared" si="10"/>
        <v>3607.1400000000003</v>
      </c>
      <c r="N131" s="106">
        <f t="shared" si="11"/>
        <v>10693.09</v>
      </c>
      <c r="O131" s="114"/>
    </row>
    <row r="132" spans="1:19" s="94" customFormat="1">
      <c r="A132" s="11" t="s">
        <v>168</v>
      </c>
      <c r="B132" s="106">
        <v>7460.77</v>
      </c>
      <c r="C132" s="105">
        <f t="shared" si="8"/>
        <v>505.84020599999997</v>
      </c>
      <c r="D132" s="105">
        <f t="shared" si="9"/>
        <v>168.61340200000001</v>
      </c>
      <c r="E132" s="2" t="s">
        <v>146</v>
      </c>
      <c r="F132" s="187">
        <v>7747.93</v>
      </c>
      <c r="G132" s="187">
        <v>4210.13</v>
      </c>
      <c r="H132" s="187">
        <v>125.2</v>
      </c>
      <c r="I132" s="187">
        <v>284.49</v>
      </c>
      <c r="J132" s="187">
        <v>3128.11</v>
      </c>
      <c r="K132" s="106">
        <v>3261.47</v>
      </c>
      <c r="L132" s="106">
        <v>420.52</v>
      </c>
      <c r="M132" s="106">
        <f t="shared" si="10"/>
        <v>2840.95</v>
      </c>
      <c r="N132" s="106">
        <f t="shared" si="11"/>
        <v>7460.7699999999995</v>
      </c>
      <c r="O132" s="114"/>
    </row>
    <row r="133" spans="1:19" s="94" customFormat="1">
      <c r="A133" s="11" t="s">
        <v>170</v>
      </c>
      <c r="B133" s="106">
        <v>8920.75</v>
      </c>
      <c r="C133" s="105">
        <f t="shared" si="8"/>
        <v>604.82684999999992</v>
      </c>
      <c r="D133" s="105">
        <f t="shared" si="9"/>
        <v>201.60894999999996</v>
      </c>
      <c r="E133" s="118" t="s">
        <v>349</v>
      </c>
      <c r="F133" s="187">
        <v>9331.69</v>
      </c>
      <c r="G133" s="187">
        <v>5574.76</v>
      </c>
      <c r="H133" s="187">
        <v>184.63</v>
      </c>
      <c r="I133" s="187">
        <v>175.15</v>
      </c>
      <c r="J133" s="187">
        <v>3397.15</v>
      </c>
      <c r="K133" s="106">
        <v>3408.35</v>
      </c>
      <c r="L133" s="106">
        <v>422.14</v>
      </c>
      <c r="M133" s="106">
        <f t="shared" si="10"/>
        <v>2986.21</v>
      </c>
      <c r="N133" s="106">
        <f t="shared" si="11"/>
        <v>8920.75</v>
      </c>
      <c r="O133" s="114"/>
    </row>
    <row r="134" spans="1:19" s="94" customFormat="1">
      <c r="A134" s="11" t="s">
        <v>172</v>
      </c>
      <c r="B134" s="106">
        <v>8392.0299999999988</v>
      </c>
      <c r="C134" s="105">
        <f t="shared" si="8"/>
        <v>568.97963399999992</v>
      </c>
      <c r="D134" s="105">
        <f t="shared" si="9"/>
        <v>189.65987799999994</v>
      </c>
      <c r="E134" s="2" t="s">
        <v>353</v>
      </c>
      <c r="F134" s="187">
        <v>8616.99</v>
      </c>
      <c r="G134" s="187">
        <v>5007.74</v>
      </c>
      <c r="H134" s="187">
        <v>223.41</v>
      </c>
      <c r="I134" s="187">
        <v>24</v>
      </c>
      <c r="J134" s="187">
        <v>3361.84</v>
      </c>
      <c r="K134" s="106">
        <v>3519.41</v>
      </c>
      <c r="L134" s="106">
        <v>382.53</v>
      </c>
      <c r="M134" s="106">
        <f t="shared" si="10"/>
        <v>3136.88</v>
      </c>
      <c r="N134" s="106">
        <f t="shared" si="11"/>
        <v>8392.0299999999988</v>
      </c>
      <c r="O134" s="114"/>
    </row>
    <row r="135" spans="1:19" s="94" customFormat="1">
      <c r="A135" s="11" t="s">
        <v>174</v>
      </c>
      <c r="B135" s="106">
        <v>8820.7699999999986</v>
      </c>
      <c r="C135" s="105">
        <f t="shared" si="8"/>
        <v>598.04820599999982</v>
      </c>
      <c r="D135" s="105">
        <f t="shared" si="9"/>
        <v>199.34940199999994</v>
      </c>
      <c r="E135" s="118" t="s">
        <v>173</v>
      </c>
      <c r="F135" s="187">
        <v>8989.1699999999983</v>
      </c>
      <c r="G135" s="187">
        <v>5337.28</v>
      </c>
      <c r="H135" s="187">
        <v>58.19</v>
      </c>
      <c r="I135" s="187">
        <v>176.36</v>
      </c>
      <c r="J135" s="187">
        <v>3417.34</v>
      </c>
      <c r="K135" s="145">
        <v>3342.85</v>
      </c>
      <c r="L135" s="145">
        <v>93.91</v>
      </c>
      <c r="M135" s="106">
        <f t="shared" si="10"/>
        <v>3248.94</v>
      </c>
      <c r="N135" s="106">
        <f t="shared" si="11"/>
        <v>8820.7699999999986</v>
      </c>
      <c r="O135" s="114"/>
    </row>
    <row r="136" spans="1:19" s="94" customFormat="1">
      <c r="A136" s="11" t="s">
        <v>176</v>
      </c>
      <c r="B136" s="106">
        <v>10355.459999999999</v>
      </c>
      <c r="C136" s="105">
        <f t="shared" si="8"/>
        <v>702.10018799999989</v>
      </c>
      <c r="D136" s="105">
        <f t="shared" si="9"/>
        <v>234.03339599999995</v>
      </c>
      <c r="E136" s="2" t="s">
        <v>354</v>
      </c>
      <c r="F136" s="187">
        <v>10582.2</v>
      </c>
      <c r="G136" s="187">
        <v>7016.6</v>
      </c>
      <c r="H136" s="187">
        <v>251.72</v>
      </c>
      <c r="I136" s="187">
        <v>123.19</v>
      </c>
      <c r="J136" s="187">
        <v>3190.69</v>
      </c>
      <c r="K136" s="312">
        <v>3211.45</v>
      </c>
      <c r="L136" s="118">
        <v>247.5</v>
      </c>
      <c r="M136" s="106">
        <f t="shared" si="10"/>
        <v>2963.95</v>
      </c>
      <c r="N136" s="106">
        <f t="shared" si="11"/>
        <v>10355.459999999999</v>
      </c>
      <c r="O136" s="114"/>
    </row>
    <row r="137" spans="1:19" s="94" customFormat="1">
      <c r="A137" s="11" t="s">
        <v>178</v>
      </c>
      <c r="B137" s="106">
        <v>9315.3700000000008</v>
      </c>
      <c r="C137" s="105">
        <f t="shared" si="8"/>
        <v>631.58208599999989</v>
      </c>
      <c r="D137" s="105">
        <f t="shared" si="9"/>
        <v>210.52736200000001</v>
      </c>
      <c r="E137" s="2" t="s">
        <v>355</v>
      </c>
      <c r="F137" s="187">
        <v>9586.66</v>
      </c>
      <c r="G137" s="187">
        <v>6457.85</v>
      </c>
      <c r="H137" s="187">
        <v>118.8</v>
      </c>
      <c r="I137" s="187">
        <v>0</v>
      </c>
      <c r="J137" s="187">
        <v>3010.01</v>
      </c>
      <c r="K137" s="145">
        <v>3123.86</v>
      </c>
      <c r="L137" s="145">
        <v>385.14</v>
      </c>
      <c r="M137" s="106">
        <f t="shared" si="10"/>
        <v>2738.7200000000003</v>
      </c>
      <c r="N137" s="106">
        <f t="shared" si="11"/>
        <v>9315.3700000000008</v>
      </c>
      <c r="O137" s="114"/>
    </row>
    <row r="138" spans="1:19" s="94" customFormat="1">
      <c r="A138" s="11" t="s">
        <v>180</v>
      </c>
      <c r="B138" s="106">
        <v>10351.65</v>
      </c>
      <c r="C138" s="105">
        <f t="shared" si="8"/>
        <v>701.84186999999986</v>
      </c>
      <c r="D138" s="105">
        <f t="shared" si="9"/>
        <v>233.94728999999995</v>
      </c>
      <c r="E138" s="2" t="s">
        <v>210</v>
      </c>
      <c r="F138" s="187">
        <v>10746.48</v>
      </c>
      <c r="G138" s="187">
        <v>6662.88</v>
      </c>
      <c r="H138" s="187">
        <v>26.39</v>
      </c>
      <c r="I138" s="187">
        <v>115.19</v>
      </c>
      <c r="J138" s="187">
        <v>3942.02</v>
      </c>
      <c r="K138" s="106">
        <v>4018.01</v>
      </c>
      <c r="L138" s="106">
        <v>470.82</v>
      </c>
      <c r="M138" s="106">
        <f t="shared" si="10"/>
        <v>3547.19</v>
      </c>
      <c r="N138" s="106">
        <f t="shared" si="11"/>
        <v>10351.65</v>
      </c>
      <c r="O138" s="114"/>
    </row>
    <row r="139" spans="1:19" s="94" customFormat="1">
      <c r="A139" s="2" t="s">
        <v>182</v>
      </c>
      <c r="B139" s="106">
        <v>9459.86</v>
      </c>
      <c r="C139" s="105">
        <f t="shared" si="8"/>
        <v>641.3785079999999</v>
      </c>
      <c r="D139" s="105">
        <f t="shared" si="9"/>
        <v>213.79283599999999</v>
      </c>
      <c r="E139" s="118" t="s">
        <v>351</v>
      </c>
      <c r="F139" s="318">
        <v>9898.67</v>
      </c>
      <c r="G139" s="318">
        <v>5874.89</v>
      </c>
      <c r="H139" s="318">
        <v>0</v>
      </c>
      <c r="I139" s="318">
        <v>0</v>
      </c>
      <c r="J139" s="318">
        <v>4023.78</v>
      </c>
      <c r="K139" s="145">
        <v>4052.05</v>
      </c>
      <c r="L139" s="145">
        <v>467.08</v>
      </c>
      <c r="M139" s="106">
        <f t="shared" si="10"/>
        <v>3584.9700000000003</v>
      </c>
      <c r="N139" s="106">
        <f t="shared" si="11"/>
        <v>9459.86</v>
      </c>
      <c r="O139" s="114"/>
    </row>
    <row r="140" spans="1:19" s="94" customFormat="1">
      <c r="A140" s="325" t="s">
        <v>184</v>
      </c>
      <c r="B140" s="106">
        <v>10085.15</v>
      </c>
      <c r="C140" s="105">
        <f t="shared" si="8"/>
        <v>683.77316999999982</v>
      </c>
      <c r="D140" s="105">
        <f t="shared" si="9"/>
        <v>227.92438999999999</v>
      </c>
      <c r="E140" s="2">
        <v>299</v>
      </c>
      <c r="F140" s="324">
        <v>10476.81</v>
      </c>
      <c r="G140" s="324">
        <v>5731.32</v>
      </c>
      <c r="H140" s="324">
        <v>82.84</v>
      </c>
      <c r="I140" s="324">
        <v>0</v>
      </c>
      <c r="J140" s="324">
        <v>4662.6499999999996</v>
      </c>
      <c r="K140" s="145">
        <v>4735.03</v>
      </c>
      <c r="L140" s="145">
        <v>464.04</v>
      </c>
      <c r="M140" s="106">
        <f t="shared" si="10"/>
        <v>4270.99</v>
      </c>
      <c r="N140" s="106">
        <f t="shared" si="11"/>
        <v>10085.15</v>
      </c>
      <c r="O140" s="114"/>
    </row>
    <row r="141" spans="1:19" s="94" customFormat="1">
      <c r="A141" s="11" t="s">
        <v>186</v>
      </c>
      <c r="B141" s="106">
        <v>9520.02</v>
      </c>
      <c r="C141" s="105">
        <f t="shared" si="8"/>
        <v>645.45735599999989</v>
      </c>
      <c r="D141" s="105">
        <f t="shared" si="9"/>
        <v>215.15245200000001</v>
      </c>
      <c r="E141" s="118" t="s">
        <v>356</v>
      </c>
      <c r="F141" s="324">
        <v>9878.15</v>
      </c>
      <c r="G141" s="324">
        <v>6130.55</v>
      </c>
      <c r="H141" s="324">
        <v>0</v>
      </c>
      <c r="I141" s="324">
        <v>107.29</v>
      </c>
      <c r="J141" s="324">
        <v>3640.31</v>
      </c>
      <c r="K141" s="145">
        <v>3600.82</v>
      </c>
      <c r="L141" s="145">
        <v>318.64</v>
      </c>
      <c r="M141" s="106">
        <f t="shared" si="10"/>
        <v>3282.1800000000003</v>
      </c>
      <c r="N141" s="106">
        <f t="shared" si="11"/>
        <v>9520.02</v>
      </c>
      <c r="O141" s="114"/>
    </row>
    <row r="142" spans="1:19" s="94" customFormat="1" ht="14.4" customHeight="1">
      <c r="A142" s="187" t="s">
        <v>188</v>
      </c>
      <c r="B142" s="106">
        <v>9642.91</v>
      </c>
      <c r="C142" s="105">
        <f t="shared" si="8"/>
        <v>653.7892979999998</v>
      </c>
      <c r="D142" s="105">
        <f t="shared" si="9"/>
        <v>217.929766</v>
      </c>
      <c r="E142" s="2" t="s">
        <v>173</v>
      </c>
      <c r="F142" s="2">
        <v>9713.3100000000013</v>
      </c>
      <c r="G142" s="142">
        <v>6648.1</v>
      </c>
      <c r="H142" s="142">
        <v>67.66</v>
      </c>
      <c r="I142" s="142">
        <v>112.8</v>
      </c>
      <c r="J142">
        <v>2884.75</v>
      </c>
      <c r="K142" s="339" t="s">
        <v>357</v>
      </c>
      <c r="L142" s="339" t="s">
        <v>358</v>
      </c>
      <c r="M142" s="106">
        <f t="shared" si="10"/>
        <v>2814.35</v>
      </c>
      <c r="N142" s="106">
        <f t="shared" si="11"/>
        <v>9642.91</v>
      </c>
      <c r="S142" s="69"/>
    </row>
    <row r="143" spans="1:19" s="94" customFormat="1" ht="14.4" customHeight="1">
      <c r="A143" s="328" t="s">
        <v>192</v>
      </c>
      <c r="B143" s="330">
        <v>9248.8799999999992</v>
      </c>
      <c r="C143" s="105">
        <f t="shared" si="8"/>
        <v>627.07406399999991</v>
      </c>
      <c r="D143" s="105">
        <f t="shared" si="9"/>
        <v>209.02468799999997</v>
      </c>
      <c r="E143" s="2">
        <v>304</v>
      </c>
      <c r="F143" s="2">
        <v>9323.24</v>
      </c>
      <c r="G143" s="333">
        <v>6234.72</v>
      </c>
      <c r="H143" s="333">
        <v>87.44</v>
      </c>
      <c r="I143" s="333">
        <v>82.75</v>
      </c>
      <c r="J143">
        <v>2918.33</v>
      </c>
      <c r="K143" s="335">
        <v>2843.97</v>
      </c>
      <c r="L143" s="94">
        <v>0</v>
      </c>
      <c r="M143" s="106">
        <f t="shared" si="10"/>
        <v>2843.97</v>
      </c>
      <c r="N143" s="106">
        <f t="shared" si="11"/>
        <v>9248.8799999999992</v>
      </c>
      <c r="S143" s="69"/>
    </row>
    <row r="144" spans="1:19" s="94" customFormat="1" ht="14.4" customHeight="1">
      <c r="A144" s="350" t="s">
        <v>193</v>
      </c>
      <c r="B144" s="352">
        <v>8663.619999999999</v>
      </c>
      <c r="C144" s="105">
        <f t="shared" si="8"/>
        <v>587.39343599999995</v>
      </c>
      <c r="D144" s="105">
        <f t="shared" si="9"/>
        <v>195.79781199999996</v>
      </c>
      <c r="E144" s="2">
        <v>285</v>
      </c>
      <c r="F144" s="2">
        <v>8601.27</v>
      </c>
      <c r="G144" s="333">
        <v>6074.67</v>
      </c>
      <c r="H144" s="333">
        <v>13.19</v>
      </c>
      <c r="I144" s="333">
        <v>42.59</v>
      </c>
      <c r="J144">
        <v>2470.8200000000002</v>
      </c>
      <c r="K144" s="335">
        <v>2533.17</v>
      </c>
      <c r="L144" s="94">
        <v>0</v>
      </c>
      <c r="M144" s="330">
        <f t="shared" si="10"/>
        <v>2533.17</v>
      </c>
      <c r="N144" s="330">
        <f t="shared" si="11"/>
        <v>8663.619999999999</v>
      </c>
      <c r="S144" s="69"/>
    </row>
    <row r="145" spans="1:19" s="146" customFormat="1" ht="27.6" customHeight="1">
      <c r="A145" s="350" t="s">
        <v>194</v>
      </c>
      <c r="B145" s="352">
        <v>8852.7000000000007</v>
      </c>
      <c r="C145" s="105">
        <f t="shared" si="8"/>
        <v>600.21305999999993</v>
      </c>
      <c r="D145" s="105">
        <f t="shared" ref="D145" si="12">(B145*0.02)*1.13</f>
        <v>200.07102</v>
      </c>
      <c r="E145" s="2">
        <v>276</v>
      </c>
      <c r="F145" s="2">
        <v>8823.92</v>
      </c>
      <c r="G145" s="333">
        <v>6276.01</v>
      </c>
      <c r="H145" s="333">
        <v>81.040000000000006</v>
      </c>
      <c r="I145" s="333">
        <v>69.38</v>
      </c>
      <c r="J145">
        <v>2397.4899999999998</v>
      </c>
      <c r="K145" s="335">
        <v>2426.27</v>
      </c>
      <c r="L145" s="94">
        <v>0</v>
      </c>
      <c r="M145" s="330">
        <f t="shared" ref="M145" si="13">K145-L145</f>
        <v>2426.27</v>
      </c>
      <c r="N145" s="330">
        <f t="shared" ref="N145" si="14">SUM(G145,H145,I145,M145)</f>
        <v>8852.7000000000007</v>
      </c>
      <c r="S145" s="69"/>
    </row>
    <row r="146" spans="1:19" s="72" customFormat="1" ht="27.6" customHeight="1">
      <c r="A146" s="354" t="s">
        <v>482</v>
      </c>
      <c r="B146" s="362">
        <v>9604.67</v>
      </c>
      <c r="C146" s="105">
        <f t="shared" ref="C146" si="15">(B146*0.06)*1.13</f>
        <v>651.19662599999992</v>
      </c>
      <c r="D146" s="105">
        <f t="shared" ref="D146" si="16">(B146*0.02)*1.13</f>
        <v>217.06554199999999</v>
      </c>
      <c r="E146" s="2">
        <v>288</v>
      </c>
      <c r="F146" s="2">
        <v>9696.33</v>
      </c>
      <c r="G146" s="142">
        <v>6451.75</v>
      </c>
      <c r="H146" s="142">
        <v>0</v>
      </c>
      <c r="I146" s="142">
        <v>52.77</v>
      </c>
      <c r="J146">
        <v>3191.81</v>
      </c>
      <c r="K146" s="335">
        <v>3555.73</v>
      </c>
      <c r="L146" s="335">
        <v>455.58</v>
      </c>
      <c r="M146" s="330">
        <f t="shared" ref="M146" si="17">K146-L146</f>
        <v>3100.15</v>
      </c>
      <c r="N146" s="330">
        <f t="shared" ref="N146" si="18">SUM(G146,H146,I146,M146)</f>
        <v>9604.67</v>
      </c>
      <c r="O146" s="193"/>
      <c r="S146" s="69"/>
    </row>
    <row r="147" spans="1:19" s="72" customFormat="1" ht="27.6" customHeight="1">
      <c r="A147" s="350"/>
      <c r="B147" s="352"/>
      <c r="C147" s="105"/>
      <c r="D147" s="105"/>
      <c r="E147" s="2"/>
      <c r="F147" s="2"/>
      <c r="G147" s="333"/>
      <c r="H147" s="333"/>
      <c r="I147" s="333"/>
      <c r="J147"/>
      <c r="K147" s="335"/>
      <c r="L147" s="94"/>
      <c r="M147" s="330"/>
      <c r="N147" s="330"/>
      <c r="O147" s="193"/>
      <c r="S147" s="69"/>
    </row>
    <row r="148" spans="1:19" ht="27.6" customHeight="1">
      <c r="A148" s="350"/>
      <c r="B148" s="352"/>
      <c r="C148" s="105"/>
      <c r="D148" s="105"/>
      <c r="E148" s="2"/>
      <c r="F148" s="2"/>
      <c r="G148" s="333"/>
      <c r="H148" s="333"/>
      <c r="I148" s="333"/>
      <c r="J148" s="118"/>
      <c r="K148" s="335"/>
      <c r="L148" s="94"/>
      <c r="M148" s="330"/>
      <c r="N148" s="330"/>
      <c r="O148" s="114"/>
    </row>
    <row r="149" spans="1:19" ht="27.6" customHeight="1">
      <c r="A149" s="315" t="s">
        <v>336</v>
      </c>
      <c r="B149" s="327"/>
      <c r="C149" s="327"/>
      <c r="D149" s="326"/>
      <c r="E149" s="315"/>
      <c r="F149" s="315"/>
      <c r="G149" s="118"/>
      <c r="H149" s="118"/>
      <c r="I149" s="11"/>
      <c r="J149" s="118"/>
      <c r="K149" s="118"/>
      <c r="L149" s="118"/>
      <c r="M149" s="118"/>
      <c r="N149" s="118"/>
      <c r="O149" s="114"/>
    </row>
    <row r="150" spans="1:19" ht="27.6">
      <c r="A150" s="316" t="s">
        <v>0</v>
      </c>
      <c r="B150" s="316" t="s">
        <v>337</v>
      </c>
      <c r="C150" s="316" t="s">
        <v>359</v>
      </c>
      <c r="D150" s="316" t="s">
        <v>360</v>
      </c>
      <c r="E150" s="316"/>
      <c r="F150" s="316"/>
      <c r="G150" s="170"/>
      <c r="H150" s="170"/>
      <c r="I150" s="170"/>
      <c r="J150" s="170"/>
      <c r="K150" s="147"/>
      <c r="L150" s="147"/>
      <c r="M150" s="147"/>
      <c r="N150" s="147"/>
      <c r="O150" s="193"/>
    </row>
    <row r="151" spans="1:19">
      <c r="A151" s="11" t="s">
        <v>174</v>
      </c>
      <c r="B151" s="106">
        <v>8820.7699999999986</v>
      </c>
      <c r="C151" s="105">
        <f t="shared" ref="C151:C157" si="19">(B148*0.06)*1.13</f>
        <v>0</v>
      </c>
      <c r="D151" s="105">
        <f t="shared" ref="D151:D157" si="20">(B148*0.02)*1.13</f>
        <v>0</v>
      </c>
      <c r="E151" s="118"/>
      <c r="F151" s="118"/>
      <c r="G151" s="118"/>
      <c r="H151" s="118"/>
      <c r="I151" s="118"/>
      <c r="J151" s="118"/>
      <c r="K151" s="118"/>
      <c r="L151" s="118"/>
      <c r="M151" s="118"/>
      <c r="N151" s="118"/>
    </row>
    <row r="152" spans="1:19">
      <c r="A152" s="11" t="s">
        <v>176</v>
      </c>
      <c r="B152" s="106">
        <v>10355.459999999999</v>
      </c>
      <c r="C152" s="105">
        <f t="shared" si="19"/>
        <v>0</v>
      </c>
      <c r="D152" s="105">
        <f t="shared" si="20"/>
        <v>0</v>
      </c>
      <c r="E152" s="118"/>
      <c r="F152" s="118"/>
      <c r="G152" s="118"/>
      <c r="H152" s="118"/>
      <c r="I152" s="118"/>
      <c r="J152" s="118"/>
      <c r="K152" s="118"/>
      <c r="L152" s="118"/>
      <c r="M152" s="118"/>
      <c r="N152" s="118"/>
    </row>
    <row r="153" spans="1:19">
      <c r="A153" s="11" t="s">
        <v>178</v>
      </c>
      <c r="B153" s="106">
        <v>9315.3700000000008</v>
      </c>
      <c r="C153" s="105" t="e">
        <f t="shared" si="19"/>
        <v>#VALUE!</v>
      </c>
      <c r="D153" s="105" t="e">
        <f t="shared" si="20"/>
        <v>#VALUE!</v>
      </c>
      <c r="E153" s="118"/>
      <c r="F153" s="118"/>
      <c r="G153" s="118"/>
      <c r="H153" s="118"/>
      <c r="I153" s="118"/>
      <c r="J153" s="118"/>
      <c r="K153" s="118"/>
      <c r="L153" s="118"/>
      <c r="M153" s="118"/>
      <c r="N153" s="118"/>
    </row>
    <row r="154" spans="1:19">
      <c r="A154" s="11" t="s">
        <v>180</v>
      </c>
      <c r="B154" s="106">
        <v>10351.65</v>
      </c>
      <c r="C154" s="105">
        <f t="shared" si="19"/>
        <v>598.04820599999982</v>
      </c>
      <c r="D154" s="105">
        <f t="shared" si="20"/>
        <v>199.34940199999994</v>
      </c>
      <c r="E154" s="118"/>
      <c r="F154" s="118"/>
      <c r="G154" s="118"/>
      <c r="H154" s="118"/>
      <c r="I154" s="118"/>
      <c r="J154" s="118"/>
      <c r="K154" s="118"/>
      <c r="L154" s="118"/>
      <c r="M154" s="118"/>
      <c r="N154" s="118"/>
    </row>
    <row r="155" spans="1:19">
      <c r="A155" s="2" t="s">
        <v>182</v>
      </c>
      <c r="B155" s="106">
        <v>9459.86</v>
      </c>
      <c r="C155" s="105">
        <f t="shared" si="19"/>
        <v>702.10018799999989</v>
      </c>
      <c r="D155" s="105">
        <f t="shared" si="20"/>
        <v>234.03339599999995</v>
      </c>
    </row>
    <row r="156" spans="1:19">
      <c r="A156" s="325" t="s">
        <v>184</v>
      </c>
      <c r="B156" s="106">
        <v>10085.15</v>
      </c>
      <c r="C156" s="105">
        <f t="shared" si="19"/>
        <v>631.58208599999989</v>
      </c>
      <c r="D156" s="105">
        <f t="shared" si="20"/>
        <v>210.52736200000001</v>
      </c>
    </row>
    <row r="157" spans="1:19">
      <c r="A157" s="11" t="s">
        <v>186</v>
      </c>
      <c r="B157" s="106">
        <v>9520.02</v>
      </c>
      <c r="C157" s="105">
        <f t="shared" si="19"/>
        <v>701.84186999999986</v>
      </c>
      <c r="D157" s="105">
        <f t="shared" si="20"/>
        <v>233.94728999999995</v>
      </c>
    </row>
    <row r="158" spans="1:19">
      <c r="A158" s="187" t="s">
        <v>188</v>
      </c>
      <c r="B158" s="106">
        <v>9642.91</v>
      </c>
      <c r="C158" s="105">
        <f>(B156*0.06)*1.13</f>
        <v>683.77316999999982</v>
      </c>
      <c r="D158" s="105">
        <f>(B156*0.02)*1.13</f>
        <v>227.92438999999999</v>
      </c>
    </row>
    <row r="159" spans="1:19">
      <c r="A159" s="328" t="s">
        <v>192</v>
      </c>
      <c r="B159" s="330">
        <v>9248.8799999999992</v>
      </c>
      <c r="C159" s="105">
        <f>(B157*0.06)*1.13</f>
        <v>645.45735599999989</v>
      </c>
      <c r="D159" s="105">
        <f>(B157*0.02)*1.13</f>
        <v>215.15245200000001</v>
      </c>
    </row>
    <row r="160" spans="1:19">
      <c r="A160" s="350" t="s">
        <v>193</v>
      </c>
      <c r="B160" s="352">
        <v>8663.619999999999</v>
      </c>
      <c r="C160" s="105">
        <f>(B159*0.06)*1.13</f>
        <v>627.07406399999991</v>
      </c>
      <c r="D160" s="105">
        <f>(B159*0.02)*1.13</f>
        <v>209.02468799999997</v>
      </c>
    </row>
    <row r="161" spans="1:4">
      <c r="A161" s="350" t="s">
        <v>194</v>
      </c>
      <c r="B161" s="352">
        <v>8852.7000000000007</v>
      </c>
      <c r="C161" s="105">
        <v>600.21305999999993</v>
      </c>
      <c r="D161" s="105">
        <v>200.07102</v>
      </c>
    </row>
    <row r="162" spans="1:4">
      <c r="A162" s="354" t="s">
        <v>482</v>
      </c>
      <c r="B162" s="362">
        <v>9604.67</v>
      </c>
      <c r="C162" s="105">
        <f t="shared" ref="C162" si="21">(B162*0.06)*1.13</f>
        <v>651.19662599999992</v>
      </c>
      <c r="D162" s="105">
        <f t="shared" ref="D162" si="22">(B162*0.02)*1.13</f>
        <v>217.06554199999999</v>
      </c>
    </row>
    <row r="163" spans="1:4">
      <c r="A163" s="350"/>
      <c r="B163" s="352"/>
      <c r="C163" s="105"/>
      <c r="D163" s="105"/>
    </row>
    <row r="164" spans="1:4">
      <c r="A164" s="350"/>
      <c r="B164" s="352"/>
      <c r="C164" s="105"/>
      <c r="D164" s="105"/>
    </row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128"/>
  <sheetViews>
    <sheetView topLeftCell="A14" workbookViewId="0">
      <pane ySplit="7" topLeftCell="A105" activePane="bottomLeft" state="frozen"/>
      <selection activeCell="A14" sqref="A14"/>
      <selection pane="bottomLeft" activeCell="F127" sqref="F127"/>
    </sheetView>
  </sheetViews>
  <sheetFormatPr defaultColWidth="9.109375" defaultRowHeight="14.4"/>
  <cols>
    <col min="1" max="1" width="31.109375" style="173" customWidth="1"/>
    <col min="2" max="2" width="16.5546875" style="173" customWidth="1"/>
    <col min="3" max="3" width="16.88671875" style="173" customWidth="1"/>
    <col min="4" max="6" width="16" style="173" customWidth="1"/>
    <col min="7" max="7" width="18.109375" style="173" customWidth="1"/>
    <col min="8" max="8" width="26.6640625" style="56" customWidth="1"/>
    <col min="9" max="9" width="17.6640625" style="56" customWidth="1"/>
    <col min="10" max="10" width="24.88671875" style="56" customWidth="1"/>
    <col min="11" max="11" width="21" style="56" customWidth="1"/>
    <col min="12" max="14" width="20.88671875" style="56" customWidth="1"/>
    <col min="15" max="15" width="16.6640625" style="56" customWidth="1"/>
    <col min="16" max="16" width="18.44140625" style="56" customWidth="1"/>
    <col min="17" max="22" width="9.109375" style="56" customWidth="1"/>
    <col min="23" max="25" width="9.109375" style="68" customWidth="1"/>
    <col min="26" max="16384" width="9.109375" style="68"/>
  </cols>
  <sheetData>
    <row r="1" spans="1:10">
      <c r="A1" s="373" t="s">
        <v>361</v>
      </c>
      <c r="B1" s="364"/>
      <c r="C1" s="364"/>
      <c r="D1" s="365"/>
      <c r="E1" s="194"/>
      <c r="F1" s="194"/>
    </row>
    <row r="2" spans="1:10" ht="41.4" customHeight="1">
      <c r="A2" s="195" t="s">
        <v>0</v>
      </c>
      <c r="B2" s="196" t="s">
        <v>337</v>
      </c>
      <c r="C2" s="196" t="s">
        <v>338</v>
      </c>
      <c r="D2" s="196" t="s">
        <v>339</v>
      </c>
      <c r="E2" s="196"/>
      <c r="F2" s="196"/>
    </row>
    <row r="3" spans="1:10">
      <c r="A3" s="179" t="s">
        <v>64</v>
      </c>
      <c r="B3" s="187">
        <v>2155.81</v>
      </c>
      <c r="C3" s="191">
        <f t="shared" ref="C3:C34" si="0">(B3*0.06)*1.13</f>
        <v>146.163918</v>
      </c>
      <c r="D3" s="191">
        <f t="shared" ref="D3:D34" si="1">(B3*0.02)*1.13</f>
        <v>48.721305999999991</v>
      </c>
      <c r="E3" s="191"/>
      <c r="F3" s="191"/>
    </row>
    <row r="4" spans="1:10">
      <c r="A4" s="179" t="s">
        <v>65</v>
      </c>
      <c r="B4" s="187">
        <v>8077.84</v>
      </c>
      <c r="C4" s="191">
        <f t="shared" si="0"/>
        <v>547.67755199999988</v>
      </c>
      <c r="D4" s="191">
        <f t="shared" si="1"/>
        <v>182.55918399999999</v>
      </c>
      <c r="E4" s="191"/>
      <c r="F4" s="191"/>
    </row>
    <row r="5" spans="1:10">
      <c r="A5" s="179" t="s">
        <v>66</v>
      </c>
      <c r="B5" s="187">
        <v>11929.59</v>
      </c>
      <c r="C5" s="191">
        <f t="shared" si="0"/>
        <v>808.82620199999997</v>
      </c>
      <c r="D5" s="191">
        <f t="shared" si="1"/>
        <v>269.60873399999997</v>
      </c>
      <c r="E5" s="191"/>
      <c r="F5" s="191"/>
    </row>
    <row r="6" spans="1:10">
      <c r="A6" s="179" t="s">
        <v>67</v>
      </c>
      <c r="B6" s="187">
        <v>8374.32</v>
      </c>
      <c r="C6" s="191">
        <f t="shared" si="0"/>
        <v>567.77889599999992</v>
      </c>
      <c r="D6" s="191">
        <f t="shared" si="1"/>
        <v>189.25963199999998</v>
      </c>
      <c r="E6" s="191"/>
      <c r="F6" s="191"/>
    </row>
    <row r="7" spans="1:10">
      <c r="A7" s="179" t="s">
        <v>68</v>
      </c>
      <c r="B7" s="187">
        <v>8953.43</v>
      </c>
      <c r="C7" s="191">
        <f t="shared" si="0"/>
        <v>607.04255399999988</v>
      </c>
      <c r="D7" s="191">
        <f t="shared" si="1"/>
        <v>202.34751799999998</v>
      </c>
      <c r="E7" s="191"/>
      <c r="F7" s="191"/>
    </row>
    <row r="8" spans="1:10">
      <c r="A8" s="179" t="s">
        <v>69</v>
      </c>
      <c r="B8" s="187">
        <v>9370.3700000000008</v>
      </c>
      <c r="C8" s="191">
        <f t="shared" si="0"/>
        <v>635.31108600000005</v>
      </c>
      <c r="D8" s="191">
        <f t="shared" si="1"/>
        <v>211.77036200000001</v>
      </c>
      <c r="E8" s="191"/>
      <c r="F8" s="191"/>
    </row>
    <row r="9" spans="1:10">
      <c r="A9" s="179" t="s">
        <v>70</v>
      </c>
      <c r="B9" s="187">
        <v>11456.84</v>
      </c>
      <c r="C9" s="191">
        <f t="shared" si="0"/>
        <v>776.77375199999994</v>
      </c>
      <c r="D9" s="191">
        <f t="shared" si="1"/>
        <v>258.92458399999998</v>
      </c>
      <c r="E9" s="191"/>
      <c r="F9" s="191"/>
    </row>
    <row r="10" spans="1:10">
      <c r="A10" s="179" t="s">
        <v>71</v>
      </c>
      <c r="B10" s="187">
        <v>11124.69</v>
      </c>
      <c r="C10" s="191">
        <f t="shared" si="0"/>
        <v>754.25398199999995</v>
      </c>
      <c r="D10" s="191">
        <f t="shared" si="1"/>
        <v>251.41799399999999</v>
      </c>
      <c r="E10" s="191"/>
      <c r="F10" s="191"/>
    </row>
    <row r="11" spans="1:10">
      <c r="A11" s="179" t="s">
        <v>72</v>
      </c>
      <c r="B11" s="187">
        <v>9620.0300000000007</v>
      </c>
      <c r="C11" s="191">
        <f t="shared" si="0"/>
        <v>652.23803399999997</v>
      </c>
      <c r="D11" s="191">
        <f t="shared" si="1"/>
        <v>217.412678</v>
      </c>
      <c r="E11" s="191"/>
      <c r="F11" s="191"/>
    </row>
    <row r="12" spans="1:10">
      <c r="A12" s="179" t="s">
        <v>73</v>
      </c>
      <c r="B12" s="187">
        <v>11409.59</v>
      </c>
      <c r="C12" s="191">
        <f t="shared" si="0"/>
        <v>773.57020199999988</v>
      </c>
      <c r="D12" s="191">
        <f t="shared" si="1"/>
        <v>257.85673399999996</v>
      </c>
      <c r="E12" s="191"/>
      <c r="F12" s="191"/>
    </row>
    <row r="13" spans="1:10">
      <c r="A13" s="179" t="s">
        <v>74</v>
      </c>
      <c r="B13" s="187">
        <v>11377.48</v>
      </c>
      <c r="C13" s="191">
        <f t="shared" si="0"/>
        <v>771.39314399999989</v>
      </c>
      <c r="D13" s="191">
        <f t="shared" si="1"/>
        <v>257.13104799999996</v>
      </c>
      <c r="E13" s="191"/>
      <c r="F13" s="191"/>
    </row>
    <row r="14" spans="1:10">
      <c r="A14" s="179" t="s">
        <v>75</v>
      </c>
      <c r="B14" s="187">
        <v>9556.77</v>
      </c>
      <c r="C14" s="191">
        <f t="shared" si="0"/>
        <v>647.94900599999994</v>
      </c>
      <c r="D14" s="191">
        <f t="shared" si="1"/>
        <v>215.98300199999997</v>
      </c>
      <c r="E14" s="191"/>
      <c r="F14" s="191"/>
      <c r="H14" s="118"/>
      <c r="I14" s="118"/>
      <c r="J14" s="106"/>
    </row>
    <row r="15" spans="1:10">
      <c r="A15" s="179" t="s">
        <v>76</v>
      </c>
      <c r="B15" s="187">
        <v>7589.15</v>
      </c>
      <c r="C15" s="191">
        <f t="shared" si="0"/>
        <v>514.54436999999996</v>
      </c>
      <c r="D15" s="191">
        <f t="shared" si="1"/>
        <v>171.51478999999998</v>
      </c>
      <c r="E15" s="191"/>
      <c r="F15" s="191"/>
      <c r="H15" s="118"/>
      <c r="I15" s="118"/>
      <c r="J15" s="106"/>
    </row>
    <row r="16" spans="1:10">
      <c r="A16" s="179" t="s">
        <v>77</v>
      </c>
      <c r="B16" s="187">
        <v>8252.9</v>
      </c>
      <c r="C16" s="191">
        <f t="shared" si="0"/>
        <v>559.54661999999996</v>
      </c>
      <c r="D16" s="191">
        <f t="shared" si="1"/>
        <v>186.51553999999999</v>
      </c>
      <c r="E16" s="191"/>
      <c r="F16" s="191"/>
      <c r="H16" s="118"/>
      <c r="I16" s="118"/>
      <c r="J16" s="106"/>
    </row>
    <row r="17" spans="1:16">
      <c r="A17" s="179" t="s">
        <v>78</v>
      </c>
      <c r="B17" s="187">
        <v>7722.98</v>
      </c>
      <c r="C17" s="191">
        <f t="shared" si="0"/>
        <v>523.61804399999994</v>
      </c>
      <c r="D17" s="191">
        <f t="shared" si="1"/>
        <v>174.53934799999999</v>
      </c>
      <c r="E17" s="191"/>
      <c r="F17" s="191"/>
      <c r="J17" s="140"/>
    </row>
    <row r="18" spans="1:16">
      <c r="A18" s="179" t="s">
        <v>79</v>
      </c>
      <c r="B18" s="187">
        <v>7986.97</v>
      </c>
      <c r="C18" s="191">
        <f t="shared" si="0"/>
        <v>541.51656600000001</v>
      </c>
      <c r="D18" s="191">
        <f t="shared" si="1"/>
        <v>180.50552200000001</v>
      </c>
      <c r="E18" s="191"/>
      <c r="F18" s="191"/>
    </row>
    <row r="19" spans="1:16">
      <c r="A19" s="179" t="s">
        <v>85</v>
      </c>
      <c r="B19" s="187">
        <v>6573.21</v>
      </c>
      <c r="C19" s="191">
        <f t="shared" si="0"/>
        <v>445.66363799999999</v>
      </c>
      <c r="D19" s="191">
        <f t="shared" si="1"/>
        <v>148.55454599999999</v>
      </c>
      <c r="E19" s="191"/>
      <c r="F19" s="191"/>
    </row>
    <row r="20" spans="1:16">
      <c r="A20" s="179" t="s">
        <v>86</v>
      </c>
      <c r="B20" s="187">
        <v>7432.33</v>
      </c>
      <c r="C20" s="191">
        <f t="shared" si="0"/>
        <v>503.91197399999993</v>
      </c>
      <c r="D20" s="191">
        <f t="shared" si="1"/>
        <v>167.97065799999999</v>
      </c>
      <c r="E20" s="191" t="s">
        <v>100</v>
      </c>
      <c r="F20" s="224" t="s">
        <v>101</v>
      </c>
      <c r="G20" s="194" t="s">
        <v>228</v>
      </c>
      <c r="H20" s="147" t="s">
        <v>81</v>
      </c>
      <c r="I20" s="147" t="s">
        <v>82</v>
      </c>
      <c r="J20" s="147" t="s">
        <v>229</v>
      </c>
      <c r="K20" s="147" t="s">
        <v>84</v>
      </c>
      <c r="L20" s="147" t="s">
        <v>273</v>
      </c>
      <c r="M20" s="147" t="s">
        <v>362</v>
      </c>
      <c r="N20" s="147" t="s">
        <v>363</v>
      </c>
      <c r="O20" s="147" t="s">
        <v>234</v>
      </c>
      <c r="P20" s="147" t="s">
        <v>1</v>
      </c>
    </row>
    <row r="21" spans="1:16">
      <c r="A21" s="179" t="s">
        <v>87</v>
      </c>
      <c r="B21" s="173">
        <v>7909.1900000000014</v>
      </c>
      <c r="C21" s="191">
        <f t="shared" si="0"/>
        <v>536.24308199999996</v>
      </c>
      <c r="D21" s="191">
        <f t="shared" si="1"/>
        <v>178.747694</v>
      </c>
      <c r="E21" s="191"/>
      <c r="F21" s="191"/>
      <c r="G21" s="187">
        <v>5772.68</v>
      </c>
      <c r="H21" s="106">
        <v>98.74</v>
      </c>
      <c r="I21" s="106">
        <v>163.19999999999999</v>
      </c>
      <c r="J21" s="106">
        <v>2815.1</v>
      </c>
      <c r="K21" s="106">
        <v>2815.1</v>
      </c>
      <c r="L21" s="106">
        <v>940.53</v>
      </c>
      <c r="M21" s="106"/>
      <c r="N21" s="106"/>
      <c r="O21" s="140">
        <f>K21-L21</f>
        <v>1874.57</v>
      </c>
      <c r="P21" s="140">
        <f>SUM(O21,I21,H21,G21)</f>
        <v>7909.1900000000005</v>
      </c>
    </row>
    <row r="22" spans="1:16">
      <c r="A22" s="179"/>
      <c r="C22" s="191">
        <f t="shared" si="0"/>
        <v>0</v>
      </c>
      <c r="D22" s="191">
        <f t="shared" si="1"/>
        <v>0</v>
      </c>
      <c r="E22" s="191"/>
      <c r="F22" s="191"/>
      <c r="H22" s="11"/>
      <c r="J22" s="56" t="s">
        <v>364</v>
      </c>
      <c r="K22" s="118" t="s">
        <v>364</v>
      </c>
    </row>
    <row r="23" spans="1:16">
      <c r="A23" s="179" t="s">
        <v>88</v>
      </c>
      <c r="B23" s="173">
        <v>11818.28</v>
      </c>
      <c r="C23" s="191">
        <f t="shared" si="0"/>
        <v>801.27938399999994</v>
      </c>
      <c r="D23" s="191">
        <f t="shared" si="1"/>
        <v>267.09312800000004</v>
      </c>
      <c r="E23" s="191"/>
      <c r="F23" s="191"/>
      <c r="G23" s="187">
        <v>8559.6</v>
      </c>
      <c r="H23" s="106">
        <v>22.8</v>
      </c>
      <c r="I23" s="106">
        <v>111.89</v>
      </c>
      <c r="J23" s="106">
        <v>4752.4799999999996</v>
      </c>
      <c r="K23" s="118">
        <v>4752.4799999999996</v>
      </c>
      <c r="L23" s="106">
        <f>1625.79+2.7</f>
        <v>1628.49</v>
      </c>
      <c r="M23" s="106"/>
      <c r="N23" s="106"/>
      <c r="O23" s="140">
        <f>K23-L23</f>
        <v>3123.99</v>
      </c>
      <c r="P23" s="140">
        <f>SUM(O23,I23,H23,G23)</f>
        <v>11818.28</v>
      </c>
    </row>
    <row r="24" spans="1:16">
      <c r="A24" s="179"/>
      <c r="C24" s="191">
        <f t="shared" si="0"/>
        <v>0</v>
      </c>
      <c r="D24" s="191">
        <f t="shared" si="1"/>
        <v>0</v>
      </c>
      <c r="E24" s="191"/>
      <c r="F24" s="191"/>
      <c r="J24" s="11" t="s">
        <v>365</v>
      </c>
      <c r="K24" s="118" t="s">
        <v>365</v>
      </c>
    </row>
    <row r="25" spans="1:16">
      <c r="A25" s="179" t="s">
        <v>89</v>
      </c>
      <c r="B25" s="187">
        <v>11433.7</v>
      </c>
      <c r="C25" s="191">
        <f t="shared" si="0"/>
        <v>775.20485999999994</v>
      </c>
      <c r="D25" s="191">
        <f t="shared" si="1"/>
        <v>258.40161999999998</v>
      </c>
      <c r="E25" s="191"/>
      <c r="F25" s="191"/>
      <c r="G25" s="173">
        <v>8336.7999999999993</v>
      </c>
      <c r="H25" s="140">
        <v>133.19</v>
      </c>
      <c r="I25" s="140">
        <v>185.69</v>
      </c>
      <c r="J25" s="140">
        <v>4093.06</v>
      </c>
      <c r="K25" s="118">
        <v>4131.0600000000004</v>
      </c>
      <c r="L25" s="56">
        <f>1323.94+29.1</f>
        <v>1353.04</v>
      </c>
      <c r="O25" s="56">
        <f>K25-L25</f>
        <v>2778.0200000000004</v>
      </c>
      <c r="P25" s="140">
        <f>SUM(G25,H25,I25,O25)</f>
        <v>11433.7</v>
      </c>
    </row>
    <row r="26" spans="1:16">
      <c r="A26" s="179"/>
      <c r="B26" s="187"/>
      <c r="C26" s="191">
        <f t="shared" si="0"/>
        <v>0</v>
      </c>
      <c r="D26" s="191">
        <f t="shared" si="1"/>
        <v>0</v>
      </c>
      <c r="E26" s="191"/>
      <c r="F26" s="191"/>
      <c r="J26" s="56" t="s">
        <v>366</v>
      </c>
      <c r="K26" s="118" t="s">
        <v>367</v>
      </c>
      <c r="P26" s="140"/>
    </row>
    <row r="27" spans="1:16">
      <c r="A27" s="179" t="s">
        <v>90</v>
      </c>
      <c r="B27" s="173">
        <v>7060.74</v>
      </c>
      <c r="C27" s="191">
        <f t="shared" si="0"/>
        <v>478.71817199999992</v>
      </c>
      <c r="D27" s="191">
        <f t="shared" si="1"/>
        <v>159.57272399999999</v>
      </c>
      <c r="E27" s="191"/>
      <c r="F27" s="191"/>
      <c r="G27" s="173">
        <v>4933.67</v>
      </c>
      <c r="H27" s="140">
        <v>22.8</v>
      </c>
      <c r="I27" s="140">
        <v>125.37</v>
      </c>
      <c r="J27" s="141">
        <v>2770.9</v>
      </c>
      <c r="K27" s="141">
        <v>2770.9</v>
      </c>
      <c r="L27" s="143">
        <v>792</v>
      </c>
      <c r="M27" s="143"/>
      <c r="N27" s="143"/>
      <c r="O27" s="140">
        <f>K27-L27</f>
        <v>1978.9</v>
      </c>
      <c r="P27" s="140">
        <f>SUM(G27,H27,I27,O27)</f>
        <v>7060.74</v>
      </c>
    </row>
    <row r="28" spans="1:16">
      <c r="A28" s="179"/>
      <c r="C28" s="191">
        <f t="shared" si="0"/>
        <v>0</v>
      </c>
      <c r="D28" s="191">
        <f t="shared" si="1"/>
        <v>0</v>
      </c>
      <c r="E28" s="191"/>
      <c r="F28" s="191"/>
      <c r="J28" s="56">
        <v>58</v>
      </c>
      <c r="K28" s="118">
        <v>58</v>
      </c>
      <c r="P28" s="140"/>
    </row>
    <row r="29" spans="1:16">
      <c r="A29" s="179" t="s">
        <v>93</v>
      </c>
      <c r="B29" s="173">
        <v>9149.74</v>
      </c>
      <c r="C29" s="191">
        <f t="shared" si="0"/>
        <v>620.35237199999983</v>
      </c>
      <c r="D29" s="191">
        <f t="shared" si="1"/>
        <v>206.78412399999999</v>
      </c>
      <c r="E29" s="191"/>
      <c r="F29" s="191"/>
      <c r="G29" s="173">
        <v>6642.75</v>
      </c>
      <c r="H29" s="140">
        <v>78.400000000000006</v>
      </c>
      <c r="I29" s="140">
        <v>31.59</v>
      </c>
      <c r="J29" s="140">
        <v>2887.05</v>
      </c>
      <c r="K29" s="118">
        <v>3459</v>
      </c>
      <c r="L29" s="143">
        <v>1062</v>
      </c>
      <c r="M29" s="143"/>
      <c r="N29" s="143"/>
      <c r="O29" s="140">
        <f>K29-L29</f>
        <v>2397</v>
      </c>
      <c r="P29" s="140">
        <f>SUM(G29,H29,I29,O29)</f>
        <v>9149.74</v>
      </c>
    </row>
    <row r="30" spans="1:16">
      <c r="A30" s="179"/>
      <c r="C30" s="191">
        <f t="shared" si="0"/>
        <v>0</v>
      </c>
      <c r="D30" s="191">
        <f t="shared" si="1"/>
        <v>0</v>
      </c>
      <c r="E30" s="191"/>
      <c r="F30" s="191"/>
      <c r="K30" s="118"/>
      <c r="O30" s="140"/>
      <c r="P30" s="140"/>
    </row>
    <row r="31" spans="1:16">
      <c r="A31" s="179" t="s">
        <v>94</v>
      </c>
      <c r="B31" s="173">
        <v>7637.81</v>
      </c>
      <c r="C31" s="191">
        <f t="shared" si="0"/>
        <v>517.8435179999999</v>
      </c>
      <c r="D31" s="191">
        <f t="shared" si="1"/>
        <v>172.61450599999998</v>
      </c>
      <c r="E31" s="191"/>
      <c r="F31" s="191"/>
      <c r="G31" s="173">
        <v>5102.8500000000004</v>
      </c>
      <c r="H31" s="140">
        <v>76.67</v>
      </c>
      <c r="I31" s="140">
        <v>40.799999999999997</v>
      </c>
      <c r="J31" s="140">
        <v>3425.49</v>
      </c>
      <c r="K31" s="145">
        <v>3461.49</v>
      </c>
      <c r="L31" s="145">
        <v>1044</v>
      </c>
      <c r="M31" s="145"/>
      <c r="N31" s="145"/>
      <c r="O31" s="140">
        <f>K31-L31</f>
        <v>2417.4899999999998</v>
      </c>
      <c r="P31" s="140">
        <f>SUM(G31,H31,I31,O31)</f>
        <v>7637.81</v>
      </c>
    </row>
    <row r="32" spans="1:16">
      <c r="A32" s="179"/>
      <c r="C32" s="191">
        <f t="shared" si="0"/>
        <v>0</v>
      </c>
      <c r="D32" s="191">
        <f t="shared" si="1"/>
        <v>0</v>
      </c>
      <c r="E32" s="191"/>
      <c r="F32" s="191"/>
      <c r="H32" s="140"/>
      <c r="I32" s="140"/>
      <c r="J32" s="140"/>
      <c r="K32" s="145"/>
      <c r="L32" s="145"/>
      <c r="M32" s="145"/>
      <c r="N32" s="145"/>
      <c r="O32" s="140"/>
      <c r="P32" s="140">
        <f>SUM(G32,H32,I32,O32)</f>
        <v>0</v>
      </c>
    </row>
    <row r="33" spans="1:23">
      <c r="A33" s="179" t="s">
        <v>95</v>
      </c>
      <c r="B33" s="173">
        <v>8956.0400000000009</v>
      </c>
      <c r="C33" s="191">
        <f t="shared" si="0"/>
        <v>607.2195119999999</v>
      </c>
      <c r="D33" s="191">
        <f t="shared" si="1"/>
        <v>202.40650400000001</v>
      </c>
      <c r="E33" s="191"/>
      <c r="F33" s="191"/>
      <c r="G33" s="173">
        <v>6202.67</v>
      </c>
      <c r="H33" s="140">
        <v>70.92</v>
      </c>
      <c r="I33" s="140">
        <v>80.400000000000006</v>
      </c>
      <c r="J33" s="140">
        <v>3824.05</v>
      </c>
      <c r="K33" s="143">
        <v>3826.05</v>
      </c>
      <c r="L33" s="145">
        <v>1224</v>
      </c>
      <c r="M33" s="145"/>
      <c r="N33" s="145"/>
      <c r="O33" s="140">
        <f>K33-L33</f>
        <v>2602.0500000000002</v>
      </c>
      <c r="P33" s="140">
        <f>SUM(G33,H33,I33,O33)</f>
        <v>8956.0400000000009</v>
      </c>
    </row>
    <row r="34" spans="1:23">
      <c r="A34" s="179"/>
      <c r="C34" s="191">
        <f t="shared" si="0"/>
        <v>0</v>
      </c>
      <c r="D34" s="191">
        <f t="shared" si="1"/>
        <v>0</v>
      </c>
      <c r="E34" s="191"/>
      <c r="F34" s="191"/>
      <c r="H34" s="140"/>
      <c r="I34" s="140"/>
      <c r="J34" s="140"/>
      <c r="K34" s="143"/>
      <c r="L34" s="145"/>
      <c r="M34" s="145"/>
      <c r="N34" s="145"/>
      <c r="O34" s="140"/>
      <c r="P34" s="140"/>
    </row>
    <row r="35" spans="1:23">
      <c r="A35" s="179" t="s">
        <v>96</v>
      </c>
      <c r="B35" s="173">
        <v>8608.2999999999993</v>
      </c>
      <c r="C35" s="191">
        <f t="shared" ref="C35:C66" si="2">(B35*0.06)*1.13</f>
        <v>583.64273999999989</v>
      </c>
      <c r="D35" s="191">
        <f t="shared" ref="D35:D66" si="3">(B35*0.02)*1.13</f>
        <v>194.54757999999998</v>
      </c>
      <c r="E35" s="191"/>
      <c r="F35" s="191"/>
      <c r="G35" s="187">
        <v>6327.3</v>
      </c>
      <c r="H35" s="106">
        <v>39.869999999999997</v>
      </c>
      <c r="I35" s="106">
        <v>366.28</v>
      </c>
      <c r="J35" s="106">
        <v>2016.85</v>
      </c>
      <c r="K35" s="143">
        <v>2018.85</v>
      </c>
      <c r="L35" s="148">
        <v>144</v>
      </c>
      <c r="M35" s="148"/>
      <c r="N35" s="148"/>
      <c r="O35" s="140">
        <f>K35-L35</f>
        <v>1874.85</v>
      </c>
      <c r="P35" s="140">
        <f>SUM(G35,H35,I35,O35)</f>
        <v>8608.2999999999993</v>
      </c>
    </row>
    <row r="36" spans="1:23">
      <c r="A36" s="179"/>
      <c r="C36" s="191">
        <f t="shared" si="2"/>
        <v>0</v>
      </c>
      <c r="D36" s="191">
        <f t="shared" si="3"/>
        <v>0</v>
      </c>
      <c r="E36" s="191"/>
      <c r="F36" s="191"/>
      <c r="I36" s="11"/>
      <c r="K36" s="143"/>
      <c r="L36" s="145"/>
      <c r="M36" s="145"/>
      <c r="N36" s="145"/>
      <c r="O36" s="140"/>
      <c r="P36" s="140"/>
    </row>
    <row r="37" spans="1:23">
      <c r="A37" s="179" t="s">
        <v>97</v>
      </c>
      <c r="B37" s="173">
        <v>8833.99</v>
      </c>
      <c r="C37" s="191">
        <f t="shared" si="2"/>
        <v>598.94452199999989</v>
      </c>
      <c r="D37" s="191">
        <f t="shared" si="3"/>
        <v>199.64817399999998</v>
      </c>
      <c r="E37" s="191"/>
      <c r="F37" s="191"/>
      <c r="G37" s="187">
        <v>6502.12</v>
      </c>
      <c r="H37" s="106">
        <v>47.13</v>
      </c>
      <c r="I37" s="106">
        <v>332.33</v>
      </c>
      <c r="J37" s="106">
        <v>2035.3</v>
      </c>
      <c r="K37" s="143">
        <v>2008.9</v>
      </c>
      <c r="L37" s="145">
        <v>56.49</v>
      </c>
      <c r="M37" s="145"/>
      <c r="N37" s="145"/>
      <c r="O37" s="140">
        <f>K37-L37</f>
        <v>1952.41</v>
      </c>
      <c r="P37" s="140">
        <f>SUM(G37,H37,I37,O37)</f>
        <v>8833.99</v>
      </c>
    </row>
    <row r="38" spans="1:23">
      <c r="A38" s="179"/>
      <c r="C38" s="191">
        <f t="shared" si="2"/>
        <v>0</v>
      </c>
      <c r="D38" s="191">
        <f t="shared" si="3"/>
        <v>0</v>
      </c>
      <c r="E38" s="191"/>
      <c r="F38" s="191"/>
      <c r="J38" s="11"/>
      <c r="K38" s="143"/>
      <c r="L38" s="145"/>
      <c r="M38" s="145"/>
      <c r="N38" s="145"/>
      <c r="O38" s="140"/>
      <c r="P38" s="140"/>
    </row>
    <row r="39" spans="1:23">
      <c r="A39" s="179" t="s">
        <v>98</v>
      </c>
      <c r="B39" s="173">
        <v>8500.4800000000014</v>
      </c>
      <c r="C39" s="191">
        <f t="shared" si="2"/>
        <v>576.33254399999998</v>
      </c>
      <c r="D39" s="191">
        <f t="shared" si="3"/>
        <v>192.11084800000003</v>
      </c>
      <c r="E39" s="191"/>
      <c r="F39" s="191"/>
      <c r="G39" s="187">
        <v>5630.35</v>
      </c>
      <c r="H39" s="106">
        <v>50.39</v>
      </c>
      <c r="I39" s="106">
        <v>354.55</v>
      </c>
      <c r="J39" s="106">
        <v>2530.36</v>
      </c>
      <c r="K39" s="145">
        <v>2601.02</v>
      </c>
      <c r="L39" s="148">
        <v>135.83000000000001</v>
      </c>
      <c r="M39" s="148"/>
      <c r="N39" s="148"/>
      <c r="O39" s="140">
        <f>K39-L39</f>
        <v>2465.19</v>
      </c>
      <c r="P39" s="140">
        <f>SUM(G39,H39,I39,O39)</f>
        <v>8500.4800000000014</v>
      </c>
    </row>
    <row r="40" spans="1:23">
      <c r="A40" s="179"/>
      <c r="C40" s="191">
        <f t="shared" si="2"/>
        <v>0</v>
      </c>
      <c r="D40" s="191">
        <f t="shared" si="3"/>
        <v>0</v>
      </c>
      <c r="E40" s="191"/>
      <c r="F40" s="191"/>
      <c r="H40" s="11"/>
      <c r="K40" s="118"/>
      <c r="O40" s="140"/>
      <c r="P40" s="140"/>
    </row>
    <row r="41" spans="1:23">
      <c r="A41" s="179" t="s">
        <v>99</v>
      </c>
      <c r="B41" s="173">
        <v>7690.2800000000007</v>
      </c>
      <c r="C41" s="191">
        <f t="shared" si="2"/>
        <v>521.40098399999999</v>
      </c>
      <c r="D41" s="191">
        <f t="shared" si="3"/>
        <v>173.80032800000001</v>
      </c>
      <c r="E41" s="191"/>
      <c r="F41" s="191"/>
      <c r="G41" s="187">
        <v>5726.56</v>
      </c>
      <c r="H41" s="106">
        <v>77.05</v>
      </c>
      <c r="I41" s="106">
        <v>202.77</v>
      </c>
      <c r="J41" s="106">
        <v>1745.82</v>
      </c>
      <c r="K41" s="143">
        <v>1759.01</v>
      </c>
      <c r="L41" s="148">
        <v>75.11</v>
      </c>
      <c r="M41" s="148"/>
      <c r="N41" s="148"/>
      <c r="O41" s="140">
        <f>K41-L41</f>
        <v>1683.9</v>
      </c>
      <c r="P41" s="140">
        <f>SUM(G41,H41,I41,O41)</f>
        <v>7690.2800000000007</v>
      </c>
    </row>
    <row r="42" spans="1:23">
      <c r="A42" s="179"/>
      <c r="C42" s="191">
        <f t="shared" si="2"/>
        <v>0</v>
      </c>
      <c r="D42" s="191">
        <f t="shared" si="3"/>
        <v>0</v>
      </c>
      <c r="E42" s="191"/>
      <c r="F42" s="191"/>
      <c r="J42" s="11"/>
      <c r="K42" s="140"/>
      <c r="O42" s="140"/>
      <c r="P42" s="140"/>
    </row>
    <row r="43" spans="1:23">
      <c r="A43" s="179" t="s">
        <v>108</v>
      </c>
      <c r="B43" s="173">
        <v>6502.39</v>
      </c>
      <c r="C43" s="191">
        <f t="shared" si="2"/>
        <v>440.86204199999992</v>
      </c>
      <c r="D43" s="191">
        <f t="shared" si="3"/>
        <v>146.95401399999997</v>
      </c>
      <c r="E43" s="191"/>
      <c r="F43" s="191"/>
      <c r="G43" s="187">
        <v>4634.6099999999997</v>
      </c>
      <c r="H43" s="106">
        <v>131.38999999999999</v>
      </c>
      <c r="I43" s="106">
        <v>94.8</v>
      </c>
      <c r="J43" s="106">
        <v>1659.44</v>
      </c>
      <c r="K43" s="145">
        <v>1659.44</v>
      </c>
      <c r="L43" s="143">
        <v>17.850000000000001</v>
      </c>
      <c r="M43" s="143"/>
      <c r="N43" s="143"/>
      <c r="O43" s="140">
        <f>K43-L43</f>
        <v>1641.5900000000001</v>
      </c>
      <c r="P43" s="140">
        <f>SUM(G43,H43,I43,O43)</f>
        <v>6502.39</v>
      </c>
    </row>
    <row r="44" spans="1:23">
      <c r="A44" s="179"/>
      <c r="C44" s="191">
        <f t="shared" si="2"/>
        <v>0</v>
      </c>
      <c r="D44" s="191">
        <f t="shared" si="3"/>
        <v>0</v>
      </c>
      <c r="E44" s="191"/>
      <c r="F44" s="191"/>
      <c r="J44" s="11"/>
      <c r="K44" s="140"/>
      <c r="O44" s="140"/>
      <c r="P44" s="140"/>
    </row>
    <row r="45" spans="1:23" s="56" customFormat="1" ht="13.95" customHeight="1">
      <c r="A45" s="179" t="s">
        <v>109</v>
      </c>
      <c r="B45" s="173">
        <v>7944.1100000000006</v>
      </c>
      <c r="C45" s="191">
        <f t="shared" si="2"/>
        <v>538.61065799999994</v>
      </c>
      <c r="D45" s="191">
        <f t="shared" si="3"/>
        <v>179.53688600000001</v>
      </c>
      <c r="E45" s="191"/>
      <c r="F45" s="191"/>
      <c r="G45" s="187">
        <v>5586.64</v>
      </c>
      <c r="H45" s="106">
        <v>31.79</v>
      </c>
      <c r="I45" s="106">
        <v>128.38</v>
      </c>
      <c r="J45" s="106">
        <v>2405.6</v>
      </c>
      <c r="K45" s="143">
        <v>2405.6</v>
      </c>
      <c r="L45" s="145">
        <v>208.3</v>
      </c>
      <c r="M45" s="145"/>
      <c r="N45" s="145"/>
      <c r="O45" s="140">
        <f>K45-L45</f>
        <v>2197.2999999999997</v>
      </c>
      <c r="P45" s="140">
        <f>SUM(G45,H45,I45,O45)</f>
        <v>7944.1100000000006</v>
      </c>
      <c r="W45" s="185"/>
    </row>
    <row r="46" spans="1:23">
      <c r="A46" s="179"/>
      <c r="C46" s="191">
        <f t="shared" si="2"/>
        <v>0</v>
      </c>
      <c r="D46" s="191">
        <f t="shared" si="3"/>
        <v>0</v>
      </c>
      <c r="E46" s="191"/>
      <c r="F46" s="191"/>
      <c r="I46" s="11"/>
      <c r="O46" s="140"/>
      <c r="P46" s="140"/>
    </row>
    <row r="47" spans="1:23">
      <c r="A47" s="179" t="s">
        <v>110</v>
      </c>
      <c r="B47" s="173">
        <v>8203.64</v>
      </c>
      <c r="C47" s="191">
        <f t="shared" si="2"/>
        <v>556.20679199999995</v>
      </c>
      <c r="D47" s="191">
        <f t="shared" si="3"/>
        <v>185.40226399999997</v>
      </c>
      <c r="E47" s="191"/>
      <c r="F47" s="191"/>
      <c r="G47" s="187">
        <v>5741.22</v>
      </c>
      <c r="H47" s="106">
        <v>120.33</v>
      </c>
      <c r="I47" s="106">
        <v>129.38</v>
      </c>
      <c r="J47" s="106">
        <v>2535.9499999999998</v>
      </c>
      <c r="K47" s="145">
        <v>2535.9499999999998</v>
      </c>
      <c r="L47" s="145">
        <v>323.24</v>
      </c>
      <c r="M47" s="145"/>
      <c r="N47" s="145"/>
      <c r="O47" s="140">
        <f>K47-L47</f>
        <v>2212.71</v>
      </c>
      <c r="P47" s="140">
        <f>SUM(G47,H47,I47,O47)</f>
        <v>8203.64</v>
      </c>
    </row>
    <row r="48" spans="1:23">
      <c r="A48" s="179"/>
      <c r="C48" s="191">
        <f t="shared" si="2"/>
        <v>0</v>
      </c>
      <c r="D48" s="191">
        <f t="shared" si="3"/>
        <v>0</v>
      </c>
      <c r="E48" s="191"/>
      <c r="F48" s="191"/>
      <c r="G48" s="187"/>
      <c r="H48" s="118"/>
      <c r="I48" s="11"/>
      <c r="J48" s="118"/>
      <c r="O48" s="140">
        <f>K48-L48</f>
        <v>0</v>
      </c>
      <c r="P48" s="140">
        <f>SUM(G48,H48,I48,O48)</f>
        <v>0</v>
      </c>
    </row>
    <row r="49" spans="1:16">
      <c r="A49" s="187" t="s">
        <v>111</v>
      </c>
      <c r="B49" s="187">
        <v>9113.9599999999991</v>
      </c>
      <c r="C49" s="191">
        <f t="shared" si="2"/>
        <v>617.92648799999984</v>
      </c>
      <c r="D49" s="191">
        <f t="shared" si="3"/>
        <v>205.97549599999996</v>
      </c>
      <c r="E49" s="191"/>
      <c r="F49" s="191"/>
      <c r="G49" s="106">
        <v>6392.4</v>
      </c>
      <c r="H49" s="106">
        <v>26.4</v>
      </c>
      <c r="I49" s="106">
        <v>172.78</v>
      </c>
      <c r="J49" s="106">
        <v>2532</v>
      </c>
      <c r="K49" s="143">
        <v>2563.19</v>
      </c>
      <c r="L49" s="221">
        <v>40.81</v>
      </c>
      <c r="M49" s="221"/>
      <c r="N49" s="221"/>
      <c r="O49" s="106">
        <f>K49-L49</f>
        <v>2522.38</v>
      </c>
      <c r="P49" s="106">
        <f>SUM(G49,H49,I49,O49)</f>
        <v>9113.9599999999991</v>
      </c>
    </row>
    <row r="50" spans="1:16">
      <c r="A50" s="187"/>
      <c r="B50" s="187"/>
      <c r="C50" s="191">
        <f t="shared" si="2"/>
        <v>0</v>
      </c>
      <c r="D50" s="191">
        <f t="shared" si="3"/>
        <v>0</v>
      </c>
      <c r="E50" s="191"/>
      <c r="F50" s="191"/>
      <c r="G50" s="106"/>
      <c r="H50" s="106"/>
      <c r="I50" s="106"/>
      <c r="J50" s="106"/>
      <c r="K50" s="143"/>
      <c r="L50" s="221"/>
      <c r="M50" s="221"/>
      <c r="N50" s="221"/>
      <c r="O50" s="106"/>
      <c r="P50" s="106"/>
    </row>
    <row r="51" spans="1:16">
      <c r="A51" s="187" t="s">
        <v>112</v>
      </c>
      <c r="B51" s="187">
        <v>9443.84</v>
      </c>
      <c r="C51" s="191">
        <f t="shared" si="2"/>
        <v>640.29235199999994</v>
      </c>
      <c r="D51" s="191">
        <f t="shared" si="3"/>
        <v>213.43078399999999</v>
      </c>
      <c r="E51" s="191"/>
      <c r="F51" s="191"/>
      <c r="G51" s="106">
        <v>6536.04</v>
      </c>
      <c r="H51" s="106">
        <v>54.59</v>
      </c>
      <c r="I51" s="106">
        <v>400.75</v>
      </c>
      <c r="J51" s="106">
        <v>2453.0100000000002</v>
      </c>
      <c r="K51" s="143">
        <v>2455.0100000000002</v>
      </c>
      <c r="L51" s="221">
        <v>2.5499999999999998</v>
      </c>
      <c r="M51" s="221"/>
      <c r="N51" s="221"/>
      <c r="O51" s="106">
        <f>K51-L51</f>
        <v>2452.46</v>
      </c>
      <c r="P51" s="106">
        <f>SUM(G51,H51,I51,O51)</f>
        <v>9443.84</v>
      </c>
    </row>
    <row r="52" spans="1:16">
      <c r="A52" s="187"/>
      <c r="B52" s="187"/>
      <c r="C52" s="191">
        <f t="shared" si="2"/>
        <v>0</v>
      </c>
      <c r="D52" s="191">
        <f t="shared" si="3"/>
        <v>0</v>
      </c>
      <c r="E52" s="191"/>
      <c r="F52" s="191"/>
      <c r="G52" s="118"/>
      <c r="H52" s="118"/>
      <c r="I52" s="118"/>
      <c r="J52" s="11"/>
      <c r="K52" s="118"/>
      <c r="L52" s="118"/>
      <c r="M52" s="118"/>
      <c r="N52" s="118"/>
      <c r="O52" s="106"/>
      <c r="P52" s="106"/>
    </row>
    <row r="53" spans="1:16">
      <c r="A53" s="173" t="s">
        <v>113</v>
      </c>
      <c r="B53" s="173">
        <v>9090.5400000000009</v>
      </c>
      <c r="C53" s="191">
        <f t="shared" si="2"/>
        <v>616.33861200000001</v>
      </c>
      <c r="D53" s="191">
        <f t="shared" si="3"/>
        <v>205.44620400000002</v>
      </c>
      <c r="E53" s="191"/>
      <c r="F53" s="191"/>
      <c r="G53" s="106">
        <v>6480.88</v>
      </c>
      <c r="H53" s="106">
        <v>34</v>
      </c>
      <c r="I53" s="106">
        <v>101.16</v>
      </c>
      <c r="J53" s="106">
        <v>2580.7199999999998</v>
      </c>
      <c r="K53" s="145">
        <v>2580.7199999999998</v>
      </c>
      <c r="L53" s="145">
        <v>106.22</v>
      </c>
      <c r="M53" s="145"/>
      <c r="N53" s="145"/>
      <c r="O53" s="106">
        <f t="shared" ref="O53:O70" si="4">K53-L53</f>
        <v>2474.5</v>
      </c>
      <c r="P53" s="106">
        <f t="shared" ref="P53:P84" si="5">SUM(G53,H53,I53,O53)</f>
        <v>9090.5400000000009</v>
      </c>
    </row>
    <row r="54" spans="1:16">
      <c r="A54" s="173" t="s">
        <v>114</v>
      </c>
      <c r="B54" s="173">
        <v>9797.4000000000015</v>
      </c>
      <c r="C54" s="191">
        <f t="shared" si="2"/>
        <v>664.26372000000003</v>
      </c>
      <c r="D54" s="191">
        <f t="shared" si="3"/>
        <v>221.42124000000001</v>
      </c>
      <c r="E54" s="191"/>
      <c r="F54" s="191"/>
      <c r="G54" s="106">
        <v>7019.51</v>
      </c>
      <c r="H54" s="106">
        <v>270.47000000000003</v>
      </c>
      <c r="I54" s="106">
        <v>173.39</v>
      </c>
      <c r="J54" s="106">
        <v>2434.5</v>
      </c>
      <c r="K54" s="145">
        <v>2434.5</v>
      </c>
      <c r="L54" s="145">
        <v>100.47</v>
      </c>
      <c r="M54" s="145"/>
      <c r="N54" s="145"/>
      <c r="O54" s="106">
        <f t="shared" si="4"/>
        <v>2334.0300000000002</v>
      </c>
      <c r="P54" s="106">
        <f t="shared" si="5"/>
        <v>9797.4000000000015</v>
      </c>
    </row>
    <row r="55" spans="1:16">
      <c r="A55" s="173" t="s">
        <v>115</v>
      </c>
      <c r="B55" s="173">
        <v>10090.209999999999</v>
      </c>
      <c r="C55" s="191">
        <f t="shared" si="2"/>
        <v>684.11623799999984</v>
      </c>
      <c r="D55" s="191">
        <f t="shared" si="3"/>
        <v>228.03874599999995</v>
      </c>
      <c r="E55" s="191"/>
      <c r="F55" s="191"/>
      <c r="G55" s="106">
        <v>6476.07</v>
      </c>
      <c r="H55" s="106">
        <v>172.47</v>
      </c>
      <c r="I55" s="106">
        <v>219.56</v>
      </c>
      <c r="J55" s="106">
        <v>3381.99</v>
      </c>
      <c r="K55" s="143">
        <v>3381.99</v>
      </c>
      <c r="L55" s="145">
        <v>159.88</v>
      </c>
      <c r="M55" s="145"/>
      <c r="N55" s="145"/>
      <c r="O55" s="106">
        <f t="shared" si="4"/>
        <v>3222.1099999999997</v>
      </c>
      <c r="P55" s="106">
        <f t="shared" si="5"/>
        <v>10090.209999999999</v>
      </c>
    </row>
    <row r="56" spans="1:16">
      <c r="A56" s="173" t="s">
        <v>116</v>
      </c>
      <c r="B56" s="173">
        <v>8677.2200000000012</v>
      </c>
      <c r="C56" s="191">
        <f t="shared" si="2"/>
        <v>588.31551600000012</v>
      </c>
      <c r="D56" s="191">
        <f t="shared" si="3"/>
        <v>196.10517200000001</v>
      </c>
      <c r="E56" s="191"/>
      <c r="F56" s="191"/>
      <c r="G56" s="106">
        <v>6534.2</v>
      </c>
      <c r="H56" s="106">
        <v>52</v>
      </c>
      <c r="I56" s="106">
        <v>77.97</v>
      </c>
      <c r="J56" s="106">
        <v>2112.8200000000002</v>
      </c>
      <c r="K56" s="143">
        <v>2114.8200000000002</v>
      </c>
      <c r="L56" s="145">
        <v>101.77</v>
      </c>
      <c r="M56" s="145"/>
      <c r="N56" s="145"/>
      <c r="O56" s="106">
        <f t="shared" si="4"/>
        <v>2013.0500000000002</v>
      </c>
      <c r="P56" s="106">
        <f t="shared" si="5"/>
        <v>8677.2200000000012</v>
      </c>
    </row>
    <row r="57" spans="1:16">
      <c r="A57" s="173" t="s">
        <v>117</v>
      </c>
      <c r="B57" s="173">
        <v>10193.15</v>
      </c>
      <c r="C57" s="191">
        <f t="shared" si="2"/>
        <v>691.09556999999984</v>
      </c>
      <c r="D57" s="191">
        <f t="shared" si="3"/>
        <v>230.36518999999998</v>
      </c>
      <c r="E57" s="191"/>
      <c r="F57" s="142">
        <v>10315.41</v>
      </c>
      <c r="G57" s="106">
        <v>7879.77</v>
      </c>
      <c r="H57" s="106">
        <v>194.38</v>
      </c>
      <c r="I57" s="106">
        <v>151.79</v>
      </c>
      <c r="J57" s="106">
        <v>2089.4699999999998</v>
      </c>
      <c r="K57" s="143">
        <v>2089.4699999999998</v>
      </c>
      <c r="L57" s="145">
        <v>122.26</v>
      </c>
      <c r="M57" s="145"/>
      <c r="N57" s="145"/>
      <c r="O57" s="106">
        <f t="shared" si="4"/>
        <v>1967.2099999999998</v>
      </c>
      <c r="P57" s="106">
        <f t="shared" si="5"/>
        <v>10193.15</v>
      </c>
    </row>
    <row r="58" spans="1:16">
      <c r="A58" s="173" t="s">
        <v>118</v>
      </c>
      <c r="B58" s="173">
        <v>12954.94</v>
      </c>
      <c r="C58" s="191">
        <f t="shared" si="2"/>
        <v>878.34493199999986</v>
      </c>
      <c r="D58" s="191">
        <f t="shared" si="3"/>
        <v>292.78164400000003</v>
      </c>
      <c r="E58" s="191"/>
      <c r="F58" s="142">
        <v>13019.07</v>
      </c>
      <c r="G58" s="106">
        <v>10604.2</v>
      </c>
      <c r="H58" s="106">
        <v>18</v>
      </c>
      <c r="I58" s="106">
        <v>122.79</v>
      </c>
      <c r="J58" s="106">
        <v>2274.08</v>
      </c>
      <c r="K58" s="143">
        <v>2298.08</v>
      </c>
      <c r="L58" s="145">
        <v>88.13</v>
      </c>
      <c r="M58" s="145"/>
      <c r="N58" s="145"/>
      <c r="O58" s="106">
        <f t="shared" si="4"/>
        <v>2209.9499999999998</v>
      </c>
      <c r="P58" s="106">
        <f t="shared" si="5"/>
        <v>12954.940000000002</v>
      </c>
    </row>
    <row r="59" spans="1:16">
      <c r="A59" s="173" t="s">
        <v>119</v>
      </c>
      <c r="B59" s="173">
        <v>12451.66</v>
      </c>
      <c r="C59" s="191">
        <f t="shared" si="2"/>
        <v>844.22254799999996</v>
      </c>
      <c r="D59" s="191">
        <f t="shared" si="3"/>
        <v>281.40751599999999</v>
      </c>
      <c r="E59" s="191"/>
      <c r="F59" s="142">
        <v>12581.42</v>
      </c>
      <c r="G59" s="106">
        <v>9716.56</v>
      </c>
      <c r="H59" s="106">
        <v>31.6</v>
      </c>
      <c r="I59" s="106">
        <v>327.52</v>
      </c>
      <c r="J59" s="106">
        <v>2505.7399999999998</v>
      </c>
      <c r="K59" s="143">
        <v>2505.7399999999998</v>
      </c>
      <c r="L59" s="145">
        <v>129.76</v>
      </c>
      <c r="M59" s="145"/>
      <c r="N59" s="145"/>
      <c r="O59" s="106">
        <f t="shared" si="4"/>
        <v>2375.9799999999996</v>
      </c>
      <c r="P59" s="106">
        <f t="shared" si="5"/>
        <v>12451.66</v>
      </c>
    </row>
    <row r="60" spans="1:16">
      <c r="A60" s="173" t="s">
        <v>120</v>
      </c>
      <c r="B60" s="173">
        <v>12820.66</v>
      </c>
      <c r="C60" s="191">
        <f t="shared" si="2"/>
        <v>869.24074799999994</v>
      </c>
      <c r="D60" s="191">
        <f t="shared" si="3"/>
        <v>289.746916</v>
      </c>
      <c r="E60" s="191"/>
      <c r="F60" s="142">
        <v>12914.17</v>
      </c>
      <c r="G60" s="106">
        <v>10539.05</v>
      </c>
      <c r="H60" s="106">
        <v>63.9</v>
      </c>
      <c r="I60" s="106">
        <v>177.37</v>
      </c>
      <c r="J60" s="106">
        <v>2133.85</v>
      </c>
      <c r="K60" s="145">
        <v>2133.85</v>
      </c>
      <c r="L60" s="145">
        <v>93.51</v>
      </c>
      <c r="M60" s="145"/>
      <c r="N60" s="145"/>
      <c r="O60" s="106">
        <f t="shared" si="4"/>
        <v>2040.34</v>
      </c>
      <c r="P60" s="106">
        <f t="shared" si="5"/>
        <v>12820.66</v>
      </c>
    </row>
    <row r="61" spans="1:16">
      <c r="A61" s="173" t="s">
        <v>121</v>
      </c>
      <c r="B61" s="173">
        <v>12484.1</v>
      </c>
      <c r="C61" s="191">
        <f t="shared" si="2"/>
        <v>846.42197999999996</v>
      </c>
      <c r="D61" s="191">
        <f t="shared" si="3"/>
        <v>282.14065999999997</v>
      </c>
      <c r="E61" s="191"/>
      <c r="F61" s="142">
        <v>12572.13</v>
      </c>
      <c r="G61" s="106">
        <v>10178.35</v>
      </c>
      <c r="H61" s="118">
        <v>0</v>
      </c>
      <c r="I61" s="106">
        <v>87.2</v>
      </c>
      <c r="J61" s="106">
        <v>2306.58</v>
      </c>
      <c r="K61" s="143">
        <v>2347.38</v>
      </c>
      <c r="L61" s="145">
        <v>128.83000000000001</v>
      </c>
      <c r="M61" s="145"/>
      <c r="N61" s="145"/>
      <c r="O61" s="106">
        <f t="shared" si="4"/>
        <v>2218.5500000000002</v>
      </c>
      <c r="P61" s="106">
        <f t="shared" si="5"/>
        <v>12484.100000000002</v>
      </c>
    </row>
    <row r="62" spans="1:16">
      <c r="A62" s="173" t="s">
        <v>122</v>
      </c>
      <c r="B62" s="173">
        <v>13976.4</v>
      </c>
      <c r="C62" s="191">
        <f t="shared" si="2"/>
        <v>947.59991999999988</v>
      </c>
      <c r="D62" s="191">
        <f t="shared" si="3"/>
        <v>315.86664000000002</v>
      </c>
      <c r="E62" s="191"/>
      <c r="F62" s="142">
        <v>14114.3</v>
      </c>
      <c r="G62" s="106">
        <v>10842.72</v>
      </c>
      <c r="H62" s="106">
        <v>0</v>
      </c>
      <c r="I62" s="106">
        <v>289.85000000000002</v>
      </c>
      <c r="J62" s="106">
        <v>2981.73</v>
      </c>
      <c r="K62" s="143">
        <v>2999.73</v>
      </c>
      <c r="L62" s="145">
        <v>155.9</v>
      </c>
      <c r="M62" s="145"/>
      <c r="N62" s="145"/>
      <c r="O62" s="106">
        <f t="shared" si="4"/>
        <v>2843.83</v>
      </c>
      <c r="P62" s="106">
        <f t="shared" si="5"/>
        <v>13976.4</v>
      </c>
    </row>
    <row r="63" spans="1:16">
      <c r="A63" s="173" t="s">
        <v>123</v>
      </c>
      <c r="B63" s="173">
        <v>14689.37</v>
      </c>
      <c r="C63" s="191">
        <f t="shared" si="2"/>
        <v>995.93928599999992</v>
      </c>
      <c r="D63" s="191">
        <f t="shared" si="3"/>
        <v>331.97976200000005</v>
      </c>
      <c r="E63" s="191"/>
      <c r="F63" s="142">
        <v>14802.96</v>
      </c>
      <c r="G63" s="106">
        <v>11672.57</v>
      </c>
      <c r="H63" s="106">
        <v>125.2</v>
      </c>
      <c r="I63" s="106">
        <v>217.75</v>
      </c>
      <c r="J63" s="106">
        <v>2787.44</v>
      </c>
      <c r="K63" s="143">
        <v>2799.44</v>
      </c>
      <c r="L63" s="145">
        <v>125.59</v>
      </c>
      <c r="M63" s="145"/>
      <c r="N63" s="145"/>
      <c r="O63" s="106">
        <f t="shared" si="4"/>
        <v>2673.85</v>
      </c>
      <c r="P63" s="106">
        <f t="shared" si="5"/>
        <v>14689.37</v>
      </c>
    </row>
    <row r="64" spans="1:16">
      <c r="A64" s="173" t="s">
        <v>124</v>
      </c>
      <c r="B64" s="173">
        <v>16548.29</v>
      </c>
      <c r="C64" s="191">
        <f t="shared" si="2"/>
        <v>1121.974062</v>
      </c>
      <c r="D64" s="191">
        <f t="shared" si="3"/>
        <v>373.99135399999994</v>
      </c>
      <c r="E64" s="191"/>
      <c r="F64" s="142">
        <v>16665.189999999999</v>
      </c>
      <c r="G64" s="106">
        <v>13989.28</v>
      </c>
      <c r="H64" s="106">
        <v>141.6</v>
      </c>
      <c r="I64" s="106">
        <v>308.72000000000003</v>
      </c>
      <c r="J64" s="106">
        <v>2225.59</v>
      </c>
      <c r="K64" s="143">
        <v>2225.59</v>
      </c>
      <c r="L64" s="145">
        <v>116.9</v>
      </c>
      <c r="M64" s="145"/>
      <c r="N64" s="145"/>
      <c r="O64" s="106">
        <f t="shared" si="4"/>
        <v>2108.69</v>
      </c>
      <c r="P64" s="106">
        <f t="shared" si="5"/>
        <v>16548.29</v>
      </c>
    </row>
    <row r="65" spans="1:16">
      <c r="A65" s="173" t="s">
        <v>125</v>
      </c>
      <c r="B65" s="173">
        <v>16616.669999999998</v>
      </c>
      <c r="C65" s="191">
        <f t="shared" si="2"/>
        <v>1126.6102259999998</v>
      </c>
      <c r="D65" s="191">
        <f t="shared" si="3"/>
        <v>375.53674199999995</v>
      </c>
      <c r="E65" s="191"/>
      <c r="F65" s="142">
        <v>16643.150000000001</v>
      </c>
      <c r="G65" s="106">
        <v>14252.93</v>
      </c>
      <c r="H65" s="106">
        <v>0</v>
      </c>
      <c r="I65" s="106">
        <v>68.09</v>
      </c>
      <c r="J65" s="106">
        <v>2322.13</v>
      </c>
      <c r="K65" s="143">
        <v>2322.13</v>
      </c>
      <c r="L65" s="145">
        <v>26.48</v>
      </c>
      <c r="M65" s="145"/>
      <c r="N65" s="145"/>
      <c r="O65" s="106">
        <f t="shared" si="4"/>
        <v>2295.65</v>
      </c>
      <c r="P65" s="106">
        <f t="shared" si="5"/>
        <v>16616.670000000002</v>
      </c>
    </row>
    <row r="66" spans="1:16">
      <c r="A66" s="187" t="s">
        <v>126</v>
      </c>
      <c r="B66" s="173">
        <v>18467.66</v>
      </c>
      <c r="C66" s="191">
        <f t="shared" si="2"/>
        <v>1252.107348</v>
      </c>
      <c r="D66" s="191">
        <f t="shared" si="3"/>
        <v>417.36911599999996</v>
      </c>
      <c r="E66" s="191"/>
      <c r="F66" s="142">
        <v>18505.62</v>
      </c>
      <c r="G66" s="106">
        <v>15414.09</v>
      </c>
      <c r="H66" s="106">
        <v>55.47</v>
      </c>
      <c r="I66" s="106">
        <v>117.4</v>
      </c>
      <c r="J66" s="106">
        <v>2918.66</v>
      </c>
      <c r="K66" s="143">
        <v>2971.46</v>
      </c>
      <c r="L66" s="145">
        <v>90.76</v>
      </c>
      <c r="M66" s="145"/>
      <c r="N66" s="145"/>
      <c r="O66" s="106">
        <f t="shared" si="4"/>
        <v>2880.7</v>
      </c>
      <c r="P66" s="106">
        <f t="shared" si="5"/>
        <v>18467.66</v>
      </c>
    </row>
    <row r="67" spans="1:16">
      <c r="A67" s="187" t="s">
        <v>127</v>
      </c>
      <c r="B67" s="173">
        <v>16637.82</v>
      </c>
      <c r="C67" s="191">
        <f t="shared" ref="C67:C98" si="6">(B67*0.06)*1.13</f>
        <v>1128.0441959999998</v>
      </c>
      <c r="D67" s="191">
        <f t="shared" ref="D67:D98" si="7">(B67*0.02)*1.13</f>
        <v>376.01473199999992</v>
      </c>
      <c r="E67" s="11">
        <v>664</v>
      </c>
      <c r="F67" s="142">
        <v>16730.490000000002</v>
      </c>
      <c r="G67" s="106">
        <v>14210.58</v>
      </c>
      <c r="H67" s="106">
        <v>7.2</v>
      </c>
      <c r="I67" s="106">
        <v>269.70999999999998</v>
      </c>
      <c r="J67" s="106">
        <v>2243</v>
      </c>
      <c r="K67" s="143">
        <v>2243</v>
      </c>
      <c r="L67" s="145">
        <v>92.67</v>
      </c>
      <c r="M67" s="145"/>
      <c r="N67" s="145"/>
      <c r="O67" s="106">
        <f t="shared" si="4"/>
        <v>2150.33</v>
      </c>
      <c r="P67" s="106">
        <f t="shared" si="5"/>
        <v>16637.82</v>
      </c>
    </row>
    <row r="68" spans="1:16">
      <c r="A68" s="187" t="s">
        <v>128</v>
      </c>
      <c r="B68" s="173">
        <v>17623.37</v>
      </c>
      <c r="C68" s="191">
        <f t="shared" si="6"/>
        <v>1194.8644859999999</v>
      </c>
      <c r="D68" s="191">
        <f t="shared" si="7"/>
        <v>398.28816199999994</v>
      </c>
      <c r="E68" s="56">
        <v>743</v>
      </c>
      <c r="F68" s="142">
        <v>17702.63</v>
      </c>
      <c r="G68" s="106">
        <v>15508.86</v>
      </c>
      <c r="H68" s="106">
        <v>24</v>
      </c>
      <c r="I68" s="118">
        <v>0</v>
      </c>
      <c r="J68" s="106">
        <v>2169.77</v>
      </c>
      <c r="K68" s="143">
        <v>2169.77</v>
      </c>
      <c r="L68" s="145">
        <v>79.260000000000005</v>
      </c>
      <c r="M68" s="145"/>
      <c r="N68" s="145"/>
      <c r="O68" s="106">
        <f t="shared" si="4"/>
        <v>2090.5099999999998</v>
      </c>
      <c r="P68" s="106">
        <f t="shared" si="5"/>
        <v>17623.37</v>
      </c>
    </row>
    <row r="69" spans="1:16">
      <c r="A69" s="187" t="s">
        <v>129</v>
      </c>
      <c r="B69" s="173">
        <v>19107.22</v>
      </c>
      <c r="C69" s="191">
        <f t="shared" si="6"/>
        <v>1295.4695159999999</v>
      </c>
      <c r="D69" s="191">
        <f t="shared" si="7"/>
        <v>431.823172</v>
      </c>
      <c r="E69" s="11">
        <v>778</v>
      </c>
      <c r="F69" s="142">
        <v>19220.349999999999</v>
      </c>
      <c r="G69" s="106">
        <v>16285.36</v>
      </c>
      <c r="H69" s="106">
        <v>206.87</v>
      </c>
      <c r="I69" s="106">
        <v>130.04</v>
      </c>
      <c r="J69" s="106">
        <v>2598.08</v>
      </c>
      <c r="K69" s="143">
        <v>2572.08</v>
      </c>
      <c r="L69" s="145">
        <v>87.13</v>
      </c>
      <c r="M69" s="145"/>
      <c r="N69" s="145"/>
      <c r="O69" s="106">
        <f t="shared" si="4"/>
        <v>2484.9499999999998</v>
      </c>
      <c r="P69" s="106">
        <f t="shared" si="5"/>
        <v>19107.22</v>
      </c>
    </row>
    <row r="70" spans="1:16">
      <c r="A70" s="187" t="s">
        <v>130</v>
      </c>
      <c r="B70" s="173">
        <v>18962.14</v>
      </c>
      <c r="C70" s="191">
        <f t="shared" si="6"/>
        <v>1285.6330919999998</v>
      </c>
      <c r="D70" s="191">
        <f t="shared" si="7"/>
        <v>428.54436399999997</v>
      </c>
      <c r="E70" s="11">
        <v>773</v>
      </c>
      <c r="F70" s="142">
        <v>19164</v>
      </c>
      <c r="G70" s="106">
        <v>16060.62</v>
      </c>
      <c r="H70" s="106">
        <v>0</v>
      </c>
      <c r="I70" s="106">
        <v>77.989999999999995</v>
      </c>
      <c r="J70" s="106">
        <v>3025.39</v>
      </c>
      <c r="K70" s="143">
        <v>2945.04</v>
      </c>
      <c r="L70" s="145">
        <v>121.51</v>
      </c>
      <c r="M70" s="145"/>
      <c r="N70" s="145"/>
      <c r="O70" s="106">
        <f t="shared" si="4"/>
        <v>2823.5299999999997</v>
      </c>
      <c r="P70" s="106">
        <f t="shared" si="5"/>
        <v>18962.14</v>
      </c>
    </row>
    <row r="71" spans="1:16">
      <c r="A71" s="187" t="s">
        <v>131</v>
      </c>
      <c r="B71" s="173">
        <v>18130.689999999999</v>
      </c>
      <c r="C71" s="191">
        <f t="shared" si="6"/>
        <v>1229.2607819999996</v>
      </c>
      <c r="D71" s="191">
        <f t="shared" si="7"/>
        <v>409.75359399999991</v>
      </c>
      <c r="E71" s="11">
        <v>753</v>
      </c>
      <c r="F71" s="142">
        <v>18248.849999999999</v>
      </c>
      <c r="G71" s="106">
        <v>15537.57</v>
      </c>
      <c r="H71" s="106">
        <v>146.61000000000001</v>
      </c>
      <c r="I71" s="118">
        <v>0</v>
      </c>
      <c r="J71" s="106">
        <v>2564.67</v>
      </c>
      <c r="K71" s="145">
        <v>2430.37</v>
      </c>
      <c r="L71" s="145">
        <v>94.99</v>
      </c>
      <c r="M71" s="145">
        <v>134.30000000000001</v>
      </c>
      <c r="N71" s="145">
        <v>23.17</v>
      </c>
      <c r="O71" s="106">
        <f t="shared" ref="O71:O110" si="8">(K71-L71)+(M71-N71)</f>
        <v>2446.5100000000002</v>
      </c>
      <c r="P71" s="106">
        <f t="shared" si="5"/>
        <v>18130.690000000002</v>
      </c>
    </row>
    <row r="72" spans="1:16">
      <c r="A72" s="187" t="s">
        <v>132</v>
      </c>
      <c r="B72" s="173">
        <v>19722.38</v>
      </c>
      <c r="C72" s="191">
        <f t="shared" si="6"/>
        <v>1337.1773640000001</v>
      </c>
      <c r="D72" s="191">
        <f t="shared" si="7"/>
        <v>445.72578799999997</v>
      </c>
      <c r="E72" s="11">
        <v>808</v>
      </c>
      <c r="F72" s="142">
        <v>19850.71</v>
      </c>
      <c r="G72" s="106">
        <v>17089.189999999999</v>
      </c>
      <c r="H72" s="106">
        <v>22.8</v>
      </c>
      <c r="I72" s="106">
        <v>145.63</v>
      </c>
      <c r="J72" s="106">
        <v>2593.09</v>
      </c>
      <c r="K72" s="143">
        <v>2470.7800000000002</v>
      </c>
      <c r="L72" s="145">
        <v>87.91</v>
      </c>
      <c r="M72" s="143">
        <v>122.31</v>
      </c>
      <c r="N72" s="145">
        <v>40.42</v>
      </c>
      <c r="O72" s="106">
        <f t="shared" si="8"/>
        <v>2464.7600000000002</v>
      </c>
      <c r="P72" s="106">
        <f t="shared" si="5"/>
        <v>19722.379999999997</v>
      </c>
    </row>
    <row r="73" spans="1:16">
      <c r="A73" s="187" t="s">
        <v>133</v>
      </c>
      <c r="B73" s="173">
        <v>22023.84</v>
      </c>
      <c r="C73" s="191">
        <f t="shared" si="6"/>
        <v>1493.2163519999999</v>
      </c>
      <c r="D73" s="191">
        <f t="shared" si="7"/>
        <v>497.73878400000001</v>
      </c>
      <c r="E73" s="11">
        <v>862</v>
      </c>
      <c r="F73" s="142">
        <v>22176.92</v>
      </c>
      <c r="G73" s="106">
        <v>19647.22</v>
      </c>
      <c r="H73" s="11">
        <v>0</v>
      </c>
      <c r="I73" s="106">
        <v>52.8</v>
      </c>
      <c r="J73" s="106">
        <v>2476.9</v>
      </c>
      <c r="K73" s="143">
        <v>2387.77</v>
      </c>
      <c r="L73" s="145">
        <v>142.22</v>
      </c>
      <c r="M73" s="143">
        <v>89.13</v>
      </c>
      <c r="N73" s="145">
        <v>10.86</v>
      </c>
      <c r="O73" s="106">
        <f t="shared" si="8"/>
        <v>2323.8200000000002</v>
      </c>
      <c r="P73" s="106">
        <f t="shared" si="5"/>
        <v>22023.84</v>
      </c>
    </row>
    <row r="74" spans="1:16">
      <c r="A74" s="187" t="s">
        <v>134</v>
      </c>
      <c r="B74" s="173">
        <v>11468.06</v>
      </c>
      <c r="C74" s="191">
        <f t="shared" si="6"/>
        <v>777.53446799999983</v>
      </c>
      <c r="D74" s="191">
        <f t="shared" si="7"/>
        <v>259.17815599999994</v>
      </c>
      <c r="E74" s="11">
        <v>391</v>
      </c>
      <c r="F74" s="142">
        <v>11550.05</v>
      </c>
      <c r="G74" s="106">
        <v>9266.1</v>
      </c>
      <c r="H74" s="106">
        <v>26.4</v>
      </c>
      <c r="I74" s="106">
        <v>229.45</v>
      </c>
      <c r="J74" s="106">
        <v>2028.1</v>
      </c>
      <c r="K74" s="143">
        <v>1917.76</v>
      </c>
      <c r="L74" s="145">
        <v>60.26</v>
      </c>
      <c r="M74" s="145">
        <v>110.34</v>
      </c>
      <c r="N74" s="145">
        <v>21.73</v>
      </c>
      <c r="O74" s="106">
        <f t="shared" si="8"/>
        <v>1946.11</v>
      </c>
      <c r="P74" s="106">
        <f t="shared" si="5"/>
        <v>11468.060000000001</v>
      </c>
    </row>
    <row r="75" spans="1:16">
      <c r="A75" s="187" t="s">
        <v>135</v>
      </c>
      <c r="B75" s="173">
        <v>12290.23</v>
      </c>
      <c r="C75" s="191">
        <f t="shared" si="6"/>
        <v>833.27759399999979</v>
      </c>
      <c r="D75" s="191">
        <f t="shared" si="7"/>
        <v>277.75919799999997</v>
      </c>
      <c r="E75" s="11">
        <v>452</v>
      </c>
      <c r="F75" s="142">
        <v>12373.21</v>
      </c>
      <c r="G75" s="106">
        <v>9454.77</v>
      </c>
      <c r="H75" s="106">
        <v>18</v>
      </c>
      <c r="I75" s="106">
        <v>259.01</v>
      </c>
      <c r="J75" s="106">
        <v>2641.43</v>
      </c>
      <c r="K75" s="143">
        <v>2641.43</v>
      </c>
      <c r="L75" s="145">
        <v>122.45</v>
      </c>
      <c r="M75" s="143">
        <v>55.77</v>
      </c>
      <c r="N75" s="145">
        <v>16.3</v>
      </c>
      <c r="O75" s="106">
        <f t="shared" si="8"/>
        <v>2558.4499999999998</v>
      </c>
      <c r="P75" s="106">
        <f t="shared" si="5"/>
        <v>12290.23</v>
      </c>
    </row>
    <row r="76" spans="1:16">
      <c r="A76" s="187" t="s">
        <v>136</v>
      </c>
      <c r="B76" s="173">
        <v>8507.11</v>
      </c>
      <c r="C76" s="191">
        <f t="shared" si="6"/>
        <v>576.78205800000001</v>
      </c>
      <c r="D76" s="191">
        <f t="shared" si="7"/>
        <v>192.26068599999999</v>
      </c>
      <c r="E76" s="11">
        <v>335</v>
      </c>
      <c r="F76" s="142">
        <v>8512.5300000000007</v>
      </c>
      <c r="G76" s="106">
        <v>6620.89</v>
      </c>
      <c r="H76" s="106">
        <v>26.4</v>
      </c>
      <c r="I76" s="106">
        <v>106.06</v>
      </c>
      <c r="J76" s="106">
        <v>1759.18</v>
      </c>
      <c r="K76" s="143">
        <v>1810.78</v>
      </c>
      <c r="L76" s="145">
        <v>94.24</v>
      </c>
      <c r="M76" s="143">
        <v>48.56</v>
      </c>
      <c r="N76" s="145">
        <v>11.34</v>
      </c>
      <c r="O76" s="106">
        <f t="shared" si="8"/>
        <v>1753.76</v>
      </c>
      <c r="P76" s="106">
        <f t="shared" si="5"/>
        <v>8507.11</v>
      </c>
    </row>
    <row r="77" spans="1:16">
      <c r="A77" s="187" t="s">
        <v>137</v>
      </c>
      <c r="B77" s="173">
        <v>10453.18</v>
      </c>
      <c r="C77" s="191">
        <f t="shared" si="6"/>
        <v>708.72560399999986</v>
      </c>
      <c r="D77" s="191">
        <f t="shared" si="7"/>
        <v>236.24186799999998</v>
      </c>
      <c r="E77" s="11">
        <v>390</v>
      </c>
      <c r="F77" s="142">
        <v>10566.69</v>
      </c>
      <c r="G77" s="106">
        <v>7952.51</v>
      </c>
      <c r="H77" s="106">
        <v>24.29</v>
      </c>
      <c r="I77" s="106">
        <v>96.69</v>
      </c>
      <c r="J77" s="106">
        <v>2493.1999999999998</v>
      </c>
      <c r="K77" s="145">
        <v>2430.84</v>
      </c>
      <c r="L77" s="145">
        <v>115.92</v>
      </c>
      <c r="M77" s="143">
        <v>81.540000000000006</v>
      </c>
      <c r="N77" s="145">
        <v>16.77</v>
      </c>
      <c r="O77" s="106">
        <f t="shared" si="8"/>
        <v>2379.69</v>
      </c>
      <c r="P77" s="106">
        <f t="shared" si="5"/>
        <v>10453.18</v>
      </c>
    </row>
    <row r="78" spans="1:16">
      <c r="A78" s="187" t="s">
        <v>138</v>
      </c>
      <c r="B78" s="173">
        <v>9956.32</v>
      </c>
      <c r="C78" s="191">
        <f t="shared" si="6"/>
        <v>675.0384959999999</v>
      </c>
      <c r="D78" s="191">
        <f t="shared" si="7"/>
        <v>225.01283199999997</v>
      </c>
      <c r="E78" s="11">
        <v>404</v>
      </c>
      <c r="F78" s="142">
        <v>9897.83</v>
      </c>
      <c r="G78" s="106">
        <v>7642.19</v>
      </c>
      <c r="H78" s="106">
        <v>27.6</v>
      </c>
      <c r="I78" s="106">
        <v>320.86</v>
      </c>
      <c r="J78" s="106">
        <v>1907.18</v>
      </c>
      <c r="K78" s="143">
        <v>1983.32</v>
      </c>
      <c r="L78" s="145">
        <v>17.649999999999999</v>
      </c>
      <c r="M78" s="143">
        <v>0</v>
      </c>
      <c r="N78" s="145">
        <v>0</v>
      </c>
      <c r="O78" s="106">
        <f t="shared" si="8"/>
        <v>1965.6699999999998</v>
      </c>
      <c r="P78" s="106">
        <f t="shared" si="5"/>
        <v>9956.32</v>
      </c>
    </row>
    <row r="79" spans="1:16">
      <c r="A79" s="187" t="s">
        <v>139</v>
      </c>
      <c r="B79" s="173">
        <v>11492.36</v>
      </c>
      <c r="C79" s="191">
        <f t="shared" si="6"/>
        <v>779.182008</v>
      </c>
      <c r="D79" s="191">
        <f t="shared" si="7"/>
        <v>259.72733599999998</v>
      </c>
      <c r="E79" s="11">
        <v>448</v>
      </c>
      <c r="F79" s="142">
        <v>11396.56</v>
      </c>
      <c r="G79" s="106">
        <v>9153.5</v>
      </c>
      <c r="H79" s="106">
        <v>198.59</v>
      </c>
      <c r="I79" s="106">
        <v>151.37</v>
      </c>
      <c r="J79" s="106">
        <v>1893.1</v>
      </c>
      <c r="K79" s="145">
        <v>1988.9</v>
      </c>
      <c r="L79" s="145">
        <v>0</v>
      </c>
      <c r="M79" s="143">
        <v>0</v>
      </c>
      <c r="N79" s="145">
        <v>0</v>
      </c>
      <c r="O79" s="106">
        <f t="shared" si="8"/>
        <v>1988.9</v>
      </c>
      <c r="P79" s="106">
        <f t="shared" si="5"/>
        <v>11492.36</v>
      </c>
    </row>
    <row r="80" spans="1:16">
      <c r="A80" s="187" t="s">
        <v>140</v>
      </c>
      <c r="B80" s="173">
        <v>12660.06</v>
      </c>
      <c r="C80" s="191">
        <f t="shared" si="6"/>
        <v>858.3520679999998</v>
      </c>
      <c r="D80" s="191">
        <f t="shared" si="7"/>
        <v>286.11735599999997</v>
      </c>
      <c r="E80" s="11"/>
      <c r="F80" s="187">
        <v>12633.66</v>
      </c>
      <c r="G80" s="187">
        <v>10151.39</v>
      </c>
      <c r="H80" s="187">
        <v>58.8</v>
      </c>
      <c r="I80" s="187">
        <v>134.72999999999999</v>
      </c>
      <c r="J80" s="187">
        <v>2288.7399999999998</v>
      </c>
      <c r="K80" s="145">
        <v>2315.14</v>
      </c>
      <c r="L80" s="145">
        <v>0</v>
      </c>
      <c r="M80" s="143">
        <v>0</v>
      </c>
      <c r="N80" s="145">
        <v>0</v>
      </c>
      <c r="O80" s="106">
        <f t="shared" si="8"/>
        <v>2315.14</v>
      </c>
      <c r="P80" s="106">
        <f t="shared" si="5"/>
        <v>12660.059999999998</v>
      </c>
    </row>
    <row r="81" spans="1:16">
      <c r="A81" s="187" t="s">
        <v>141</v>
      </c>
      <c r="B81" s="173">
        <v>11775.34</v>
      </c>
      <c r="C81" s="191">
        <f t="shared" si="6"/>
        <v>798.36805199999992</v>
      </c>
      <c r="D81" s="191">
        <f t="shared" si="7"/>
        <v>266.12268399999999</v>
      </c>
      <c r="E81" s="179"/>
      <c r="F81" s="187">
        <v>11741.34</v>
      </c>
      <c r="G81" s="187">
        <v>9570.5499999999993</v>
      </c>
      <c r="H81" s="187">
        <v>47.99</v>
      </c>
      <c r="I81" s="187">
        <v>176.47</v>
      </c>
      <c r="J81" s="187">
        <v>1946.33</v>
      </c>
      <c r="K81" s="145">
        <v>1980.33</v>
      </c>
      <c r="L81" s="145">
        <v>0</v>
      </c>
      <c r="M81" s="143">
        <v>0</v>
      </c>
      <c r="N81" s="145">
        <v>0</v>
      </c>
      <c r="O81" s="106">
        <f t="shared" si="8"/>
        <v>1980.33</v>
      </c>
      <c r="P81" s="106">
        <f t="shared" si="5"/>
        <v>11775.339999999998</v>
      </c>
    </row>
    <row r="82" spans="1:16">
      <c r="A82" s="187" t="s">
        <v>142</v>
      </c>
      <c r="B82" s="173">
        <v>12776.83</v>
      </c>
      <c r="C82" s="191">
        <f t="shared" si="6"/>
        <v>866.26907399999982</v>
      </c>
      <c r="D82" s="191">
        <f t="shared" si="7"/>
        <v>288.75635799999998</v>
      </c>
      <c r="E82" s="302">
        <v>441</v>
      </c>
      <c r="F82" s="187">
        <v>12727.63</v>
      </c>
      <c r="G82" s="187">
        <v>10607.79</v>
      </c>
      <c r="H82" s="187">
        <v>103.54</v>
      </c>
      <c r="I82" s="187">
        <v>45.58</v>
      </c>
      <c r="J82" s="187">
        <v>1970.72</v>
      </c>
      <c r="K82" s="145">
        <v>1971.36</v>
      </c>
      <c r="L82" s="145">
        <v>0</v>
      </c>
      <c r="M82" s="145">
        <v>48.56</v>
      </c>
      <c r="N82" s="145">
        <v>0</v>
      </c>
      <c r="O82" s="106">
        <f t="shared" si="8"/>
        <v>2019.9199999999998</v>
      </c>
      <c r="P82" s="106">
        <f t="shared" si="5"/>
        <v>12776.830000000002</v>
      </c>
    </row>
    <row r="83" spans="1:16">
      <c r="A83" s="187" t="s">
        <v>143</v>
      </c>
      <c r="B83" s="173">
        <v>10311.84</v>
      </c>
      <c r="C83" s="191">
        <f t="shared" si="6"/>
        <v>699.14275199999986</v>
      </c>
      <c r="D83" s="191">
        <f t="shared" si="7"/>
        <v>233.047584</v>
      </c>
      <c r="E83" s="302" t="s">
        <v>368</v>
      </c>
      <c r="F83" s="179">
        <v>10336.24</v>
      </c>
      <c r="G83" s="187">
        <v>6799.22</v>
      </c>
      <c r="H83" s="187">
        <v>67.2</v>
      </c>
      <c r="I83" s="187">
        <v>81.64</v>
      </c>
      <c r="J83" s="187">
        <v>3388.18</v>
      </c>
      <c r="K83" s="145">
        <v>3363.78</v>
      </c>
      <c r="L83" s="145">
        <v>0</v>
      </c>
      <c r="M83" s="143">
        <v>0</v>
      </c>
      <c r="N83" s="145">
        <v>0</v>
      </c>
      <c r="O83" s="106">
        <f t="shared" si="8"/>
        <v>3363.78</v>
      </c>
      <c r="P83" s="106">
        <f t="shared" si="5"/>
        <v>10311.84</v>
      </c>
    </row>
    <row r="84" spans="1:16">
      <c r="A84" s="187" t="s">
        <v>145</v>
      </c>
      <c r="B84" s="173">
        <v>9167.09</v>
      </c>
      <c r="C84" s="191">
        <f t="shared" si="6"/>
        <v>621.52870199999995</v>
      </c>
      <c r="D84" s="191">
        <f t="shared" si="7"/>
        <v>207.17623399999999</v>
      </c>
      <c r="E84" s="302" t="s">
        <v>175</v>
      </c>
      <c r="F84" s="179">
        <v>9167.09</v>
      </c>
      <c r="G84" s="187">
        <v>6595.57</v>
      </c>
      <c r="H84" s="187">
        <v>99.88</v>
      </c>
      <c r="I84" s="187">
        <v>122.38</v>
      </c>
      <c r="J84" s="187">
        <v>2349.2600000000002</v>
      </c>
      <c r="K84" s="145">
        <v>2325.2800000000002</v>
      </c>
      <c r="L84" s="145">
        <v>0</v>
      </c>
      <c r="M84" s="145">
        <v>23.98</v>
      </c>
      <c r="N84" s="145">
        <v>0</v>
      </c>
      <c r="O84" s="106">
        <f t="shared" si="8"/>
        <v>2349.2600000000002</v>
      </c>
      <c r="P84" s="106">
        <f t="shared" si="5"/>
        <v>9167.09</v>
      </c>
    </row>
    <row r="85" spans="1:16">
      <c r="A85" s="2" t="s">
        <v>147</v>
      </c>
      <c r="B85" s="173">
        <v>10724.92</v>
      </c>
      <c r="C85" s="191">
        <f t="shared" si="6"/>
        <v>727.14957599999991</v>
      </c>
      <c r="D85" s="191">
        <f t="shared" si="7"/>
        <v>242.38319199999998</v>
      </c>
      <c r="E85" s="302" t="s">
        <v>369</v>
      </c>
      <c r="F85" s="187">
        <v>10820.8</v>
      </c>
      <c r="G85" s="187">
        <v>8469.6299999999992</v>
      </c>
      <c r="H85" s="187">
        <v>91.6</v>
      </c>
      <c r="I85" s="187">
        <v>125.39</v>
      </c>
      <c r="J85" s="187">
        <v>2134.1799999999998</v>
      </c>
      <c r="K85" s="145">
        <v>2134.1799999999998</v>
      </c>
      <c r="L85" s="145">
        <v>95.88</v>
      </c>
      <c r="M85" s="143">
        <v>0</v>
      </c>
      <c r="N85" s="145">
        <v>0</v>
      </c>
      <c r="O85" s="106">
        <f t="shared" si="8"/>
        <v>2038.2999999999997</v>
      </c>
      <c r="P85" s="106">
        <f t="shared" ref="P85:P110" si="9">SUM(G85,H85,I85,O85)</f>
        <v>10724.919999999998</v>
      </c>
    </row>
    <row r="86" spans="1:16">
      <c r="A86" s="2" t="s">
        <v>149</v>
      </c>
      <c r="B86" s="173">
        <v>10630.86</v>
      </c>
      <c r="C86" s="191">
        <f t="shared" si="6"/>
        <v>720.77230799999984</v>
      </c>
      <c r="D86" s="191">
        <f t="shared" si="7"/>
        <v>240.25743600000001</v>
      </c>
      <c r="E86" s="187">
        <v>382</v>
      </c>
      <c r="F86" s="187">
        <v>10725.94</v>
      </c>
      <c r="G86" s="187">
        <v>7644.15</v>
      </c>
      <c r="H86" s="187">
        <v>78.39</v>
      </c>
      <c r="I86" s="187">
        <v>185.93</v>
      </c>
      <c r="J86" s="187">
        <v>2817.47</v>
      </c>
      <c r="K86" s="145">
        <v>2819.47</v>
      </c>
      <c r="L86" s="145">
        <v>97.08</v>
      </c>
      <c r="M86" s="143">
        <v>0</v>
      </c>
      <c r="N86" s="145">
        <v>0</v>
      </c>
      <c r="O86" s="106">
        <f t="shared" si="8"/>
        <v>2722.39</v>
      </c>
      <c r="P86" s="106">
        <f t="shared" si="9"/>
        <v>10630.86</v>
      </c>
    </row>
    <row r="87" spans="1:16">
      <c r="A87" s="11" t="s">
        <v>150</v>
      </c>
      <c r="B87" s="173">
        <v>10691.56</v>
      </c>
      <c r="C87" s="187">
        <f t="shared" si="6"/>
        <v>724.88776799999982</v>
      </c>
      <c r="D87" s="187">
        <f t="shared" si="7"/>
        <v>241.62925599999997</v>
      </c>
      <c r="E87" s="304">
        <v>361</v>
      </c>
      <c r="F87" s="187">
        <v>11000.2</v>
      </c>
      <c r="G87" s="187">
        <v>6631.19</v>
      </c>
      <c r="H87" s="56">
        <v>24.3</v>
      </c>
      <c r="I87" s="187">
        <v>259.04000000000002</v>
      </c>
      <c r="J87" s="187">
        <v>4085.67</v>
      </c>
      <c r="K87" s="140">
        <v>4085.67</v>
      </c>
      <c r="L87" s="140">
        <v>308.64</v>
      </c>
      <c r="M87" s="142">
        <v>0</v>
      </c>
      <c r="N87" s="140">
        <v>0</v>
      </c>
      <c r="O87" s="106">
        <f t="shared" si="8"/>
        <v>3777.03</v>
      </c>
      <c r="P87" s="106">
        <f t="shared" si="9"/>
        <v>10691.56</v>
      </c>
    </row>
    <row r="88" spans="1:16">
      <c r="A88" s="118" t="s">
        <v>151</v>
      </c>
      <c r="B88" s="173">
        <v>9321.3700000000008</v>
      </c>
      <c r="C88" s="187">
        <f t="shared" si="6"/>
        <v>631.98888599999998</v>
      </c>
      <c r="D88" s="187">
        <f t="shared" si="7"/>
        <v>210.66296199999999</v>
      </c>
      <c r="E88" s="187" t="s">
        <v>370</v>
      </c>
      <c r="F88" s="187">
        <v>9581.0499999999993</v>
      </c>
      <c r="G88" s="187">
        <v>6152.9</v>
      </c>
      <c r="H88" s="187">
        <v>42.21</v>
      </c>
      <c r="I88" s="187">
        <v>159.43</v>
      </c>
      <c r="J88" s="187">
        <v>3226.51</v>
      </c>
      <c r="K88" s="140">
        <v>3194.13</v>
      </c>
      <c r="L88" s="140">
        <v>259.68</v>
      </c>
      <c r="M88" s="140">
        <v>32.380000000000003</v>
      </c>
      <c r="N88" s="140">
        <v>0</v>
      </c>
      <c r="O88" s="106">
        <f t="shared" si="8"/>
        <v>2966.8300000000004</v>
      </c>
      <c r="P88" s="106">
        <f t="shared" si="9"/>
        <v>9321.3700000000008</v>
      </c>
    </row>
    <row r="89" spans="1:16">
      <c r="A89" s="11" t="s">
        <v>153</v>
      </c>
      <c r="B89" s="173">
        <v>11135.48</v>
      </c>
      <c r="C89" s="187">
        <f t="shared" si="6"/>
        <v>754.98554399999989</v>
      </c>
      <c r="D89" s="187">
        <f t="shared" si="7"/>
        <v>251.66184799999996</v>
      </c>
      <c r="E89" s="187" t="s">
        <v>371</v>
      </c>
      <c r="F89" s="187">
        <v>11518.17</v>
      </c>
      <c r="G89" s="187">
        <v>7247.33</v>
      </c>
      <c r="H89" s="187">
        <v>76</v>
      </c>
      <c r="I89" s="187">
        <v>171.26</v>
      </c>
      <c r="J89" s="187">
        <v>4023.58</v>
      </c>
      <c r="K89" s="140">
        <v>4012.21</v>
      </c>
      <c r="L89" s="140">
        <v>440.67</v>
      </c>
      <c r="M89" s="140">
        <v>69.349999999999994</v>
      </c>
      <c r="N89" s="140">
        <v>0</v>
      </c>
      <c r="O89" s="106">
        <f t="shared" si="8"/>
        <v>3640.89</v>
      </c>
      <c r="P89" s="106">
        <f t="shared" si="9"/>
        <v>11135.48</v>
      </c>
    </row>
    <row r="90" spans="1:16">
      <c r="A90" s="11" t="s">
        <v>154</v>
      </c>
      <c r="B90" s="173">
        <v>12397.21</v>
      </c>
      <c r="C90" s="187">
        <f t="shared" si="6"/>
        <v>840.5308379999999</v>
      </c>
      <c r="D90" s="187">
        <f t="shared" si="7"/>
        <v>280.17694599999999</v>
      </c>
      <c r="E90" s="304">
        <v>376</v>
      </c>
      <c r="F90" s="187">
        <v>12664.69</v>
      </c>
      <c r="G90" s="187">
        <v>9057.7099999999991</v>
      </c>
      <c r="H90" s="187">
        <v>165.78</v>
      </c>
      <c r="I90" s="187">
        <v>145.16999999999999</v>
      </c>
      <c r="J90" s="187">
        <v>3296.03</v>
      </c>
      <c r="K90" s="140">
        <v>3296.03</v>
      </c>
      <c r="L90" s="140">
        <v>295.05</v>
      </c>
      <c r="M90" s="140">
        <v>27.57</v>
      </c>
      <c r="N90" s="140">
        <v>0</v>
      </c>
      <c r="O90" s="106">
        <f t="shared" si="8"/>
        <v>3028.55</v>
      </c>
      <c r="P90" s="106">
        <f t="shared" si="9"/>
        <v>12397.21</v>
      </c>
    </row>
    <row r="91" spans="1:16">
      <c r="A91" s="11" t="s">
        <v>155</v>
      </c>
      <c r="B91" s="173">
        <v>13573.15</v>
      </c>
      <c r="C91" s="187">
        <f t="shared" si="6"/>
        <v>920.25956999999983</v>
      </c>
      <c r="D91" s="187">
        <f t="shared" si="7"/>
        <v>306.75319000000002</v>
      </c>
      <c r="E91" s="187" t="s">
        <v>372</v>
      </c>
      <c r="F91" s="187">
        <v>14098.07</v>
      </c>
      <c r="G91" s="187">
        <v>9346</v>
      </c>
      <c r="H91" s="187">
        <v>54.29</v>
      </c>
      <c r="I91" s="187">
        <v>498.75</v>
      </c>
      <c r="J91" s="187">
        <v>4199.03</v>
      </c>
      <c r="K91" s="145">
        <v>4181.5</v>
      </c>
      <c r="L91" s="145">
        <v>507.39</v>
      </c>
      <c r="M91" s="142">
        <v>0</v>
      </c>
      <c r="N91" s="140">
        <v>0</v>
      </c>
      <c r="O91" s="106">
        <f t="shared" si="8"/>
        <v>3674.11</v>
      </c>
      <c r="P91" s="106">
        <f t="shared" si="9"/>
        <v>13573.150000000001</v>
      </c>
    </row>
    <row r="92" spans="1:16">
      <c r="A92" s="11" t="s">
        <v>157</v>
      </c>
      <c r="B92" s="173">
        <v>8906.77</v>
      </c>
      <c r="C92" s="187">
        <f t="shared" si="6"/>
        <v>603.879006</v>
      </c>
      <c r="D92" s="187">
        <f t="shared" si="7"/>
        <v>201.29300199999997</v>
      </c>
      <c r="E92" s="187" t="s">
        <v>354</v>
      </c>
      <c r="F92" s="187">
        <v>9183.7899999999991</v>
      </c>
      <c r="G92" s="187">
        <v>5791.15</v>
      </c>
      <c r="H92" s="187">
        <v>52.8</v>
      </c>
      <c r="I92" s="187">
        <v>177.15</v>
      </c>
      <c r="J92" s="187">
        <v>3162.69</v>
      </c>
      <c r="K92" s="145">
        <v>3208.89</v>
      </c>
      <c r="L92" s="145">
        <v>323.22000000000003</v>
      </c>
      <c r="M92" s="142">
        <v>0</v>
      </c>
      <c r="N92" s="140">
        <v>0</v>
      </c>
      <c r="O92" s="106">
        <f t="shared" si="8"/>
        <v>2885.67</v>
      </c>
      <c r="P92" s="106">
        <f t="shared" si="9"/>
        <v>8906.77</v>
      </c>
    </row>
    <row r="93" spans="1:16">
      <c r="A93" s="11" t="s">
        <v>159</v>
      </c>
      <c r="B93" s="173">
        <v>9483.8399999999983</v>
      </c>
      <c r="C93" s="187">
        <f t="shared" si="6"/>
        <v>643.00435199999981</v>
      </c>
      <c r="D93" s="187">
        <f t="shared" si="7"/>
        <v>214.33478399999993</v>
      </c>
      <c r="E93" s="187" t="s">
        <v>373</v>
      </c>
      <c r="F93" s="187">
        <v>9941.6099999999988</v>
      </c>
      <c r="G93" s="187">
        <v>5523.61</v>
      </c>
      <c r="H93" s="187">
        <v>26.4</v>
      </c>
      <c r="I93" s="187">
        <v>82.78</v>
      </c>
      <c r="J93" s="187">
        <v>4308.82</v>
      </c>
      <c r="K93" s="145">
        <v>4269.9399999999996</v>
      </c>
      <c r="L93" s="145">
        <v>483.64</v>
      </c>
      <c r="M93" s="145">
        <v>64.75</v>
      </c>
      <c r="N93" s="140">
        <v>0</v>
      </c>
      <c r="O93" s="106">
        <f t="shared" si="8"/>
        <v>3851.0499999999997</v>
      </c>
      <c r="P93" s="106">
        <f t="shared" si="9"/>
        <v>9483.8399999999983</v>
      </c>
    </row>
    <row r="94" spans="1:16">
      <c r="A94" s="30" t="s">
        <v>161</v>
      </c>
      <c r="B94" s="173">
        <v>9469.42</v>
      </c>
      <c r="C94" s="187">
        <f t="shared" si="6"/>
        <v>642.02667599999995</v>
      </c>
      <c r="D94" s="187">
        <f t="shared" si="7"/>
        <v>214.008892</v>
      </c>
      <c r="E94" s="187" t="s">
        <v>374</v>
      </c>
      <c r="F94" s="187">
        <v>9949.43</v>
      </c>
      <c r="G94" s="187">
        <v>5760.51</v>
      </c>
      <c r="H94" s="187">
        <v>84</v>
      </c>
      <c r="I94" s="187">
        <v>191.33</v>
      </c>
      <c r="J94" s="187">
        <v>3913.59</v>
      </c>
      <c r="K94" s="145">
        <v>3915.59</v>
      </c>
      <c r="L94" s="145">
        <v>482.01</v>
      </c>
      <c r="M94" s="145">
        <v>0</v>
      </c>
      <c r="N94" s="140">
        <v>0</v>
      </c>
      <c r="O94" s="106">
        <f t="shared" si="8"/>
        <v>3433.58</v>
      </c>
      <c r="P94" s="106">
        <f t="shared" si="9"/>
        <v>9469.42</v>
      </c>
    </row>
    <row r="95" spans="1:16">
      <c r="A95" s="30" t="s">
        <v>163</v>
      </c>
      <c r="B95" s="173">
        <v>10309.219999999999</v>
      </c>
      <c r="C95" s="187">
        <f t="shared" si="6"/>
        <v>698.96511599999985</v>
      </c>
      <c r="D95" s="187">
        <f t="shared" si="7"/>
        <v>232.98837199999997</v>
      </c>
      <c r="E95" s="187" t="s">
        <v>375</v>
      </c>
      <c r="F95" s="187">
        <v>10571.41</v>
      </c>
      <c r="G95" s="187">
        <v>6728.87</v>
      </c>
      <c r="H95" s="187">
        <v>186.48</v>
      </c>
      <c r="I95" s="187">
        <v>198.47</v>
      </c>
      <c r="J95" s="187">
        <v>3457.59</v>
      </c>
      <c r="K95" s="145">
        <v>3571.96</v>
      </c>
      <c r="L95" s="145">
        <v>376.56</v>
      </c>
      <c r="M95" s="145">
        <v>0</v>
      </c>
      <c r="N95" s="140">
        <v>0</v>
      </c>
      <c r="O95" s="106">
        <f t="shared" si="8"/>
        <v>3195.4</v>
      </c>
      <c r="P95" s="106">
        <f t="shared" si="9"/>
        <v>10309.219999999999</v>
      </c>
    </row>
    <row r="96" spans="1:16">
      <c r="A96" s="30" t="s">
        <v>165</v>
      </c>
      <c r="B96" s="173">
        <v>10151.82</v>
      </c>
      <c r="C96" s="187">
        <f t="shared" si="6"/>
        <v>688.29339599999992</v>
      </c>
      <c r="D96" s="187">
        <f t="shared" si="7"/>
        <v>229.43113199999996</v>
      </c>
      <c r="E96" s="187" t="s">
        <v>376</v>
      </c>
      <c r="F96" s="187">
        <v>10485.17</v>
      </c>
      <c r="G96" s="187">
        <v>6839.92</v>
      </c>
      <c r="H96" s="187">
        <v>16</v>
      </c>
      <c r="I96" s="187">
        <v>196.79</v>
      </c>
      <c r="J96" s="187">
        <v>3432.46</v>
      </c>
      <c r="K96" s="145">
        <v>3213.39</v>
      </c>
      <c r="L96" s="145">
        <v>302.39999999999998</v>
      </c>
      <c r="M96" s="145">
        <v>303.39999999999998</v>
      </c>
      <c r="N96" s="145">
        <v>115.28</v>
      </c>
      <c r="O96" s="106">
        <f t="shared" si="8"/>
        <v>3099.1099999999997</v>
      </c>
      <c r="P96" s="106">
        <f t="shared" si="9"/>
        <v>10151.82</v>
      </c>
    </row>
    <row r="97" spans="1:28">
      <c r="A97" s="11" t="s">
        <v>166</v>
      </c>
      <c r="B97" s="173">
        <v>11865.48</v>
      </c>
      <c r="C97" s="187">
        <f t="shared" si="6"/>
        <v>804.47954399999981</v>
      </c>
      <c r="D97" s="187">
        <f t="shared" si="7"/>
        <v>268.15984799999995</v>
      </c>
      <c r="E97" s="187" t="s">
        <v>377</v>
      </c>
      <c r="F97" s="187">
        <v>12249.99</v>
      </c>
      <c r="G97" s="187">
        <v>8167.65</v>
      </c>
      <c r="H97" s="187">
        <v>64.900000000000006</v>
      </c>
      <c r="I97" s="187">
        <v>183.09</v>
      </c>
      <c r="J97" s="187">
        <v>3834.35</v>
      </c>
      <c r="K97" s="106">
        <v>3884.08</v>
      </c>
      <c r="L97" s="106">
        <v>501.82</v>
      </c>
      <c r="M97" s="106">
        <v>98.34</v>
      </c>
      <c r="N97" s="106">
        <v>30.76</v>
      </c>
      <c r="O97" s="106">
        <f t="shared" si="8"/>
        <v>3449.8399999999997</v>
      </c>
      <c r="P97" s="106">
        <f t="shared" si="9"/>
        <v>11865.48</v>
      </c>
    </row>
    <row r="98" spans="1:28">
      <c r="A98" s="11" t="s">
        <v>168</v>
      </c>
      <c r="B98" s="173">
        <v>7301.6999999999989</v>
      </c>
      <c r="C98" s="187">
        <f t="shared" si="6"/>
        <v>495.05525999999986</v>
      </c>
      <c r="D98" s="187">
        <f t="shared" si="7"/>
        <v>165.01841999999996</v>
      </c>
      <c r="E98" s="187" t="s">
        <v>378</v>
      </c>
      <c r="F98" s="187">
        <v>7692.3899999999994</v>
      </c>
      <c r="G98" s="187">
        <v>4703.17</v>
      </c>
      <c r="H98" s="187">
        <v>26.4</v>
      </c>
      <c r="I98" s="187">
        <v>34.67</v>
      </c>
      <c r="J98" s="187">
        <v>2928.15</v>
      </c>
      <c r="K98" s="106">
        <v>2753.49</v>
      </c>
      <c r="L98" s="106">
        <v>355</v>
      </c>
      <c r="M98" s="106">
        <v>228.66</v>
      </c>
      <c r="N98" s="106">
        <v>89.69</v>
      </c>
      <c r="O98" s="106">
        <f t="shared" si="8"/>
        <v>2537.4599999999996</v>
      </c>
      <c r="P98" s="106">
        <f t="shared" si="9"/>
        <v>7301.6999999999989</v>
      </c>
    </row>
    <row r="99" spans="1:28">
      <c r="A99" s="11" t="s">
        <v>170</v>
      </c>
      <c r="B99" s="173">
        <v>9621.7899999999991</v>
      </c>
      <c r="C99" s="187">
        <f t="shared" ref="C99:C111" si="10">(B99*0.06)*1.13</f>
        <v>652.35736199999985</v>
      </c>
      <c r="D99" s="187">
        <f t="shared" ref="D99:D110" si="11">(B99*0.02)*1.13</f>
        <v>217.45245399999996</v>
      </c>
      <c r="E99" s="187" t="s">
        <v>379</v>
      </c>
      <c r="F99" s="187">
        <v>9985.73</v>
      </c>
      <c r="G99" s="187">
        <v>6044.16</v>
      </c>
      <c r="H99" s="187">
        <v>151.16</v>
      </c>
      <c r="I99" s="187">
        <v>186.41</v>
      </c>
      <c r="J99" s="187">
        <v>3604</v>
      </c>
      <c r="K99" s="106">
        <v>3546.44</v>
      </c>
      <c r="L99" s="106">
        <v>371.55</v>
      </c>
      <c r="M99" s="106">
        <v>95.93</v>
      </c>
      <c r="N99" s="106">
        <v>30.76</v>
      </c>
      <c r="O99" s="106">
        <f t="shared" si="8"/>
        <v>3240.06</v>
      </c>
      <c r="P99" s="106">
        <f t="shared" si="9"/>
        <v>9621.7899999999991</v>
      </c>
    </row>
    <row r="100" spans="1:28">
      <c r="A100" s="11" t="s">
        <v>172</v>
      </c>
      <c r="B100" s="173">
        <v>9564.93</v>
      </c>
      <c r="C100" s="187">
        <f t="shared" si="10"/>
        <v>648.50225399999999</v>
      </c>
      <c r="D100" s="187">
        <f t="shared" si="11"/>
        <v>216.167418</v>
      </c>
      <c r="E100" s="302" t="s">
        <v>380</v>
      </c>
      <c r="F100" s="179">
        <v>9970.8300000000017</v>
      </c>
      <c r="G100" s="187">
        <v>6076.89</v>
      </c>
      <c r="H100" s="187">
        <v>99.47</v>
      </c>
      <c r="I100" s="187">
        <v>337.21</v>
      </c>
      <c r="J100" s="56">
        <v>3457.26</v>
      </c>
      <c r="K100" s="106">
        <v>3358.81</v>
      </c>
      <c r="L100" s="106">
        <v>451.44</v>
      </c>
      <c r="M100" s="106">
        <v>234.67</v>
      </c>
      <c r="N100" s="106">
        <v>90.68</v>
      </c>
      <c r="O100" s="106">
        <f t="shared" si="8"/>
        <v>3051.3599999999997</v>
      </c>
      <c r="P100" s="106">
        <f t="shared" si="9"/>
        <v>9564.93</v>
      </c>
    </row>
    <row r="101" spans="1:28">
      <c r="A101" s="11" t="s">
        <v>174</v>
      </c>
      <c r="B101" s="173">
        <v>9468.7900000000009</v>
      </c>
      <c r="C101" s="187">
        <f t="shared" si="10"/>
        <v>641.98396200000002</v>
      </c>
      <c r="D101" s="187">
        <f t="shared" si="11"/>
        <v>213.994654</v>
      </c>
      <c r="E101" s="187" t="s">
        <v>381</v>
      </c>
      <c r="F101" s="187">
        <v>9838.09</v>
      </c>
      <c r="G101" s="187">
        <v>5570.43</v>
      </c>
      <c r="H101" s="187">
        <v>55.79</v>
      </c>
      <c r="I101" s="187">
        <v>239.63</v>
      </c>
      <c r="J101" s="187">
        <v>3972.24</v>
      </c>
      <c r="K101" s="145">
        <v>3866.72</v>
      </c>
      <c r="L101" s="145">
        <v>366.97</v>
      </c>
      <c r="M101" s="106">
        <v>165.51</v>
      </c>
      <c r="N101" s="106">
        <v>62.32</v>
      </c>
      <c r="O101" s="106">
        <f t="shared" si="8"/>
        <v>3602.94</v>
      </c>
      <c r="P101" s="106">
        <f t="shared" si="9"/>
        <v>9468.7900000000009</v>
      </c>
    </row>
    <row r="102" spans="1:28">
      <c r="A102" s="11" t="s">
        <v>176</v>
      </c>
      <c r="B102" s="173">
        <v>11279.79</v>
      </c>
      <c r="C102" s="187">
        <f t="shared" si="10"/>
        <v>764.76976200000001</v>
      </c>
      <c r="D102" s="187">
        <f t="shared" si="11"/>
        <v>254.92325400000001</v>
      </c>
      <c r="E102" s="187" t="s">
        <v>382</v>
      </c>
      <c r="F102" s="187">
        <v>11664.97</v>
      </c>
      <c r="G102" s="187">
        <v>7661.62</v>
      </c>
      <c r="H102" s="187">
        <v>116.44</v>
      </c>
      <c r="I102" s="187">
        <v>85.2</v>
      </c>
      <c r="J102" s="187">
        <v>3801.71</v>
      </c>
      <c r="K102" s="312">
        <v>3619.79</v>
      </c>
      <c r="L102" s="118">
        <v>292.64999999999998</v>
      </c>
      <c r="M102" s="118">
        <v>151.52000000000001</v>
      </c>
      <c r="N102" s="118">
        <v>62.13</v>
      </c>
      <c r="O102" s="106">
        <f t="shared" si="8"/>
        <v>3416.5299999999997</v>
      </c>
      <c r="P102" s="106">
        <f t="shared" si="9"/>
        <v>11279.789999999999</v>
      </c>
    </row>
    <row r="103" spans="1:28">
      <c r="A103" s="11" t="s">
        <v>178</v>
      </c>
      <c r="B103" s="173">
        <v>10723.8</v>
      </c>
      <c r="C103" s="187">
        <f t="shared" si="10"/>
        <v>727.07363999999984</v>
      </c>
      <c r="D103" s="187">
        <f t="shared" si="11"/>
        <v>242.35787999999997</v>
      </c>
      <c r="E103" s="187" t="s">
        <v>383</v>
      </c>
      <c r="F103" s="187">
        <v>11094.33</v>
      </c>
      <c r="G103" s="187">
        <v>7227.32</v>
      </c>
      <c r="H103" s="187">
        <v>60.89</v>
      </c>
      <c r="I103" s="187">
        <v>308.61</v>
      </c>
      <c r="J103" s="187">
        <v>3497.51</v>
      </c>
      <c r="K103" s="312">
        <v>3440.56</v>
      </c>
      <c r="L103" s="118">
        <v>354.78</v>
      </c>
      <c r="M103" s="118">
        <v>71.959999999999994</v>
      </c>
      <c r="N103" s="118">
        <v>30.76</v>
      </c>
      <c r="O103" s="106">
        <f t="shared" si="8"/>
        <v>3126.9799999999996</v>
      </c>
      <c r="P103" s="106">
        <f t="shared" si="9"/>
        <v>10723.8</v>
      </c>
    </row>
    <row r="104" spans="1:28">
      <c r="A104" s="11" t="s">
        <v>180</v>
      </c>
      <c r="B104" s="173">
        <v>12777.21</v>
      </c>
      <c r="C104" s="187">
        <f t="shared" si="10"/>
        <v>866.2948379999998</v>
      </c>
      <c r="D104" s="187">
        <f t="shared" si="11"/>
        <v>288.76494599999995</v>
      </c>
      <c r="E104" s="187" t="s">
        <v>384</v>
      </c>
      <c r="F104" s="187">
        <v>13295</v>
      </c>
      <c r="G104" s="187">
        <v>8706.3799999999992</v>
      </c>
      <c r="H104" s="187">
        <v>40.799999999999997</v>
      </c>
      <c r="I104" s="187">
        <v>349.66</v>
      </c>
      <c r="J104" s="187">
        <v>4198.16</v>
      </c>
      <c r="K104" s="106">
        <v>3944.3</v>
      </c>
      <c r="L104" s="106">
        <v>404.31</v>
      </c>
      <c r="M104" s="106">
        <v>235.86</v>
      </c>
      <c r="N104" s="106">
        <v>95.48</v>
      </c>
      <c r="O104" s="106">
        <f t="shared" si="8"/>
        <v>3680.3700000000003</v>
      </c>
      <c r="P104" s="106">
        <f t="shared" si="9"/>
        <v>12777.21</v>
      </c>
    </row>
    <row r="105" spans="1:28">
      <c r="A105" s="2" t="s">
        <v>182</v>
      </c>
      <c r="B105" s="173">
        <v>10184.66</v>
      </c>
      <c r="C105" s="187">
        <f t="shared" si="10"/>
        <v>690.51994799999989</v>
      </c>
      <c r="D105" s="187">
        <f t="shared" si="11"/>
        <v>230.17331599999997</v>
      </c>
      <c r="E105" s="318" t="s">
        <v>385</v>
      </c>
      <c r="F105" s="318">
        <v>10330.84</v>
      </c>
      <c r="G105" s="318">
        <v>6700.68</v>
      </c>
      <c r="H105" s="318">
        <v>99.25</v>
      </c>
      <c r="I105" s="318">
        <v>77.400000000000006</v>
      </c>
      <c r="J105" s="318">
        <v>3453.51</v>
      </c>
      <c r="K105" s="145">
        <v>3406.08</v>
      </c>
      <c r="L105" s="145">
        <v>309.83999999999997</v>
      </c>
      <c r="M105" s="106">
        <v>271.62</v>
      </c>
      <c r="N105" s="106">
        <v>60.53</v>
      </c>
      <c r="O105" s="106">
        <f t="shared" si="8"/>
        <v>3307.33</v>
      </c>
      <c r="P105" s="106">
        <f t="shared" si="9"/>
        <v>10184.66</v>
      </c>
    </row>
    <row r="106" spans="1:28">
      <c r="A106" s="11" t="s">
        <v>184</v>
      </c>
      <c r="B106" s="173">
        <v>11746.55</v>
      </c>
      <c r="C106" s="187">
        <f t="shared" si="10"/>
        <v>796.41608999999983</v>
      </c>
      <c r="D106" s="187">
        <f t="shared" si="11"/>
        <v>265.47202999999996</v>
      </c>
      <c r="E106" s="324" t="s">
        <v>376</v>
      </c>
      <c r="F106" s="324">
        <v>12433.3</v>
      </c>
      <c r="G106" s="324">
        <v>6959.42</v>
      </c>
      <c r="H106" s="324">
        <v>202.47</v>
      </c>
      <c r="I106" s="324">
        <v>442.59</v>
      </c>
      <c r="J106" s="324">
        <v>4828.82</v>
      </c>
      <c r="K106" s="145">
        <v>4446.28</v>
      </c>
      <c r="L106" s="145">
        <v>565.36</v>
      </c>
      <c r="M106" s="106">
        <v>431.74</v>
      </c>
      <c r="N106" s="106">
        <v>170.59</v>
      </c>
      <c r="O106" s="106">
        <f t="shared" si="8"/>
        <v>4142.07</v>
      </c>
      <c r="P106" s="106">
        <f t="shared" si="9"/>
        <v>11746.55</v>
      </c>
    </row>
    <row r="107" spans="1:28">
      <c r="A107" s="11" t="s">
        <v>186</v>
      </c>
      <c r="B107" s="173">
        <v>12617.9</v>
      </c>
      <c r="C107" s="187">
        <f t="shared" si="10"/>
        <v>855.49361999999985</v>
      </c>
      <c r="D107" s="187">
        <f t="shared" si="11"/>
        <v>285.16453999999999</v>
      </c>
      <c r="E107" s="324" t="s">
        <v>386</v>
      </c>
      <c r="F107" s="324">
        <v>13167.54</v>
      </c>
      <c r="G107" s="324">
        <v>8609.43</v>
      </c>
      <c r="H107" s="324">
        <v>84.1</v>
      </c>
      <c r="I107" s="324">
        <v>244.21</v>
      </c>
      <c r="J107" s="324">
        <v>4229.8</v>
      </c>
      <c r="K107" s="145">
        <v>3821.64</v>
      </c>
      <c r="L107" s="145">
        <v>408.6</v>
      </c>
      <c r="M107" s="106">
        <v>444.53</v>
      </c>
      <c r="N107" s="106">
        <v>177.41</v>
      </c>
      <c r="O107" s="106">
        <f t="shared" si="8"/>
        <v>3680.16</v>
      </c>
      <c r="P107" s="106">
        <f t="shared" si="9"/>
        <v>12617.9</v>
      </c>
    </row>
    <row r="108" spans="1:28">
      <c r="A108" s="187" t="s">
        <v>188</v>
      </c>
      <c r="B108" s="173">
        <v>12032.49</v>
      </c>
      <c r="C108" s="187">
        <f t="shared" si="10"/>
        <v>815.80282199999988</v>
      </c>
      <c r="D108" s="187">
        <f t="shared" si="11"/>
        <v>271.93427399999996</v>
      </c>
      <c r="E108" s="324" t="s">
        <v>387</v>
      </c>
      <c r="F108" s="324">
        <v>12216.61</v>
      </c>
      <c r="G108" s="324">
        <v>8287.74</v>
      </c>
      <c r="H108" s="324">
        <v>102.3</v>
      </c>
      <c r="I108" s="324">
        <v>155.88</v>
      </c>
      <c r="J108" s="324">
        <v>3670.69</v>
      </c>
      <c r="K108" s="339" t="s">
        <v>388</v>
      </c>
      <c r="L108" s="339" t="s">
        <v>389</v>
      </c>
      <c r="M108" s="338" t="s">
        <v>390</v>
      </c>
      <c r="N108" s="338" t="s">
        <v>391</v>
      </c>
      <c r="O108" s="106">
        <f t="shared" si="8"/>
        <v>3486.5699999999997</v>
      </c>
      <c r="P108" s="106">
        <f t="shared" si="9"/>
        <v>12032.489999999998</v>
      </c>
      <c r="Q108" s="324"/>
      <c r="R108" s="324"/>
      <c r="S108" s="324"/>
      <c r="T108" s="324"/>
      <c r="U108" s="324"/>
      <c r="V108" s="324"/>
      <c r="W108" s="324"/>
      <c r="X108" s="324"/>
      <c r="Y108" s="324"/>
      <c r="Z108" s="324"/>
      <c r="AA108" s="324"/>
      <c r="AB108" s="324"/>
    </row>
    <row r="109" spans="1:28">
      <c r="A109" s="328" t="s">
        <v>192</v>
      </c>
      <c r="B109" s="173">
        <v>14392.2</v>
      </c>
      <c r="C109" s="187">
        <f t="shared" si="10"/>
        <v>975.79115999999999</v>
      </c>
      <c r="D109" s="187">
        <f t="shared" si="11"/>
        <v>325.26371999999998</v>
      </c>
      <c r="E109" s="324">
        <v>492</v>
      </c>
      <c r="F109" s="324">
        <v>14442.83</v>
      </c>
      <c r="G109" s="324">
        <v>11228.97</v>
      </c>
      <c r="H109" s="324">
        <v>118.77</v>
      </c>
      <c r="I109" s="324">
        <v>151.62</v>
      </c>
      <c r="J109" s="324">
        <v>2943.47</v>
      </c>
      <c r="K109" s="335">
        <v>2880.13</v>
      </c>
      <c r="L109" s="335">
        <v>50.63</v>
      </c>
      <c r="M109" s="324">
        <v>63.34</v>
      </c>
      <c r="N109" s="324">
        <v>0</v>
      </c>
      <c r="O109" s="106">
        <f t="shared" si="8"/>
        <v>2892.84</v>
      </c>
      <c r="P109" s="106">
        <f t="shared" si="9"/>
        <v>14392.2</v>
      </c>
      <c r="Q109" s="324"/>
      <c r="R109" s="324"/>
      <c r="S109" s="324"/>
      <c r="T109" s="324"/>
      <c r="U109" s="324"/>
      <c r="V109" s="324"/>
      <c r="W109" s="324"/>
      <c r="X109" s="324"/>
      <c r="Y109" s="324"/>
      <c r="Z109" s="324"/>
      <c r="AA109" s="324"/>
      <c r="AB109" s="324"/>
    </row>
    <row r="110" spans="1:28">
      <c r="A110" s="350" t="s">
        <v>193</v>
      </c>
      <c r="B110" s="351">
        <v>17935.11</v>
      </c>
      <c r="C110" s="187">
        <f t="shared" si="10"/>
        <v>1216.000458</v>
      </c>
      <c r="D110" s="187">
        <f t="shared" si="11"/>
        <v>405.33348599999999</v>
      </c>
      <c r="E110" s="324">
        <v>642</v>
      </c>
      <c r="F110" s="324">
        <v>17992.41</v>
      </c>
      <c r="G110" s="324">
        <v>14723.94</v>
      </c>
      <c r="H110" s="324">
        <v>70.569999999999993</v>
      </c>
      <c r="I110" s="324">
        <v>181.8</v>
      </c>
      <c r="J110" s="324">
        <v>3016.1</v>
      </c>
      <c r="K110" s="335">
        <v>2999.11</v>
      </c>
      <c r="L110" s="335">
        <v>59.3</v>
      </c>
      <c r="M110" s="338" t="s">
        <v>392</v>
      </c>
      <c r="N110" s="324">
        <v>0</v>
      </c>
      <c r="O110" s="106">
        <f t="shared" si="8"/>
        <v>2958.7999999999997</v>
      </c>
      <c r="P110" s="106">
        <f t="shared" si="9"/>
        <v>17935.11</v>
      </c>
      <c r="Q110" s="324"/>
      <c r="R110" s="324"/>
      <c r="S110" s="324"/>
      <c r="T110" s="324"/>
      <c r="U110" s="324"/>
      <c r="V110" s="324"/>
      <c r="W110" s="324"/>
      <c r="X110" s="324"/>
      <c r="Y110" s="324"/>
      <c r="Z110" s="324"/>
      <c r="AA110" s="324"/>
      <c r="AB110" s="324"/>
    </row>
    <row r="111" spans="1:28" ht="41.4" customHeight="1">
      <c r="A111" s="350" t="s">
        <v>194</v>
      </c>
      <c r="B111" s="351">
        <v>17172.289999999997</v>
      </c>
      <c r="C111" s="187">
        <f t="shared" si="10"/>
        <v>1164.2812619999997</v>
      </c>
      <c r="D111" s="187">
        <f t="shared" ref="D111" si="12">(B111*0.02)*1.13</f>
        <v>388.09375399999993</v>
      </c>
      <c r="E111" s="324">
        <v>666</v>
      </c>
      <c r="F111" s="324">
        <v>17247.87</v>
      </c>
      <c r="G111" s="324">
        <v>13637.1</v>
      </c>
      <c r="H111" s="324">
        <v>65.97</v>
      </c>
      <c r="I111" s="324">
        <v>296.3</v>
      </c>
      <c r="J111" s="324">
        <v>3248.5</v>
      </c>
      <c r="K111" s="335">
        <v>3198.93</v>
      </c>
      <c r="L111" s="335">
        <v>26.01</v>
      </c>
      <c r="M111" s="338">
        <v>0</v>
      </c>
      <c r="N111" s="324">
        <v>0</v>
      </c>
      <c r="O111" s="106">
        <f t="shared" ref="O111:O112" si="13">(K111-L111)+(M111-N111)</f>
        <v>3172.9199999999996</v>
      </c>
      <c r="P111" s="106">
        <f t="shared" ref="P111:P112" si="14">SUM(G111,H111,I111,O111)</f>
        <v>17172.289999999997</v>
      </c>
      <c r="Q111" s="324"/>
      <c r="R111" s="324"/>
      <c r="S111" s="324"/>
      <c r="T111" s="324"/>
      <c r="U111" s="324"/>
      <c r="V111" s="324"/>
      <c r="W111" s="324"/>
      <c r="X111" s="324"/>
      <c r="Y111" s="324"/>
      <c r="Z111" s="324"/>
      <c r="AA111" s="324"/>
      <c r="AB111" s="324"/>
    </row>
    <row r="112" spans="1:28" ht="41.4" customHeight="1">
      <c r="A112" s="354" t="s">
        <v>482</v>
      </c>
      <c r="B112" s="358">
        <v>17557.77</v>
      </c>
      <c r="C112" s="187">
        <f t="shared" ref="C112" si="15">(B112*0.06)*1.13</f>
        <v>1190.416806</v>
      </c>
      <c r="D112" s="187">
        <f t="shared" ref="D112" si="16">(B112*0.02)*1.13</f>
        <v>396.80560200000002</v>
      </c>
      <c r="E112" s="324">
        <v>681</v>
      </c>
      <c r="F112" s="324">
        <v>18212.5</v>
      </c>
      <c r="G112" s="324">
        <v>13790.83</v>
      </c>
      <c r="H112" s="324">
        <v>229.05</v>
      </c>
      <c r="I112" s="324">
        <v>221.08</v>
      </c>
      <c r="J112" s="324">
        <v>3971.54</v>
      </c>
      <c r="K112" s="335">
        <v>4051.9</v>
      </c>
      <c r="L112" s="335">
        <v>735.09</v>
      </c>
      <c r="M112" s="338">
        <v>0</v>
      </c>
      <c r="N112" s="324">
        <v>0</v>
      </c>
      <c r="O112" s="106">
        <f t="shared" si="13"/>
        <v>3316.81</v>
      </c>
      <c r="P112" s="106">
        <f t="shared" si="14"/>
        <v>17557.77</v>
      </c>
      <c r="Q112" s="324"/>
      <c r="R112" s="324"/>
      <c r="S112" s="324"/>
      <c r="T112" s="324"/>
      <c r="U112" s="324"/>
      <c r="V112" s="324"/>
      <c r="W112" s="324"/>
      <c r="X112" s="324"/>
      <c r="Y112" s="324"/>
      <c r="Z112" s="324"/>
      <c r="AA112" s="324"/>
      <c r="AB112" s="324"/>
    </row>
    <row r="113" spans="1:28" ht="41.4" customHeight="1">
      <c r="A113" s="350"/>
      <c r="B113" s="351"/>
      <c r="C113" s="187"/>
      <c r="D113" s="187"/>
      <c r="E113" s="324"/>
      <c r="F113" s="324"/>
      <c r="G113" s="324"/>
      <c r="H113" s="324"/>
      <c r="I113" s="324"/>
      <c r="J113" s="324"/>
      <c r="K113" s="335"/>
      <c r="L113" s="335"/>
      <c r="M113" s="338"/>
      <c r="N113" s="324"/>
      <c r="O113" s="106"/>
      <c r="P113" s="106"/>
      <c r="Q113" s="324"/>
      <c r="R113" s="324"/>
      <c r="S113" s="324"/>
      <c r="T113" s="324"/>
      <c r="U113" s="324"/>
      <c r="V113" s="324"/>
      <c r="W113" s="324"/>
      <c r="X113" s="324"/>
      <c r="Y113" s="324"/>
      <c r="Z113" s="324"/>
      <c r="AA113" s="324"/>
      <c r="AB113" s="324"/>
    </row>
    <row r="114" spans="1:28" ht="41.4" customHeight="1">
      <c r="A114" s="350"/>
      <c r="B114" s="351"/>
      <c r="C114" s="328"/>
      <c r="D114" s="328"/>
      <c r="E114" s="324"/>
      <c r="F114" s="324"/>
      <c r="G114" s="324"/>
      <c r="H114" s="324"/>
      <c r="I114" s="324"/>
      <c r="J114" s="324"/>
      <c r="K114" s="335"/>
      <c r="L114" s="335"/>
      <c r="M114" s="338"/>
      <c r="N114" s="324"/>
      <c r="O114" s="330"/>
      <c r="P114" s="330"/>
      <c r="Q114" s="324"/>
      <c r="R114" s="324"/>
      <c r="S114" s="324"/>
      <c r="T114" s="324"/>
      <c r="U114" s="324"/>
      <c r="V114" s="324"/>
      <c r="W114" s="324"/>
      <c r="X114" s="324"/>
      <c r="Y114" s="324"/>
      <c r="Z114" s="324"/>
      <c r="AA114" s="324"/>
      <c r="AB114" s="324"/>
    </row>
    <row r="115" spans="1:28" ht="41.4" customHeight="1">
      <c r="A115" s="194" t="s">
        <v>361</v>
      </c>
      <c r="B115" s="327"/>
      <c r="C115" s="327"/>
      <c r="D115" s="326"/>
      <c r="E115" s="194"/>
      <c r="F115" s="194"/>
      <c r="G115" s="118"/>
      <c r="H115" s="118"/>
      <c r="I115" s="11"/>
      <c r="J115" s="118"/>
    </row>
    <row r="116" spans="1:28" ht="41.4">
      <c r="A116" s="196" t="s">
        <v>0</v>
      </c>
      <c r="B116" s="196" t="s">
        <v>337</v>
      </c>
      <c r="C116" s="196" t="s">
        <v>359</v>
      </c>
      <c r="D116" s="196" t="s">
        <v>360</v>
      </c>
      <c r="E116" s="196"/>
      <c r="F116" s="196"/>
      <c r="K116" s="118"/>
      <c r="L116" s="106"/>
      <c r="M116" s="106"/>
      <c r="N116" s="106"/>
    </row>
    <row r="117" spans="1:28">
      <c r="A117" s="11" t="s">
        <v>174</v>
      </c>
      <c r="B117" s="173">
        <v>9468.7900000000009</v>
      </c>
      <c r="C117" s="187">
        <f t="shared" ref="C117:C123" si="17">(B114*0.06)*1.13</f>
        <v>0</v>
      </c>
      <c r="D117" s="187">
        <f t="shared" ref="D117:D123" si="18">(B114*0.02)*1.13</f>
        <v>0</v>
      </c>
    </row>
    <row r="118" spans="1:28">
      <c r="A118" s="11" t="s">
        <v>176</v>
      </c>
      <c r="B118" s="173">
        <v>11279.79</v>
      </c>
      <c r="C118" s="187">
        <f t="shared" si="17"/>
        <v>0</v>
      </c>
      <c r="D118" s="187">
        <f t="shared" si="18"/>
        <v>0</v>
      </c>
    </row>
    <row r="119" spans="1:28">
      <c r="A119" s="11" t="s">
        <v>178</v>
      </c>
      <c r="B119" s="173">
        <v>10723.8</v>
      </c>
      <c r="C119" s="187" t="e">
        <f t="shared" si="17"/>
        <v>#VALUE!</v>
      </c>
      <c r="D119" s="187" t="e">
        <f t="shared" si="18"/>
        <v>#VALUE!</v>
      </c>
    </row>
    <row r="120" spans="1:28">
      <c r="A120" s="11" t="s">
        <v>180</v>
      </c>
      <c r="B120" s="173">
        <v>12777.21</v>
      </c>
      <c r="C120" s="187">
        <f t="shared" si="17"/>
        <v>641.98396200000002</v>
      </c>
      <c r="D120" s="187">
        <f t="shared" si="18"/>
        <v>213.994654</v>
      </c>
    </row>
    <row r="121" spans="1:28">
      <c r="A121" s="2" t="s">
        <v>182</v>
      </c>
      <c r="B121" s="173">
        <v>10184.66</v>
      </c>
      <c r="C121" s="187">
        <f t="shared" si="17"/>
        <v>764.76976200000001</v>
      </c>
      <c r="D121" s="187">
        <f t="shared" si="18"/>
        <v>254.92325400000001</v>
      </c>
    </row>
    <row r="122" spans="1:28">
      <c r="A122" s="11" t="s">
        <v>184</v>
      </c>
      <c r="B122" s="173">
        <v>11746.55</v>
      </c>
      <c r="C122" s="187">
        <f t="shared" si="17"/>
        <v>727.07363999999984</v>
      </c>
      <c r="D122" s="187">
        <f t="shared" si="18"/>
        <v>242.35787999999997</v>
      </c>
    </row>
    <row r="123" spans="1:28">
      <c r="A123" s="11" t="s">
        <v>186</v>
      </c>
      <c r="B123" s="173">
        <v>12617.9</v>
      </c>
      <c r="C123" s="187">
        <f t="shared" si="17"/>
        <v>866.2948379999998</v>
      </c>
      <c r="D123" s="187">
        <f t="shared" si="18"/>
        <v>288.76494599999995</v>
      </c>
    </row>
    <row r="124" spans="1:28">
      <c r="A124" s="187" t="s">
        <v>188</v>
      </c>
      <c r="B124" s="173">
        <v>12032.49</v>
      </c>
      <c r="C124" s="187">
        <f>(B122*0.06)*1.13</f>
        <v>796.41608999999983</v>
      </c>
      <c r="D124" s="187">
        <f>(B122*0.02)*1.13</f>
        <v>265.47202999999996</v>
      </c>
    </row>
    <row r="125" spans="1:28">
      <c r="A125" s="328" t="s">
        <v>192</v>
      </c>
      <c r="B125" s="173">
        <v>14392.2</v>
      </c>
      <c r="C125" s="187">
        <f>(B123*0.06)*1.13</f>
        <v>855.49361999999985</v>
      </c>
      <c r="D125" s="187">
        <f>(B123*0.02)*1.13</f>
        <v>285.16453999999999</v>
      </c>
    </row>
    <row r="126" spans="1:28">
      <c r="A126" s="350" t="s">
        <v>193</v>
      </c>
      <c r="B126" s="351">
        <v>17935.11</v>
      </c>
      <c r="C126" s="187">
        <f>(B125*0.06)*1.13</f>
        <v>975.79115999999999</v>
      </c>
      <c r="D126" s="187">
        <f>(B125*0.02)*1.13</f>
        <v>325.26371999999998</v>
      </c>
    </row>
    <row r="127" spans="1:28">
      <c r="A127" s="173" t="s">
        <v>194</v>
      </c>
      <c r="B127" s="173">
        <v>17172.289999999997</v>
      </c>
      <c r="C127" s="173">
        <v>1164.2812619999997</v>
      </c>
      <c r="D127" s="173">
        <v>388.09375399999993</v>
      </c>
    </row>
    <row r="128" spans="1:28">
      <c r="A128" s="354" t="s">
        <v>482</v>
      </c>
      <c r="B128" s="358">
        <v>17557.77</v>
      </c>
      <c r="C128" s="187">
        <f t="shared" ref="C128" si="19">(B128*0.06)*1.13</f>
        <v>1190.416806</v>
      </c>
      <c r="D128" s="187">
        <f t="shared" ref="D128" si="20">(B128*0.02)*1.13</f>
        <v>396.80560200000002</v>
      </c>
    </row>
  </sheetData>
  <mergeCells count="1">
    <mergeCell ref="A1: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108"/>
  <sheetViews>
    <sheetView topLeftCell="A14" zoomScale="90" zoomScaleNormal="90" workbookViewId="0">
      <pane ySplit="2" topLeftCell="A70" activePane="bottomLeft" state="frozen"/>
      <selection activeCell="A14" sqref="A14"/>
      <selection pane="bottomLeft" activeCell="E104" sqref="E104"/>
    </sheetView>
  </sheetViews>
  <sheetFormatPr defaultRowHeight="14.4"/>
  <cols>
    <col min="1" max="1" width="40.5546875" style="177" customWidth="1"/>
    <col min="2" max="2" width="20.5546875" style="177" customWidth="1"/>
    <col min="3" max="3" width="22.44140625" style="177" customWidth="1"/>
    <col min="4" max="4" width="25.33203125" style="177" customWidth="1"/>
    <col min="5" max="5" width="14" customWidth="1"/>
    <col min="6" max="6" width="19.33203125" customWidth="1"/>
    <col min="7" max="7" width="16.33203125" customWidth="1"/>
    <col min="8" max="8" width="15.33203125" customWidth="1"/>
    <col min="9" max="9" width="13.6640625" customWidth="1"/>
    <col min="10" max="10" width="23.88671875" customWidth="1"/>
    <col min="11" max="11" width="19.5546875" customWidth="1"/>
    <col min="12" max="14" width="19.33203125" customWidth="1"/>
    <col min="15" max="15" width="18.44140625" customWidth="1"/>
    <col min="16" max="16" width="16.44140625" customWidth="1"/>
  </cols>
  <sheetData>
    <row r="1" spans="1:16">
      <c r="A1" s="373" t="s">
        <v>393</v>
      </c>
      <c r="B1" s="364"/>
      <c r="C1" s="364"/>
      <c r="D1" s="365"/>
      <c r="E1" s="162"/>
      <c r="F1" s="162"/>
    </row>
    <row r="2" spans="1:16" ht="27.6" customHeight="1">
      <c r="A2" s="195" t="s">
        <v>0</v>
      </c>
      <c r="B2" s="196" t="s">
        <v>337</v>
      </c>
      <c r="C2" s="196" t="s">
        <v>338</v>
      </c>
      <c r="D2" s="196" t="s">
        <v>339</v>
      </c>
      <c r="E2" s="163"/>
      <c r="F2" s="163"/>
    </row>
    <row r="3" spans="1:16">
      <c r="A3" s="179" t="s">
        <v>70</v>
      </c>
      <c r="B3" s="189">
        <v>4033.49</v>
      </c>
      <c r="C3" s="191">
        <f t="shared" ref="C3:C34" si="0">(B3*0.06)*1.13</f>
        <v>273.47062199999993</v>
      </c>
      <c r="D3" s="191">
        <f t="shared" ref="D3:D34" si="1">(B3*0.02)*1.13</f>
        <v>91.156873999999988</v>
      </c>
      <c r="E3" s="291"/>
      <c r="F3" s="158"/>
    </row>
    <row r="4" spans="1:16">
      <c r="A4" s="179" t="s">
        <v>71</v>
      </c>
      <c r="B4" s="189">
        <v>9597.76</v>
      </c>
      <c r="C4" s="191">
        <f t="shared" si="0"/>
        <v>650.72812799999986</v>
      </c>
      <c r="D4" s="191">
        <f t="shared" si="1"/>
        <v>216.90937600000001</v>
      </c>
      <c r="E4" s="291"/>
      <c r="F4" s="158"/>
    </row>
    <row r="5" spans="1:16">
      <c r="A5" s="179" t="s">
        <v>72</v>
      </c>
      <c r="B5" s="189">
        <v>11281.14</v>
      </c>
      <c r="C5" s="191">
        <f t="shared" si="0"/>
        <v>764.86129199999982</v>
      </c>
      <c r="D5" s="191">
        <f t="shared" si="1"/>
        <v>254.95376399999995</v>
      </c>
      <c r="E5" s="291"/>
      <c r="F5" s="158"/>
    </row>
    <row r="6" spans="1:16">
      <c r="A6" s="179" t="s">
        <v>73</v>
      </c>
      <c r="B6" s="187">
        <v>11483.19</v>
      </c>
      <c r="C6" s="191">
        <f t="shared" si="0"/>
        <v>778.56028199999992</v>
      </c>
      <c r="D6" s="191">
        <f t="shared" si="1"/>
        <v>259.52009399999997</v>
      </c>
      <c r="E6" s="291"/>
      <c r="F6" s="158"/>
    </row>
    <row r="7" spans="1:16">
      <c r="A7" s="179" t="s">
        <v>74</v>
      </c>
      <c r="B7" s="187">
        <v>11478.83</v>
      </c>
      <c r="C7" s="191">
        <f t="shared" si="0"/>
        <v>778.2646739999999</v>
      </c>
      <c r="D7" s="191">
        <f t="shared" si="1"/>
        <v>259.421558</v>
      </c>
      <c r="E7" s="291"/>
      <c r="F7" s="158"/>
    </row>
    <row r="8" spans="1:16">
      <c r="A8" s="179" t="s">
        <v>75</v>
      </c>
      <c r="B8" s="187">
        <v>9937.8799999999992</v>
      </c>
      <c r="C8" s="191">
        <f t="shared" si="0"/>
        <v>673.78826399999991</v>
      </c>
      <c r="D8" s="191">
        <f t="shared" si="1"/>
        <v>224.59608799999998</v>
      </c>
      <c r="E8" s="291"/>
      <c r="F8" s="158"/>
    </row>
    <row r="9" spans="1:16" ht="15" customHeight="1" thickBot="1">
      <c r="A9" s="179" t="s">
        <v>76</v>
      </c>
      <c r="B9" s="189">
        <v>10406.879999999999</v>
      </c>
      <c r="C9" s="191">
        <f t="shared" si="0"/>
        <v>705.58646399999986</v>
      </c>
      <c r="D9" s="191">
        <f t="shared" si="1"/>
        <v>235.19548799999995</v>
      </c>
      <c r="E9" s="291"/>
      <c r="F9" s="158"/>
    </row>
    <row r="10" spans="1:16" ht="18" customHeight="1" thickBot="1">
      <c r="A10" s="179" t="s">
        <v>77</v>
      </c>
      <c r="B10" s="187">
        <v>9061.93</v>
      </c>
      <c r="C10" s="191">
        <f t="shared" si="0"/>
        <v>614.39885399999991</v>
      </c>
      <c r="D10" s="191">
        <f t="shared" si="1"/>
        <v>204.79961800000001</v>
      </c>
      <c r="E10" s="291"/>
      <c r="F10" s="158"/>
      <c r="H10" s="164"/>
      <c r="I10" s="152"/>
      <c r="J10" s="153"/>
      <c r="K10" s="165"/>
    </row>
    <row r="11" spans="1:16" ht="18" customHeight="1" thickBot="1">
      <c r="A11" s="179" t="s">
        <v>78</v>
      </c>
      <c r="B11" s="187">
        <v>9513.59</v>
      </c>
      <c r="C11" s="191">
        <f t="shared" si="0"/>
        <v>645.02140199999985</v>
      </c>
      <c r="D11" s="191">
        <f t="shared" si="1"/>
        <v>215.00713400000001</v>
      </c>
      <c r="E11" s="291"/>
      <c r="F11" s="158"/>
      <c r="H11" s="166"/>
      <c r="I11" s="152"/>
      <c r="J11" s="153"/>
      <c r="K11" s="165"/>
    </row>
    <row r="12" spans="1:16" ht="18" customHeight="1" thickBot="1">
      <c r="A12" s="179" t="s">
        <v>79</v>
      </c>
      <c r="B12" s="187">
        <v>9365.94</v>
      </c>
      <c r="C12" s="191">
        <f t="shared" si="0"/>
        <v>635.01073199999996</v>
      </c>
      <c r="D12" s="191">
        <f t="shared" si="1"/>
        <v>211.670244</v>
      </c>
      <c r="E12" s="291"/>
      <c r="F12" s="158"/>
      <c r="H12" s="167"/>
      <c r="I12" s="152"/>
      <c r="J12" s="153"/>
      <c r="K12" s="165"/>
    </row>
    <row r="13" spans="1:16">
      <c r="A13" s="179" t="s">
        <v>85</v>
      </c>
      <c r="B13" s="187">
        <v>9682.9599999999991</v>
      </c>
      <c r="C13" s="191">
        <f t="shared" si="0"/>
        <v>656.50468799999987</v>
      </c>
      <c r="D13" s="191">
        <f t="shared" si="1"/>
        <v>218.83489599999999</v>
      </c>
      <c r="E13" s="291"/>
      <c r="F13" s="158"/>
      <c r="G13" s="168"/>
      <c r="H13" s="168"/>
      <c r="I13" s="168"/>
      <c r="J13" s="169"/>
      <c r="K13" s="169"/>
    </row>
    <row r="14" spans="1:16">
      <c r="A14" s="179" t="s">
        <v>86</v>
      </c>
      <c r="B14" s="187">
        <v>11096.12</v>
      </c>
      <c r="C14" s="191">
        <f t="shared" si="0"/>
        <v>752.31693599999994</v>
      </c>
      <c r="D14" s="191">
        <f t="shared" si="1"/>
        <v>250.772312</v>
      </c>
      <c r="E14" s="291"/>
      <c r="F14" s="158"/>
      <c r="G14" s="168"/>
      <c r="H14" s="168"/>
      <c r="I14" s="168"/>
      <c r="J14" s="168"/>
      <c r="K14" s="168"/>
    </row>
    <row r="15" spans="1:16">
      <c r="A15" s="179" t="s">
        <v>87</v>
      </c>
      <c r="B15" s="187">
        <v>10054.790000000001</v>
      </c>
      <c r="C15" s="191">
        <f t="shared" si="0"/>
        <v>681.71476199999995</v>
      </c>
      <c r="D15" s="191">
        <f t="shared" si="1"/>
        <v>227.23825400000001</v>
      </c>
      <c r="E15" s="45" t="s">
        <v>100</v>
      </c>
      <c r="F15" s="197" t="s">
        <v>394</v>
      </c>
      <c r="G15" s="170" t="s">
        <v>80</v>
      </c>
      <c r="H15" s="170" t="s">
        <v>81</v>
      </c>
      <c r="I15" s="170" t="s">
        <v>82</v>
      </c>
      <c r="J15" s="170" t="s">
        <v>395</v>
      </c>
      <c r="K15" s="170" t="s">
        <v>396</v>
      </c>
      <c r="L15" s="170" t="s">
        <v>397</v>
      </c>
      <c r="M15" s="170"/>
      <c r="N15" s="170"/>
      <c r="O15" s="170" t="s">
        <v>398</v>
      </c>
      <c r="P15" s="170" t="s">
        <v>107</v>
      </c>
    </row>
    <row r="16" spans="1:16">
      <c r="A16" s="179" t="s">
        <v>88</v>
      </c>
      <c r="B16" s="187">
        <v>15668</v>
      </c>
      <c r="C16" s="191">
        <f t="shared" si="0"/>
        <v>1062.2903999999999</v>
      </c>
      <c r="D16" s="191">
        <f t="shared" si="1"/>
        <v>354.09679999999997</v>
      </c>
      <c r="E16" s="45"/>
      <c r="F16" s="105"/>
      <c r="G16" s="140">
        <v>11263.41</v>
      </c>
      <c r="H16" s="140">
        <v>268.17</v>
      </c>
      <c r="I16" s="140">
        <v>521.25</v>
      </c>
      <c r="J16" s="140">
        <v>3615.17</v>
      </c>
      <c r="K16" s="140"/>
      <c r="L16" s="56"/>
      <c r="M16" s="56"/>
      <c r="N16" s="56"/>
      <c r="O16" s="56"/>
      <c r="P16" s="56"/>
    </row>
    <row r="17" spans="1:16">
      <c r="A17" s="179" t="s">
        <v>89</v>
      </c>
      <c r="B17" s="187">
        <v>13399.51</v>
      </c>
      <c r="C17" s="191">
        <f t="shared" si="0"/>
        <v>908.48677799999996</v>
      </c>
      <c r="D17" s="191">
        <f t="shared" si="1"/>
        <v>302.82892599999997</v>
      </c>
      <c r="E17" s="45"/>
      <c r="F17" s="105"/>
      <c r="G17" s="140">
        <v>9069.76</v>
      </c>
      <c r="H17" s="140">
        <v>330.15</v>
      </c>
      <c r="I17" s="140">
        <v>532.78</v>
      </c>
      <c r="J17" s="140">
        <v>3466.82</v>
      </c>
      <c r="K17" s="140"/>
      <c r="L17" s="56"/>
      <c r="M17" s="56"/>
      <c r="N17" s="56"/>
      <c r="O17" s="56"/>
      <c r="P17" s="56"/>
    </row>
    <row r="18" spans="1:16">
      <c r="A18" s="179" t="s">
        <v>90</v>
      </c>
      <c r="B18" s="187">
        <v>9836.76</v>
      </c>
      <c r="C18" s="191">
        <f t="shared" si="0"/>
        <v>666.93232799999998</v>
      </c>
      <c r="D18" s="191">
        <f t="shared" si="1"/>
        <v>222.310776</v>
      </c>
      <c r="E18" s="45"/>
      <c r="F18" s="105"/>
      <c r="G18" s="56"/>
      <c r="H18" s="56"/>
      <c r="I18" s="56"/>
      <c r="J18" s="56"/>
      <c r="K18" s="56"/>
      <c r="L18" s="56"/>
      <c r="M18" s="56"/>
      <c r="N18" s="56"/>
      <c r="O18" s="56"/>
      <c r="P18" s="56"/>
    </row>
    <row r="19" spans="1:16">
      <c r="A19" s="179" t="s">
        <v>93</v>
      </c>
      <c r="B19" s="187">
        <v>9635.01</v>
      </c>
      <c r="C19" s="191">
        <f t="shared" si="0"/>
        <v>653.25367799999992</v>
      </c>
      <c r="D19" s="191">
        <f t="shared" si="1"/>
        <v>217.75122599999997</v>
      </c>
      <c r="E19" s="45"/>
      <c r="F19" s="105"/>
      <c r="G19" s="56">
        <v>6684.79</v>
      </c>
      <c r="H19" s="140">
        <v>284.67</v>
      </c>
      <c r="I19" s="140">
        <v>358.98</v>
      </c>
      <c r="J19" s="140">
        <v>2306.5700000000002</v>
      </c>
      <c r="K19" s="140"/>
      <c r="L19" s="56"/>
      <c r="M19" s="56"/>
      <c r="N19" s="56"/>
      <c r="O19" s="140">
        <v>2262</v>
      </c>
      <c r="P19" s="56">
        <f>SUM(G19:J19)</f>
        <v>9635.01</v>
      </c>
    </row>
    <row r="20" spans="1:16">
      <c r="A20" s="179" t="s">
        <v>94</v>
      </c>
      <c r="B20" s="173">
        <v>10717.23</v>
      </c>
      <c r="C20" s="191">
        <f t="shared" si="0"/>
        <v>726.62819399999989</v>
      </c>
      <c r="D20" s="191">
        <f t="shared" si="1"/>
        <v>242.20939799999996</v>
      </c>
      <c r="E20" s="45"/>
      <c r="F20" s="105"/>
      <c r="G20" s="140">
        <v>7891.66</v>
      </c>
      <c r="H20" s="140">
        <v>394.28</v>
      </c>
      <c r="I20" s="140">
        <v>355.14</v>
      </c>
      <c r="J20" s="140">
        <v>2076.15</v>
      </c>
      <c r="K20" s="140"/>
      <c r="L20" s="56"/>
      <c r="M20" s="56"/>
      <c r="N20" s="56"/>
      <c r="O20" s="143">
        <v>2116.9499999999998</v>
      </c>
      <c r="P20" s="140">
        <f>SUM(G20:J20)</f>
        <v>10717.23</v>
      </c>
    </row>
    <row r="21" spans="1:16">
      <c r="A21" s="179" t="s">
        <v>95</v>
      </c>
      <c r="B21" s="173">
        <v>10695.63</v>
      </c>
      <c r="C21" s="191">
        <f t="shared" si="0"/>
        <v>725.1637139999998</v>
      </c>
      <c r="D21" s="191">
        <f t="shared" si="1"/>
        <v>241.72123799999997</v>
      </c>
      <c r="E21" s="45"/>
      <c r="F21" s="105"/>
      <c r="G21" s="140"/>
      <c r="H21" s="56"/>
      <c r="I21" s="56"/>
      <c r="J21" s="56"/>
      <c r="K21" s="56"/>
      <c r="L21" s="56"/>
      <c r="M21" s="56"/>
      <c r="N21" s="56"/>
      <c r="O21" s="56"/>
      <c r="P21" s="56"/>
    </row>
    <row r="22" spans="1:16">
      <c r="A22" s="179" t="s">
        <v>96</v>
      </c>
      <c r="B22" s="187">
        <v>10607.6</v>
      </c>
      <c r="C22" s="191">
        <f t="shared" si="0"/>
        <v>719.19527999999991</v>
      </c>
      <c r="D22" s="191">
        <f t="shared" si="1"/>
        <v>239.73176000000001</v>
      </c>
      <c r="E22" s="45"/>
      <c r="F22" s="142">
        <v>10609.82</v>
      </c>
      <c r="G22" s="106">
        <v>7389.99</v>
      </c>
      <c r="H22" s="106">
        <v>278.97000000000003</v>
      </c>
      <c r="I22" s="106">
        <v>407.38</v>
      </c>
      <c r="J22" s="106">
        <v>2533.48</v>
      </c>
      <c r="K22" s="143">
        <v>2535.48</v>
      </c>
      <c r="L22" s="148">
        <v>4.22</v>
      </c>
      <c r="M22" s="148"/>
      <c r="N22" s="148"/>
      <c r="O22" s="140">
        <f t="shared" ref="O22:O59" si="2">(K22-L22)</f>
        <v>2531.2600000000002</v>
      </c>
      <c r="P22" s="140">
        <f t="shared" ref="P22:P53" si="3">SUM(G22,H22,I22,O22)</f>
        <v>10607.6</v>
      </c>
    </row>
    <row r="23" spans="1:16">
      <c r="A23" s="179" t="s">
        <v>97</v>
      </c>
      <c r="B23" s="187">
        <v>9317.9200000000019</v>
      </c>
      <c r="C23" s="191">
        <f t="shared" si="0"/>
        <v>631.75497600000006</v>
      </c>
      <c r="D23" s="191">
        <f t="shared" si="1"/>
        <v>210.58499200000003</v>
      </c>
      <c r="E23" s="45"/>
      <c r="F23" s="142">
        <v>9317.92</v>
      </c>
      <c r="G23" s="56">
        <v>7103.8600000000006</v>
      </c>
      <c r="H23" s="106">
        <v>226.8</v>
      </c>
      <c r="I23" s="106">
        <v>546.80999999999995</v>
      </c>
      <c r="J23" s="106">
        <v>1440.45</v>
      </c>
      <c r="K23" s="143">
        <v>1440.45</v>
      </c>
      <c r="L23" s="106">
        <v>0</v>
      </c>
      <c r="M23" s="106"/>
      <c r="N23" s="106"/>
      <c r="O23" s="140">
        <f t="shared" si="2"/>
        <v>1440.45</v>
      </c>
      <c r="P23" s="140">
        <f t="shared" si="3"/>
        <v>9317.9200000000019</v>
      </c>
    </row>
    <row r="24" spans="1:16">
      <c r="A24" s="179" t="s">
        <v>98</v>
      </c>
      <c r="B24" s="187">
        <v>12389.36</v>
      </c>
      <c r="C24" s="191">
        <f t="shared" si="0"/>
        <v>839.99860799999988</v>
      </c>
      <c r="D24" s="191">
        <f t="shared" si="1"/>
        <v>279.99953599999998</v>
      </c>
      <c r="E24" s="45"/>
      <c r="F24" s="142">
        <v>12885.05</v>
      </c>
      <c r="G24" s="106">
        <v>9549.7999999999993</v>
      </c>
      <c r="H24" s="106">
        <v>105.6</v>
      </c>
      <c r="I24" s="106">
        <v>590.80999999999995</v>
      </c>
      <c r="J24" s="106">
        <v>2638.84</v>
      </c>
      <c r="K24" s="148">
        <v>2638.84</v>
      </c>
      <c r="L24" s="148">
        <v>495.69</v>
      </c>
      <c r="M24" s="148"/>
      <c r="N24" s="148"/>
      <c r="O24" s="140">
        <f t="shared" si="2"/>
        <v>2143.15</v>
      </c>
      <c r="P24" s="140">
        <f t="shared" si="3"/>
        <v>12389.359999999999</v>
      </c>
    </row>
    <row r="25" spans="1:16">
      <c r="A25" s="179" t="s">
        <v>99</v>
      </c>
      <c r="B25" s="187">
        <v>9107.42</v>
      </c>
      <c r="C25" s="191">
        <f t="shared" si="0"/>
        <v>617.48307599999998</v>
      </c>
      <c r="D25" s="191">
        <f t="shared" si="1"/>
        <v>205.82769199999998</v>
      </c>
      <c r="E25" s="45"/>
      <c r="F25" s="142">
        <v>9312.86</v>
      </c>
      <c r="G25" s="106">
        <v>6193.3600000000006</v>
      </c>
      <c r="H25" s="106">
        <v>184.66</v>
      </c>
      <c r="I25" s="106">
        <v>278.48</v>
      </c>
      <c r="J25" s="106">
        <v>2656.36</v>
      </c>
      <c r="K25" s="148">
        <v>2745.46</v>
      </c>
      <c r="L25" s="145">
        <v>294.54000000000002</v>
      </c>
      <c r="M25" s="145"/>
      <c r="N25" s="145"/>
      <c r="O25" s="140">
        <f t="shared" si="2"/>
        <v>2450.92</v>
      </c>
      <c r="P25" s="140">
        <f t="shared" si="3"/>
        <v>9107.42</v>
      </c>
    </row>
    <row r="26" spans="1:16">
      <c r="A26" s="179" t="s">
        <v>108</v>
      </c>
      <c r="B26" s="187">
        <v>9346.16</v>
      </c>
      <c r="C26" s="191">
        <f t="shared" si="0"/>
        <v>633.66964799999994</v>
      </c>
      <c r="D26" s="191">
        <f t="shared" si="1"/>
        <v>211.22321599999998</v>
      </c>
      <c r="E26" s="45"/>
      <c r="F26" s="142">
        <v>9676.14</v>
      </c>
      <c r="G26" s="106">
        <v>6082.76</v>
      </c>
      <c r="H26" s="106">
        <v>128.38999999999999</v>
      </c>
      <c r="I26" s="106">
        <v>259.05</v>
      </c>
      <c r="J26" s="106">
        <v>3205.94</v>
      </c>
      <c r="K26" s="143">
        <v>3205.94</v>
      </c>
      <c r="L26" s="145">
        <v>329.98</v>
      </c>
      <c r="M26" s="145"/>
      <c r="N26" s="145"/>
      <c r="O26" s="140">
        <f t="shared" si="2"/>
        <v>2875.96</v>
      </c>
      <c r="P26" s="140">
        <f t="shared" si="3"/>
        <v>9346.16</v>
      </c>
    </row>
    <row r="27" spans="1:16">
      <c r="A27" s="179" t="s">
        <v>109</v>
      </c>
      <c r="B27" s="187">
        <v>9881.08</v>
      </c>
      <c r="C27" s="191">
        <f t="shared" si="0"/>
        <v>669.9372239999999</v>
      </c>
      <c r="D27" s="191">
        <f t="shared" si="1"/>
        <v>223.31240799999998</v>
      </c>
      <c r="E27" s="45"/>
      <c r="F27" s="142">
        <v>10463.530000000001</v>
      </c>
      <c r="G27" s="106">
        <v>6271.89</v>
      </c>
      <c r="H27" s="106">
        <v>187.23</v>
      </c>
      <c r="I27" s="106">
        <v>162.27000000000001</v>
      </c>
      <c r="J27" s="106">
        <v>3842.14</v>
      </c>
      <c r="K27" s="143">
        <v>3788.14</v>
      </c>
      <c r="L27" s="145">
        <v>528.45000000000005</v>
      </c>
      <c r="M27" s="145"/>
      <c r="N27" s="145"/>
      <c r="O27" s="140">
        <f t="shared" si="2"/>
        <v>3259.6899999999996</v>
      </c>
      <c r="P27" s="140">
        <f t="shared" si="3"/>
        <v>9881.08</v>
      </c>
    </row>
    <row r="28" spans="1:16">
      <c r="A28" s="179" t="s">
        <v>110</v>
      </c>
      <c r="B28" s="187">
        <v>9422.94</v>
      </c>
      <c r="C28" s="191">
        <f t="shared" si="0"/>
        <v>638.87533199999996</v>
      </c>
      <c r="D28" s="191">
        <f t="shared" si="1"/>
        <v>212.95844400000001</v>
      </c>
      <c r="E28" s="45"/>
      <c r="F28" s="142">
        <v>10033</v>
      </c>
      <c r="G28" s="106">
        <v>5689.23</v>
      </c>
      <c r="H28" s="106">
        <v>227.57</v>
      </c>
      <c r="I28" s="106">
        <v>240.99</v>
      </c>
      <c r="J28" s="106">
        <v>3875.21</v>
      </c>
      <c r="K28" s="143">
        <v>3875.21</v>
      </c>
      <c r="L28" s="145">
        <v>610.05999999999995</v>
      </c>
      <c r="M28" s="145"/>
      <c r="N28" s="145"/>
      <c r="O28" s="140">
        <f t="shared" si="2"/>
        <v>3265.15</v>
      </c>
      <c r="P28" s="140">
        <f t="shared" si="3"/>
        <v>9422.9399999999987</v>
      </c>
    </row>
    <row r="29" spans="1:16">
      <c r="A29" s="187" t="s">
        <v>111</v>
      </c>
      <c r="B29" s="187">
        <v>12856.63</v>
      </c>
      <c r="C29" s="191">
        <f t="shared" si="0"/>
        <v>871.67951399999993</v>
      </c>
      <c r="D29" s="191">
        <f t="shared" si="1"/>
        <v>290.55983799999996</v>
      </c>
      <c r="E29" s="45"/>
      <c r="F29" s="142">
        <v>13331.58</v>
      </c>
      <c r="G29" s="118">
        <v>8429.27</v>
      </c>
      <c r="H29" s="106">
        <v>233.38</v>
      </c>
      <c r="I29" s="106">
        <v>200.17</v>
      </c>
      <c r="J29" s="106">
        <v>4468.76</v>
      </c>
      <c r="K29" s="143">
        <v>4496.3599999999997</v>
      </c>
      <c r="L29" s="143">
        <v>502.55</v>
      </c>
      <c r="M29" s="143"/>
      <c r="N29" s="143"/>
      <c r="O29" s="106">
        <f t="shared" si="2"/>
        <v>3993.8099999999995</v>
      </c>
      <c r="P29" s="106">
        <f t="shared" si="3"/>
        <v>12856.63</v>
      </c>
    </row>
    <row r="30" spans="1:16">
      <c r="A30" s="187" t="s">
        <v>112</v>
      </c>
      <c r="B30" s="187">
        <v>13777.58</v>
      </c>
      <c r="C30" s="191">
        <f t="shared" si="0"/>
        <v>934.11992399999986</v>
      </c>
      <c r="D30" s="191">
        <f t="shared" si="1"/>
        <v>311.37330799999995</v>
      </c>
      <c r="E30" s="45"/>
      <c r="F30" s="142">
        <v>13817.12</v>
      </c>
      <c r="G30" s="106">
        <v>10277.94</v>
      </c>
      <c r="H30" s="106">
        <v>176.09</v>
      </c>
      <c r="I30" s="106">
        <v>345.17</v>
      </c>
      <c r="J30" s="106">
        <v>3017.92</v>
      </c>
      <c r="K30" s="143">
        <v>3047.92</v>
      </c>
      <c r="L30" s="221">
        <v>69.540000000000006</v>
      </c>
      <c r="M30" s="221"/>
      <c r="N30" s="221"/>
      <c r="O30" s="106">
        <f t="shared" si="2"/>
        <v>2978.38</v>
      </c>
      <c r="P30" s="106">
        <f t="shared" si="3"/>
        <v>13777.580000000002</v>
      </c>
    </row>
    <row r="31" spans="1:16">
      <c r="A31" s="173" t="s">
        <v>113</v>
      </c>
      <c r="B31" s="187">
        <v>11168.82</v>
      </c>
      <c r="C31" s="191">
        <f t="shared" si="0"/>
        <v>757.24599599999988</v>
      </c>
      <c r="D31" s="191">
        <f t="shared" si="1"/>
        <v>252.41533199999998</v>
      </c>
      <c r="E31" s="45"/>
      <c r="F31" s="142">
        <v>11390.74</v>
      </c>
      <c r="G31" s="106">
        <v>7525.76</v>
      </c>
      <c r="H31" s="106">
        <v>115.58</v>
      </c>
      <c r="I31" s="106">
        <v>402.91</v>
      </c>
      <c r="J31" s="11"/>
      <c r="K31" s="143">
        <v>3346.49</v>
      </c>
      <c r="L31" s="145">
        <v>221.92</v>
      </c>
      <c r="M31" s="145"/>
      <c r="N31" s="145"/>
      <c r="O31" s="106">
        <f t="shared" si="2"/>
        <v>3124.5699999999997</v>
      </c>
      <c r="P31" s="106">
        <f t="shared" si="3"/>
        <v>11168.82</v>
      </c>
    </row>
    <row r="32" spans="1:16">
      <c r="A32" s="173" t="s">
        <v>114</v>
      </c>
      <c r="B32" s="187">
        <v>15131.23</v>
      </c>
      <c r="C32" s="191">
        <f t="shared" si="0"/>
        <v>1025.8973939999998</v>
      </c>
      <c r="D32" s="191">
        <f t="shared" si="1"/>
        <v>341.96579799999995</v>
      </c>
      <c r="E32" s="45"/>
      <c r="F32" s="142"/>
      <c r="G32" s="106">
        <v>10454.27</v>
      </c>
      <c r="H32" s="106">
        <v>413.06</v>
      </c>
      <c r="I32" s="106">
        <v>446.92</v>
      </c>
      <c r="J32" s="106">
        <v>4077.93</v>
      </c>
      <c r="K32" s="145">
        <v>4041.93</v>
      </c>
      <c r="L32" s="145">
        <v>224.95</v>
      </c>
      <c r="M32" s="145"/>
      <c r="N32" s="145"/>
      <c r="O32" s="106">
        <f t="shared" si="2"/>
        <v>3816.98</v>
      </c>
      <c r="P32" s="106">
        <f t="shared" si="3"/>
        <v>15131.23</v>
      </c>
    </row>
    <row r="33" spans="1:16">
      <c r="A33" s="173" t="s">
        <v>115</v>
      </c>
      <c r="B33" s="187">
        <v>12922.11</v>
      </c>
      <c r="C33" s="191">
        <f t="shared" si="0"/>
        <v>876.11905799999988</v>
      </c>
      <c r="D33" s="191">
        <f t="shared" si="1"/>
        <v>292.03968599999996</v>
      </c>
      <c r="E33" s="45"/>
      <c r="F33" s="142">
        <v>13129.61</v>
      </c>
      <c r="G33" s="106">
        <v>8421.1299999999992</v>
      </c>
      <c r="H33" s="106">
        <v>399.99</v>
      </c>
      <c r="I33" s="106">
        <v>285.49</v>
      </c>
      <c r="J33" s="106">
        <v>4023</v>
      </c>
      <c r="K33" s="143">
        <v>4059</v>
      </c>
      <c r="L33" s="145">
        <v>243.5</v>
      </c>
      <c r="M33" s="145"/>
      <c r="N33" s="145"/>
      <c r="O33" s="106">
        <f t="shared" si="2"/>
        <v>3815.5</v>
      </c>
      <c r="P33" s="106">
        <f t="shared" si="3"/>
        <v>12922.109999999999</v>
      </c>
    </row>
    <row r="34" spans="1:16">
      <c r="A34" s="173" t="s">
        <v>116</v>
      </c>
      <c r="B34" s="187">
        <v>12067.53</v>
      </c>
      <c r="C34" s="191">
        <f t="shared" si="0"/>
        <v>818.1785339999999</v>
      </c>
      <c r="D34" s="191">
        <f t="shared" si="1"/>
        <v>272.726178</v>
      </c>
      <c r="E34" s="45"/>
      <c r="F34" s="142"/>
      <c r="G34" s="106">
        <v>7781.83</v>
      </c>
      <c r="H34" s="106">
        <v>238.34</v>
      </c>
      <c r="I34" s="106">
        <v>235.35</v>
      </c>
      <c r="J34" s="106">
        <v>4046.66</v>
      </c>
      <c r="K34" s="143">
        <v>4046.66</v>
      </c>
      <c r="L34" s="145">
        <v>234.65</v>
      </c>
      <c r="M34" s="145"/>
      <c r="N34" s="145"/>
      <c r="O34" s="106">
        <f t="shared" si="2"/>
        <v>3812.0099999999998</v>
      </c>
      <c r="P34" s="106">
        <f t="shared" si="3"/>
        <v>12067.53</v>
      </c>
    </row>
    <row r="35" spans="1:16">
      <c r="A35" s="173" t="s">
        <v>117</v>
      </c>
      <c r="B35" s="187">
        <v>11958.73</v>
      </c>
      <c r="C35" s="191">
        <f t="shared" ref="C35:C66" si="4">(B35*0.06)*1.13</f>
        <v>810.80189399999983</v>
      </c>
      <c r="D35" s="191">
        <f t="shared" ref="D35:D66" si="5">(B35*0.02)*1.13</f>
        <v>270.26729799999998</v>
      </c>
      <c r="E35" s="45"/>
      <c r="F35" s="142">
        <v>12101.05</v>
      </c>
      <c r="G35" s="106">
        <v>7982.31</v>
      </c>
      <c r="H35" s="106">
        <v>198.57</v>
      </c>
      <c r="I35" s="106">
        <v>318.95999999999998</v>
      </c>
      <c r="J35" s="106">
        <v>3601.21</v>
      </c>
      <c r="K35" s="143">
        <v>3686.41</v>
      </c>
      <c r="L35" s="145">
        <v>227.52</v>
      </c>
      <c r="M35" s="145"/>
      <c r="N35" s="145"/>
      <c r="O35" s="106">
        <f t="shared" si="2"/>
        <v>3458.89</v>
      </c>
      <c r="P35" s="106">
        <f t="shared" si="3"/>
        <v>11958.73</v>
      </c>
    </row>
    <row r="36" spans="1:16">
      <c r="A36" s="173" t="s">
        <v>118</v>
      </c>
      <c r="B36" s="187">
        <v>11178.71</v>
      </c>
      <c r="C36" s="191">
        <f t="shared" si="4"/>
        <v>757.91653799999983</v>
      </c>
      <c r="D36" s="191">
        <f t="shared" si="5"/>
        <v>252.63884599999997</v>
      </c>
      <c r="E36" s="45"/>
      <c r="F36" s="142">
        <v>11438.46</v>
      </c>
      <c r="G36" s="106">
        <v>8405.86</v>
      </c>
      <c r="H36" s="106">
        <v>78.400000000000006</v>
      </c>
      <c r="I36" s="106">
        <v>136.06</v>
      </c>
      <c r="J36" s="106">
        <v>2818.14</v>
      </c>
      <c r="K36" s="143">
        <v>2746.14</v>
      </c>
      <c r="L36" s="145">
        <v>187.75</v>
      </c>
      <c r="M36" s="145"/>
      <c r="N36" s="145"/>
      <c r="O36" s="106">
        <f t="shared" si="2"/>
        <v>2558.39</v>
      </c>
      <c r="P36" s="106">
        <f t="shared" si="3"/>
        <v>11178.71</v>
      </c>
    </row>
    <row r="37" spans="1:16">
      <c r="A37" s="173" t="s">
        <v>119</v>
      </c>
      <c r="B37" s="187">
        <v>12467.05</v>
      </c>
      <c r="C37" s="191">
        <f t="shared" si="4"/>
        <v>845.26598999999987</v>
      </c>
      <c r="D37" s="191">
        <f t="shared" si="5"/>
        <v>281.75532999999996</v>
      </c>
      <c r="E37" s="45"/>
      <c r="F37" s="142">
        <v>12590.84</v>
      </c>
      <c r="G37" s="106">
        <v>8994.09</v>
      </c>
      <c r="H37" s="106">
        <v>184.39</v>
      </c>
      <c r="I37" s="106">
        <v>327.44</v>
      </c>
      <c r="J37" s="106">
        <v>3084.92</v>
      </c>
      <c r="K37" s="145">
        <v>3110.13</v>
      </c>
      <c r="L37" s="145">
        <v>149</v>
      </c>
      <c r="M37" s="145"/>
      <c r="N37" s="145"/>
      <c r="O37" s="106">
        <f t="shared" si="2"/>
        <v>2961.13</v>
      </c>
      <c r="P37" s="106">
        <f t="shared" si="3"/>
        <v>12467.05</v>
      </c>
    </row>
    <row r="38" spans="1:16">
      <c r="A38" s="173" t="s">
        <v>120</v>
      </c>
      <c r="B38" s="187">
        <v>11331.89</v>
      </c>
      <c r="C38" s="191">
        <f t="shared" si="4"/>
        <v>768.30214199999978</v>
      </c>
      <c r="D38" s="191">
        <f t="shared" si="5"/>
        <v>256.10071399999998</v>
      </c>
      <c r="E38" s="45"/>
      <c r="F38" s="142">
        <v>11570.02</v>
      </c>
      <c r="G38" s="106">
        <v>7507.73</v>
      </c>
      <c r="H38" s="106">
        <v>226.8</v>
      </c>
      <c r="I38" s="106">
        <v>244.58</v>
      </c>
      <c r="J38" s="106">
        <v>3590.91</v>
      </c>
      <c r="K38" s="143">
        <v>3592.91</v>
      </c>
      <c r="L38" s="145">
        <v>240.13</v>
      </c>
      <c r="M38" s="145"/>
      <c r="N38" s="145"/>
      <c r="O38" s="106">
        <f t="shared" si="2"/>
        <v>3352.7799999999997</v>
      </c>
      <c r="P38" s="106">
        <f t="shared" si="3"/>
        <v>11331.89</v>
      </c>
    </row>
    <row r="39" spans="1:16">
      <c r="A39" s="173" t="s">
        <v>121</v>
      </c>
      <c r="B39" s="187">
        <v>13019.08</v>
      </c>
      <c r="C39" s="191">
        <f t="shared" si="4"/>
        <v>882.69362399999977</v>
      </c>
      <c r="D39" s="191">
        <f t="shared" si="5"/>
        <v>294.23120799999998</v>
      </c>
      <c r="E39" s="45"/>
      <c r="F39" s="142">
        <v>13101.38</v>
      </c>
      <c r="G39" s="106">
        <v>9587.9</v>
      </c>
      <c r="H39" s="106">
        <v>96.4</v>
      </c>
      <c r="I39" s="106">
        <v>373.06</v>
      </c>
      <c r="J39" s="106">
        <v>3044.02</v>
      </c>
      <c r="K39" s="143">
        <v>3101.91</v>
      </c>
      <c r="L39" s="145">
        <v>140.19</v>
      </c>
      <c r="M39" s="145"/>
      <c r="N39" s="145"/>
      <c r="O39" s="106">
        <f t="shared" si="2"/>
        <v>2961.72</v>
      </c>
      <c r="P39" s="106">
        <f t="shared" si="3"/>
        <v>13019.079999999998</v>
      </c>
    </row>
    <row r="40" spans="1:16">
      <c r="A40" s="173" t="s">
        <v>122</v>
      </c>
      <c r="B40" s="187">
        <v>10681.11</v>
      </c>
      <c r="C40" s="191">
        <f t="shared" si="4"/>
        <v>724.179258</v>
      </c>
      <c r="D40" s="191">
        <f t="shared" si="5"/>
        <v>241.39308600000001</v>
      </c>
      <c r="E40" s="45"/>
      <c r="F40" s="142">
        <v>10858.39</v>
      </c>
      <c r="G40" s="106">
        <v>7482.1799999999994</v>
      </c>
      <c r="H40" s="106">
        <v>146.78</v>
      </c>
      <c r="I40" s="106">
        <v>419.77</v>
      </c>
      <c r="J40" s="106">
        <v>2809.66</v>
      </c>
      <c r="K40" s="143">
        <v>2809.66</v>
      </c>
      <c r="L40" s="145">
        <v>177.28</v>
      </c>
      <c r="M40" s="145"/>
      <c r="N40" s="145"/>
      <c r="O40" s="106">
        <f t="shared" si="2"/>
        <v>2632.3799999999997</v>
      </c>
      <c r="P40" s="106">
        <f t="shared" si="3"/>
        <v>10681.109999999999</v>
      </c>
    </row>
    <row r="41" spans="1:16">
      <c r="A41" s="173" t="s">
        <v>123</v>
      </c>
      <c r="B41" s="187">
        <v>11249.78</v>
      </c>
      <c r="C41" s="191">
        <f t="shared" si="4"/>
        <v>762.73508399999992</v>
      </c>
      <c r="D41" s="191">
        <f t="shared" si="5"/>
        <v>254.24502799999999</v>
      </c>
      <c r="E41" s="45"/>
      <c r="F41" s="142">
        <v>11400.54</v>
      </c>
      <c r="G41" s="106">
        <v>7844.48</v>
      </c>
      <c r="H41" s="106">
        <v>110.19</v>
      </c>
      <c r="I41" s="106">
        <v>328.66</v>
      </c>
      <c r="J41" s="106">
        <v>3117.21</v>
      </c>
      <c r="K41" s="143">
        <v>3117.21</v>
      </c>
      <c r="L41" s="145">
        <v>150.76</v>
      </c>
      <c r="M41" s="145"/>
      <c r="N41" s="145"/>
      <c r="O41" s="106">
        <f t="shared" si="2"/>
        <v>2966.45</v>
      </c>
      <c r="P41" s="106">
        <f t="shared" si="3"/>
        <v>11249.779999999999</v>
      </c>
    </row>
    <row r="42" spans="1:16">
      <c r="A42" s="173" t="s">
        <v>124</v>
      </c>
      <c r="B42" s="187">
        <v>13709.57</v>
      </c>
      <c r="C42" s="191">
        <f t="shared" si="4"/>
        <v>929.50884599999983</v>
      </c>
      <c r="D42" s="191">
        <f t="shared" si="5"/>
        <v>309.83628199999998</v>
      </c>
      <c r="E42" s="45"/>
      <c r="F42" s="142">
        <v>13915.71</v>
      </c>
      <c r="G42" s="106">
        <v>8994.119999999999</v>
      </c>
      <c r="H42" s="106">
        <v>161.96</v>
      </c>
      <c r="I42" s="106">
        <v>317.33999999999997</v>
      </c>
      <c r="J42" s="106">
        <v>4442.29</v>
      </c>
      <c r="K42" s="143">
        <v>4479.49</v>
      </c>
      <c r="L42" s="145">
        <v>243.34</v>
      </c>
      <c r="M42" s="145"/>
      <c r="N42" s="145"/>
      <c r="O42" s="106">
        <f t="shared" si="2"/>
        <v>4236.1499999999996</v>
      </c>
      <c r="P42" s="106">
        <f t="shared" si="3"/>
        <v>13709.569999999998</v>
      </c>
    </row>
    <row r="43" spans="1:16">
      <c r="A43" s="173" t="s">
        <v>125</v>
      </c>
      <c r="B43" s="187">
        <v>13468.59</v>
      </c>
      <c r="C43" s="191">
        <f t="shared" si="4"/>
        <v>913.17040199999997</v>
      </c>
      <c r="D43" s="191">
        <f t="shared" si="5"/>
        <v>304.39013399999999</v>
      </c>
      <c r="E43" s="45"/>
      <c r="F43" s="142">
        <v>13482.63</v>
      </c>
      <c r="G43" s="106">
        <v>9758.26</v>
      </c>
      <c r="H43" s="106">
        <v>268.72000000000003</v>
      </c>
      <c r="I43" s="106">
        <v>373.7</v>
      </c>
      <c r="J43" s="106">
        <v>3081.95</v>
      </c>
      <c r="K43" s="143">
        <v>3128.75</v>
      </c>
      <c r="L43" s="145">
        <v>60.84</v>
      </c>
      <c r="M43" s="145"/>
      <c r="N43" s="145"/>
      <c r="O43" s="106">
        <f t="shared" si="2"/>
        <v>3067.91</v>
      </c>
      <c r="P43" s="106">
        <f t="shared" si="3"/>
        <v>13468.59</v>
      </c>
    </row>
    <row r="44" spans="1:16">
      <c r="A44" s="187" t="s">
        <v>126</v>
      </c>
      <c r="B44" s="187">
        <v>12349.7</v>
      </c>
      <c r="C44" s="191">
        <f t="shared" si="4"/>
        <v>837.30965999999989</v>
      </c>
      <c r="D44" s="191">
        <f t="shared" si="5"/>
        <v>279.10322000000002</v>
      </c>
      <c r="E44" s="45"/>
      <c r="F44" s="142">
        <v>12487.84</v>
      </c>
      <c r="G44" s="106">
        <v>9345.85</v>
      </c>
      <c r="H44" s="106">
        <v>253.6</v>
      </c>
      <c r="I44" s="106">
        <v>215.56</v>
      </c>
      <c r="J44" s="106">
        <v>2672.83</v>
      </c>
      <c r="K44" s="145">
        <v>2649.24</v>
      </c>
      <c r="L44" s="145">
        <v>114.55</v>
      </c>
      <c r="M44" s="145"/>
      <c r="N44" s="145"/>
      <c r="O44" s="106">
        <f t="shared" si="2"/>
        <v>2534.6899999999996</v>
      </c>
      <c r="P44" s="106">
        <f t="shared" si="3"/>
        <v>12349.7</v>
      </c>
    </row>
    <row r="45" spans="1:16">
      <c r="A45" s="187" t="s">
        <v>127</v>
      </c>
      <c r="B45" s="187">
        <v>11301.77</v>
      </c>
      <c r="C45" s="191">
        <f t="shared" si="4"/>
        <v>766.26000599999986</v>
      </c>
      <c r="D45" s="191">
        <f t="shared" si="5"/>
        <v>255.42000199999998</v>
      </c>
      <c r="E45" s="11">
        <v>347</v>
      </c>
      <c r="F45" s="142">
        <v>11386.27</v>
      </c>
      <c r="G45" s="106">
        <v>8192.31</v>
      </c>
      <c r="H45" s="106">
        <v>82.79</v>
      </c>
      <c r="I45" s="106">
        <v>301.33</v>
      </c>
      <c r="J45" s="106">
        <v>2809.84</v>
      </c>
      <c r="K45" s="143">
        <v>2855.04</v>
      </c>
      <c r="L45" s="145">
        <v>129.69999999999999</v>
      </c>
      <c r="M45" s="145"/>
      <c r="N45" s="145"/>
      <c r="O45" s="106">
        <f t="shared" si="2"/>
        <v>2725.34</v>
      </c>
      <c r="P45" s="106">
        <f t="shared" si="3"/>
        <v>11301.77</v>
      </c>
    </row>
    <row r="46" spans="1:16">
      <c r="A46" s="187" t="s">
        <v>128</v>
      </c>
      <c r="B46" s="187">
        <v>11360.85</v>
      </c>
      <c r="C46" s="191">
        <f t="shared" si="4"/>
        <v>770.26562999999987</v>
      </c>
      <c r="D46" s="191">
        <f t="shared" si="5"/>
        <v>256.75520999999998</v>
      </c>
      <c r="E46" s="56">
        <v>387</v>
      </c>
      <c r="F46" s="142">
        <v>11523.8</v>
      </c>
      <c r="G46" s="106">
        <v>7616.5999999999995</v>
      </c>
      <c r="H46" s="106">
        <v>111.6</v>
      </c>
      <c r="I46" s="106">
        <v>227.77</v>
      </c>
      <c r="J46" s="106">
        <v>3567.83</v>
      </c>
      <c r="K46" s="143">
        <v>3600.23</v>
      </c>
      <c r="L46" s="145">
        <v>195.35</v>
      </c>
      <c r="M46" s="145"/>
      <c r="N46" s="145"/>
      <c r="O46" s="106">
        <f t="shared" si="2"/>
        <v>3404.88</v>
      </c>
      <c r="P46" s="106">
        <f t="shared" si="3"/>
        <v>11360.85</v>
      </c>
    </row>
    <row r="47" spans="1:16">
      <c r="A47" s="187" t="s">
        <v>129</v>
      </c>
      <c r="B47" s="187">
        <v>12208.62</v>
      </c>
      <c r="C47" s="191">
        <f t="shared" si="4"/>
        <v>827.74443599999995</v>
      </c>
      <c r="D47" s="191">
        <f t="shared" si="5"/>
        <v>275.91481199999998</v>
      </c>
      <c r="E47" s="56">
        <v>416</v>
      </c>
      <c r="F47" s="142">
        <v>12428.02</v>
      </c>
      <c r="G47" s="106">
        <v>8916.2800000000007</v>
      </c>
      <c r="H47" s="106">
        <v>61.19</v>
      </c>
      <c r="I47" s="106">
        <v>244.35</v>
      </c>
      <c r="J47" s="106">
        <v>3206.2</v>
      </c>
      <c r="K47" s="145">
        <v>3188.7</v>
      </c>
      <c r="L47" s="145">
        <v>201.9</v>
      </c>
      <c r="M47" s="145"/>
      <c r="N47" s="145"/>
      <c r="O47" s="106">
        <f t="shared" si="2"/>
        <v>2986.7999999999997</v>
      </c>
      <c r="P47" s="106">
        <f t="shared" si="3"/>
        <v>12208.62</v>
      </c>
    </row>
    <row r="48" spans="1:16">
      <c r="A48" s="187" t="s">
        <v>130</v>
      </c>
      <c r="B48" s="187">
        <v>12620.56</v>
      </c>
      <c r="C48" s="191">
        <f t="shared" si="4"/>
        <v>855.67396799999983</v>
      </c>
      <c r="D48" s="191">
        <f t="shared" si="5"/>
        <v>285.22465599999998</v>
      </c>
      <c r="E48" s="56">
        <v>471</v>
      </c>
      <c r="F48" s="142">
        <v>12848.5</v>
      </c>
      <c r="G48" s="106">
        <v>9392.17</v>
      </c>
      <c r="H48" s="106">
        <v>84.94</v>
      </c>
      <c r="I48" s="106">
        <v>198.26</v>
      </c>
      <c r="J48" s="106">
        <v>3173.13</v>
      </c>
      <c r="K48" s="143">
        <v>3070.86</v>
      </c>
      <c r="L48" s="145">
        <v>125.67</v>
      </c>
      <c r="M48" s="145"/>
      <c r="N48" s="145"/>
      <c r="O48" s="106">
        <f t="shared" si="2"/>
        <v>2945.19</v>
      </c>
      <c r="P48" s="106">
        <f t="shared" si="3"/>
        <v>12620.560000000001</v>
      </c>
    </row>
    <row r="49" spans="1:16">
      <c r="A49" s="187" t="s">
        <v>131</v>
      </c>
      <c r="B49" s="106">
        <v>13911.98</v>
      </c>
      <c r="C49" s="191">
        <f t="shared" si="4"/>
        <v>943.23224399999992</v>
      </c>
      <c r="D49" s="191">
        <f t="shared" si="5"/>
        <v>314.41074799999996</v>
      </c>
      <c r="E49" s="11">
        <v>510</v>
      </c>
      <c r="F49" s="142">
        <v>13969.3</v>
      </c>
      <c r="G49" s="106">
        <v>10515.06</v>
      </c>
      <c r="H49" s="106">
        <v>41.2</v>
      </c>
      <c r="I49" s="106">
        <v>236.53</v>
      </c>
      <c r="J49" s="106">
        <v>3176.51</v>
      </c>
      <c r="K49" s="143">
        <v>3277.69</v>
      </c>
      <c r="L49" s="145">
        <v>158.5</v>
      </c>
      <c r="M49" s="145"/>
      <c r="N49" s="145"/>
      <c r="O49" s="106">
        <f t="shared" si="2"/>
        <v>3119.19</v>
      </c>
      <c r="P49" s="106">
        <f t="shared" si="3"/>
        <v>13911.980000000001</v>
      </c>
    </row>
    <row r="50" spans="1:16">
      <c r="A50" s="187" t="s">
        <v>132</v>
      </c>
      <c r="B50" s="187">
        <v>13665</v>
      </c>
      <c r="C50" s="191">
        <f t="shared" si="4"/>
        <v>926.48699999999985</v>
      </c>
      <c r="D50" s="191">
        <f t="shared" si="5"/>
        <v>308.82900000000001</v>
      </c>
      <c r="E50" s="11">
        <v>443</v>
      </c>
      <c r="F50" s="142">
        <v>13805.16</v>
      </c>
      <c r="G50" s="106">
        <v>8749.7199999999993</v>
      </c>
      <c r="H50" s="106">
        <v>232.19</v>
      </c>
      <c r="I50" s="106">
        <v>313.19</v>
      </c>
      <c r="J50" s="106">
        <v>4510.0600000000004</v>
      </c>
      <c r="K50" s="143">
        <v>4626.6499999999996</v>
      </c>
      <c r="L50" s="145">
        <v>256.75</v>
      </c>
      <c r="M50" s="145"/>
      <c r="N50" s="145"/>
      <c r="O50" s="106">
        <f t="shared" si="2"/>
        <v>4369.8999999999996</v>
      </c>
      <c r="P50" s="106">
        <f t="shared" si="3"/>
        <v>13665</v>
      </c>
    </row>
    <row r="51" spans="1:16">
      <c r="A51" s="187" t="s">
        <v>133</v>
      </c>
      <c r="B51" s="187">
        <v>12849.65</v>
      </c>
      <c r="C51" s="191">
        <f t="shared" si="4"/>
        <v>871.20626999999979</v>
      </c>
      <c r="D51" s="191">
        <f t="shared" si="5"/>
        <v>290.40208999999999</v>
      </c>
      <c r="E51" s="11">
        <v>435</v>
      </c>
      <c r="F51" s="142">
        <v>13092.51</v>
      </c>
      <c r="G51" s="106">
        <v>8926.41</v>
      </c>
      <c r="H51" s="106">
        <v>240.59</v>
      </c>
      <c r="I51" s="106">
        <v>476.81</v>
      </c>
      <c r="J51" s="106">
        <v>3448.7</v>
      </c>
      <c r="K51" s="143">
        <v>3413.3</v>
      </c>
      <c r="L51" s="145">
        <v>207.46</v>
      </c>
      <c r="M51" s="145"/>
      <c r="N51" s="145"/>
      <c r="O51" s="106">
        <f t="shared" si="2"/>
        <v>3205.84</v>
      </c>
      <c r="P51" s="106">
        <f t="shared" si="3"/>
        <v>12849.65</v>
      </c>
    </row>
    <row r="52" spans="1:16">
      <c r="A52" s="187" t="s">
        <v>134</v>
      </c>
      <c r="B52" s="187">
        <v>11568.72</v>
      </c>
      <c r="C52" s="191">
        <f t="shared" si="4"/>
        <v>784.35921599999983</v>
      </c>
      <c r="D52" s="191">
        <f t="shared" si="5"/>
        <v>261.45307199999996</v>
      </c>
      <c r="E52" s="11">
        <v>401</v>
      </c>
      <c r="F52" s="142">
        <v>11745.27</v>
      </c>
      <c r="G52" s="106">
        <v>8121.39</v>
      </c>
      <c r="H52" s="106">
        <v>243.03</v>
      </c>
      <c r="I52" s="106">
        <v>266.99</v>
      </c>
      <c r="J52" s="106">
        <v>3113.86</v>
      </c>
      <c r="K52" s="143">
        <v>3113.86</v>
      </c>
      <c r="L52" s="145">
        <v>176.55</v>
      </c>
      <c r="M52" s="145"/>
      <c r="N52" s="145"/>
      <c r="O52" s="106">
        <f t="shared" si="2"/>
        <v>2937.31</v>
      </c>
      <c r="P52" s="106">
        <f t="shared" si="3"/>
        <v>11568.72</v>
      </c>
    </row>
    <row r="53" spans="1:16">
      <c r="A53" s="187" t="s">
        <v>135</v>
      </c>
      <c r="B53" s="187">
        <v>10450.629999999999</v>
      </c>
      <c r="C53" s="191">
        <f t="shared" si="4"/>
        <v>708.55271399999992</v>
      </c>
      <c r="D53" s="191">
        <f t="shared" si="5"/>
        <v>236.18423799999997</v>
      </c>
      <c r="E53" s="11">
        <v>386</v>
      </c>
      <c r="F53" s="142">
        <v>10572.32</v>
      </c>
      <c r="G53" s="106">
        <v>7742.8</v>
      </c>
      <c r="H53" s="106">
        <v>52.79</v>
      </c>
      <c r="I53" s="106">
        <v>414.93</v>
      </c>
      <c r="J53" s="106">
        <v>2361.8000000000002</v>
      </c>
      <c r="K53" s="294">
        <v>2370.19</v>
      </c>
      <c r="L53" s="295">
        <v>130.08000000000001</v>
      </c>
      <c r="M53" s="295"/>
      <c r="N53" s="295"/>
      <c r="O53" s="106">
        <f t="shared" si="2"/>
        <v>2240.11</v>
      </c>
      <c r="P53" s="106">
        <f t="shared" si="3"/>
        <v>10450.630000000001</v>
      </c>
    </row>
    <row r="54" spans="1:16">
      <c r="A54" s="187" t="s">
        <v>136</v>
      </c>
      <c r="B54" s="187">
        <v>11429.22</v>
      </c>
      <c r="C54" s="191">
        <f t="shared" si="4"/>
        <v>774.90111599999977</v>
      </c>
      <c r="D54" s="191">
        <f t="shared" si="5"/>
        <v>258.30037199999998</v>
      </c>
      <c r="E54" s="56">
        <v>381</v>
      </c>
      <c r="F54" s="142">
        <v>11658.72</v>
      </c>
      <c r="G54" s="106">
        <v>7543.01</v>
      </c>
      <c r="H54" s="106">
        <v>238.89</v>
      </c>
      <c r="I54" s="106">
        <v>337.58</v>
      </c>
      <c r="J54" s="106">
        <v>3539.24</v>
      </c>
      <c r="K54" s="143">
        <v>3486.7</v>
      </c>
      <c r="L54" s="145">
        <v>176.96</v>
      </c>
      <c r="M54" s="145"/>
      <c r="N54" s="145"/>
      <c r="O54" s="106">
        <f t="shared" si="2"/>
        <v>3309.74</v>
      </c>
      <c r="P54" s="106">
        <f t="shared" ref="P54:P85" si="6">SUM(G54,H54,I54,O54)</f>
        <v>11429.220000000001</v>
      </c>
    </row>
    <row r="55" spans="1:16">
      <c r="A55" s="187" t="s">
        <v>137</v>
      </c>
      <c r="B55" s="187">
        <v>12826.56</v>
      </c>
      <c r="C55" s="191">
        <f t="shared" si="4"/>
        <v>869.64076799999987</v>
      </c>
      <c r="D55" s="191">
        <f t="shared" si="5"/>
        <v>289.88025599999997</v>
      </c>
      <c r="E55" s="11">
        <v>413</v>
      </c>
      <c r="F55" s="142">
        <v>12885.22</v>
      </c>
      <c r="G55" s="106">
        <v>8620.01</v>
      </c>
      <c r="H55" s="106">
        <v>230.69</v>
      </c>
      <c r="I55" s="106">
        <v>383.97</v>
      </c>
      <c r="J55" s="106">
        <v>3650.55</v>
      </c>
      <c r="K55" s="296">
        <v>3788.79</v>
      </c>
      <c r="L55" s="145">
        <v>196.9</v>
      </c>
      <c r="M55" s="145"/>
      <c r="N55" s="145"/>
      <c r="O55" s="106">
        <f t="shared" si="2"/>
        <v>3591.89</v>
      </c>
      <c r="P55" s="106">
        <f t="shared" si="6"/>
        <v>12826.56</v>
      </c>
    </row>
    <row r="56" spans="1:16">
      <c r="A56" s="187" t="s">
        <v>138</v>
      </c>
      <c r="B56" s="187">
        <v>10581.15</v>
      </c>
      <c r="C56" s="191">
        <f t="shared" si="4"/>
        <v>717.40196999999989</v>
      </c>
      <c r="D56" s="191">
        <f t="shared" si="5"/>
        <v>239.13398999999995</v>
      </c>
      <c r="E56" s="11">
        <v>364</v>
      </c>
      <c r="F56" s="142">
        <v>10592.93</v>
      </c>
      <c r="G56" s="106">
        <v>7257.38</v>
      </c>
      <c r="H56" s="106">
        <v>121.5</v>
      </c>
      <c r="I56" s="106">
        <v>380.57</v>
      </c>
      <c r="J56" s="106">
        <v>2833.48</v>
      </c>
      <c r="K56" s="145">
        <v>2891.38</v>
      </c>
      <c r="L56" s="145">
        <v>69.680000000000007</v>
      </c>
      <c r="M56" s="145"/>
      <c r="N56" s="145"/>
      <c r="O56" s="106">
        <f t="shared" si="2"/>
        <v>2821.7000000000003</v>
      </c>
      <c r="P56" s="106">
        <f t="shared" si="6"/>
        <v>10581.15</v>
      </c>
    </row>
    <row r="57" spans="1:16">
      <c r="A57" s="187" t="s">
        <v>139</v>
      </c>
      <c r="B57" s="187">
        <v>11089.2</v>
      </c>
      <c r="C57" s="191">
        <f t="shared" si="4"/>
        <v>751.84775999999988</v>
      </c>
      <c r="D57" s="191">
        <f t="shared" si="5"/>
        <v>250.61591999999999</v>
      </c>
      <c r="E57" s="11">
        <v>362</v>
      </c>
      <c r="F57" s="142">
        <v>11089.2</v>
      </c>
      <c r="G57" s="106">
        <v>8817.92</v>
      </c>
      <c r="H57" s="106">
        <v>36</v>
      </c>
      <c r="I57" s="106">
        <v>529.64</v>
      </c>
      <c r="J57" s="106">
        <v>1705.64</v>
      </c>
      <c r="K57" s="145">
        <v>1705.64</v>
      </c>
      <c r="L57" s="145">
        <v>0</v>
      </c>
      <c r="M57" s="145"/>
      <c r="N57" s="145"/>
      <c r="O57" s="106">
        <f t="shared" si="2"/>
        <v>1705.64</v>
      </c>
      <c r="P57" s="106">
        <f t="shared" si="6"/>
        <v>11089.199999999999</v>
      </c>
    </row>
    <row r="58" spans="1:16">
      <c r="A58" s="187" t="s">
        <v>140</v>
      </c>
      <c r="B58" s="187">
        <v>12209.31</v>
      </c>
      <c r="C58" s="191">
        <f t="shared" si="4"/>
        <v>827.79121799999984</v>
      </c>
      <c r="D58" s="191">
        <f t="shared" si="5"/>
        <v>275.93040599999995</v>
      </c>
      <c r="E58" s="56"/>
      <c r="F58" s="187">
        <v>12237.08</v>
      </c>
      <c r="G58" s="187">
        <v>8992.1</v>
      </c>
      <c r="H58" s="187">
        <v>198</v>
      </c>
      <c r="I58" s="187">
        <v>397.59</v>
      </c>
      <c r="J58" s="187">
        <v>2649.39</v>
      </c>
      <c r="K58" s="145">
        <v>2621.62</v>
      </c>
      <c r="L58" s="145">
        <v>0</v>
      </c>
      <c r="M58" s="145"/>
      <c r="N58" s="145"/>
      <c r="O58" s="106">
        <f t="shared" si="2"/>
        <v>2621.62</v>
      </c>
      <c r="P58" s="106">
        <f t="shared" si="6"/>
        <v>12209.310000000001</v>
      </c>
    </row>
    <row r="59" spans="1:16">
      <c r="A59" s="187" t="s">
        <v>141</v>
      </c>
      <c r="B59" s="187">
        <v>10696.86</v>
      </c>
      <c r="C59" s="191">
        <f t="shared" si="4"/>
        <v>725.24710799999991</v>
      </c>
      <c r="D59" s="191">
        <f t="shared" si="5"/>
        <v>241.74903599999999</v>
      </c>
      <c r="E59" s="56"/>
      <c r="F59" s="187">
        <v>10578.06</v>
      </c>
      <c r="G59" s="187">
        <v>7878.25</v>
      </c>
      <c r="H59" s="187">
        <v>106.79</v>
      </c>
      <c r="I59" s="187">
        <v>339.74</v>
      </c>
      <c r="J59" s="187">
        <v>2253.2800000000002</v>
      </c>
      <c r="K59" s="145">
        <v>2372.08</v>
      </c>
      <c r="L59" s="145">
        <v>0</v>
      </c>
      <c r="M59" s="145"/>
      <c r="N59" s="145"/>
      <c r="O59" s="106">
        <f t="shared" si="2"/>
        <v>2372.08</v>
      </c>
      <c r="P59" s="106">
        <f t="shared" si="6"/>
        <v>10696.86</v>
      </c>
    </row>
    <row r="60" spans="1:16">
      <c r="A60" s="187" t="s">
        <v>142</v>
      </c>
      <c r="B60" s="187">
        <v>13574.07</v>
      </c>
      <c r="C60" s="191">
        <f t="shared" si="4"/>
        <v>920.3219459999998</v>
      </c>
      <c r="D60" s="191">
        <f t="shared" si="5"/>
        <v>306.77398199999999</v>
      </c>
      <c r="E60" s="300">
        <v>435</v>
      </c>
      <c r="F60" s="187">
        <v>13505.12</v>
      </c>
      <c r="G60" s="187">
        <v>9114.07</v>
      </c>
      <c r="H60" s="187">
        <v>208.78</v>
      </c>
      <c r="I60" s="187">
        <v>316.79000000000002</v>
      </c>
      <c r="J60" s="187">
        <v>3865.48</v>
      </c>
      <c r="K60" s="145">
        <v>3909.44</v>
      </c>
      <c r="L60" s="145">
        <v>0</v>
      </c>
      <c r="M60" s="145">
        <v>24.99</v>
      </c>
      <c r="N60" s="145">
        <v>0</v>
      </c>
      <c r="O60" s="106">
        <f t="shared" ref="O60:O90" si="7">(K60-L60)+(M60-N60)</f>
        <v>3934.43</v>
      </c>
      <c r="P60" s="106">
        <f t="shared" si="6"/>
        <v>13574.070000000002</v>
      </c>
    </row>
    <row r="61" spans="1:16">
      <c r="A61" s="187" t="s">
        <v>143</v>
      </c>
      <c r="B61" s="187">
        <v>9919.73</v>
      </c>
      <c r="C61" s="191">
        <f t="shared" si="4"/>
        <v>672.55769399999986</v>
      </c>
      <c r="D61" s="191">
        <f t="shared" si="5"/>
        <v>224.18589799999998</v>
      </c>
      <c r="E61" s="187" t="s">
        <v>399</v>
      </c>
      <c r="F61" s="187">
        <v>9826.2000000000007</v>
      </c>
      <c r="G61" s="187">
        <v>6703.57</v>
      </c>
      <c r="H61" s="187">
        <v>376.55</v>
      </c>
      <c r="I61" s="187">
        <v>423.37</v>
      </c>
      <c r="J61" s="187">
        <v>2322.71</v>
      </c>
      <c r="K61" s="301">
        <v>2391.25</v>
      </c>
      <c r="L61" s="145">
        <v>0</v>
      </c>
      <c r="M61" s="301">
        <v>24.99</v>
      </c>
      <c r="N61" s="145">
        <v>0</v>
      </c>
      <c r="O61" s="106">
        <f t="shared" si="7"/>
        <v>2416.2399999999998</v>
      </c>
      <c r="P61" s="106">
        <f t="shared" si="6"/>
        <v>9919.73</v>
      </c>
    </row>
    <row r="62" spans="1:16">
      <c r="A62" s="187" t="s">
        <v>145</v>
      </c>
      <c r="B62" s="187">
        <v>10293.43</v>
      </c>
      <c r="C62" s="191">
        <f t="shared" si="4"/>
        <v>697.89455399999997</v>
      </c>
      <c r="D62" s="191">
        <f t="shared" si="5"/>
        <v>232.631518</v>
      </c>
      <c r="E62" s="187" t="s">
        <v>370</v>
      </c>
      <c r="F62" s="187">
        <v>10223.77</v>
      </c>
      <c r="G62" s="187">
        <v>7228.0899999999992</v>
      </c>
      <c r="H62" s="187">
        <v>209.55</v>
      </c>
      <c r="I62" s="187">
        <v>562.67999999999995</v>
      </c>
      <c r="J62" s="187">
        <v>2223.4499999999998</v>
      </c>
      <c r="K62" s="145">
        <v>2293.11</v>
      </c>
      <c r="L62" s="145">
        <v>0</v>
      </c>
      <c r="M62" s="145">
        <v>0</v>
      </c>
      <c r="N62" s="145">
        <v>0</v>
      </c>
      <c r="O62" s="106">
        <f t="shared" si="7"/>
        <v>2293.11</v>
      </c>
      <c r="P62" s="106">
        <f t="shared" si="6"/>
        <v>10293.43</v>
      </c>
    </row>
    <row r="63" spans="1:16">
      <c r="A63" s="2" t="s">
        <v>147</v>
      </c>
      <c r="B63" s="187">
        <v>10456.450000000001</v>
      </c>
      <c r="C63" s="191">
        <f t="shared" si="4"/>
        <v>708.94731000000002</v>
      </c>
      <c r="D63" s="191">
        <f t="shared" si="5"/>
        <v>236.31576999999999</v>
      </c>
      <c r="E63" s="187" t="s">
        <v>400</v>
      </c>
      <c r="F63" s="187">
        <v>10559.6</v>
      </c>
      <c r="G63" s="187">
        <v>7664.56</v>
      </c>
      <c r="H63" s="187">
        <v>210.48</v>
      </c>
      <c r="I63" s="187">
        <v>322.35000000000002</v>
      </c>
      <c r="J63" s="187">
        <v>2362.21</v>
      </c>
      <c r="K63" s="145">
        <v>2422.08</v>
      </c>
      <c r="L63" s="145">
        <v>163.02000000000001</v>
      </c>
      <c r="M63" s="145">
        <v>0</v>
      </c>
      <c r="N63" s="145">
        <v>0</v>
      </c>
      <c r="O63" s="106">
        <f t="shared" si="7"/>
        <v>2259.06</v>
      </c>
      <c r="P63" s="106">
        <f t="shared" si="6"/>
        <v>10456.449999999999</v>
      </c>
    </row>
    <row r="64" spans="1:16">
      <c r="A64" s="2" t="s">
        <v>149</v>
      </c>
      <c r="B64" s="187">
        <v>11747.29</v>
      </c>
      <c r="C64" s="191">
        <f t="shared" si="4"/>
        <v>796.46626199999992</v>
      </c>
      <c r="D64" s="191">
        <f t="shared" si="5"/>
        <v>265.48875399999997</v>
      </c>
      <c r="E64" s="304">
        <v>427</v>
      </c>
      <c r="F64" s="187">
        <v>11965.45</v>
      </c>
      <c r="G64" s="187">
        <v>8443.59</v>
      </c>
      <c r="H64" s="187">
        <v>205.09</v>
      </c>
      <c r="I64" s="187">
        <v>334.27</v>
      </c>
      <c r="J64" s="187">
        <v>2982.5</v>
      </c>
      <c r="K64" s="145">
        <v>2958.5</v>
      </c>
      <c r="L64" s="145">
        <v>194.16</v>
      </c>
      <c r="M64" s="145">
        <v>0</v>
      </c>
      <c r="N64" s="145">
        <v>0</v>
      </c>
      <c r="O64" s="106">
        <f t="shared" si="7"/>
        <v>2764.34</v>
      </c>
      <c r="P64" s="106">
        <f t="shared" si="6"/>
        <v>11747.29</v>
      </c>
    </row>
    <row r="65" spans="1:16">
      <c r="A65" s="2" t="s">
        <v>150</v>
      </c>
      <c r="B65" s="187">
        <v>10414.41</v>
      </c>
      <c r="C65" s="191">
        <f t="shared" si="4"/>
        <v>706.09699799999999</v>
      </c>
      <c r="D65" s="191">
        <f t="shared" si="5"/>
        <v>235.36566599999998</v>
      </c>
      <c r="E65" s="300">
        <v>354</v>
      </c>
      <c r="F65" s="187">
        <v>10538.43</v>
      </c>
      <c r="G65" s="187">
        <v>7191.91</v>
      </c>
      <c r="H65" s="187">
        <v>238.77</v>
      </c>
      <c r="I65" s="187">
        <v>319.2</v>
      </c>
      <c r="J65" s="187">
        <v>2788.55</v>
      </c>
      <c r="K65" s="145">
        <v>2812.55</v>
      </c>
      <c r="L65" s="145">
        <v>148.02000000000001</v>
      </c>
      <c r="M65" s="145">
        <v>0</v>
      </c>
      <c r="N65" s="145">
        <v>0</v>
      </c>
      <c r="O65" s="106">
        <f t="shared" si="7"/>
        <v>2664.53</v>
      </c>
      <c r="P65" s="106">
        <f t="shared" si="6"/>
        <v>10414.41</v>
      </c>
    </row>
    <row r="66" spans="1:16">
      <c r="A66" s="299" t="s">
        <v>151</v>
      </c>
      <c r="B66" s="187">
        <v>8793.0000000000018</v>
      </c>
      <c r="C66" s="191">
        <f t="shared" si="4"/>
        <v>596.16539999999998</v>
      </c>
      <c r="D66" s="191">
        <f t="shared" si="5"/>
        <v>198.72180000000003</v>
      </c>
      <c r="E66" s="300" t="s">
        <v>217</v>
      </c>
      <c r="F66" s="187">
        <v>9132.0600000000013</v>
      </c>
      <c r="G66" s="187">
        <v>5423.9400000000014</v>
      </c>
      <c r="H66" s="187">
        <v>56.69</v>
      </c>
      <c r="I66" s="187">
        <v>343.8</v>
      </c>
      <c r="J66" s="187">
        <v>3307.63</v>
      </c>
      <c r="K66" s="145">
        <v>3306.44</v>
      </c>
      <c r="L66" s="148">
        <v>354.65</v>
      </c>
      <c r="M66" s="145">
        <v>16.78</v>
      </c>
      <c r="N66" s="145">
        <v>0</v>
      </c>
      <c r="O66" s="106">
        <f t="shared" si="7"/>
        <v>2968.57</v>
      </c>
      <c r="P66" s="106">
        <f t="shared" si="6"/>
        <v>8793.0000000000018</v>
      </c>
    </row>
    <row r="67" spans="1:16">
      <c r="A67" s="2" t="s">
        <v>153</v>
      </c>
      <c r="B67" s="187">
        <v>10031.9</v>
      </c>
      <c r="C67" s="191">
        <f t="shared" ref="C67:C89" si="8">(B67*0.06)*1.13</f>
        <v>680.1628199999999</v>
      </c>
      <c r="D67" s="191">
        <f t="shared" ref="D67:D88" si="9">(B67*0.02)*1.13</f>
        <v>226.72093999999998</v>
      </c>
      <c r="E67" s="300" t="s">
        <v>401</v>
      </c>
      <c r="F67" s="187">
        <v>10394.719999999999</v>
      </c>
      <c r="G67" s="187">
        <v>7228.19</v>
      </c>
      <c r="H67" s="187">
        <v>287.48</v>
      </c>
      <c r="I67" s="187">
        <v>367.69</v>
      </c>
      <c r="J67" s="187">
        <v>2511.36</v>
      </c>
      <c r="K67" s="145">
        <v>2475.36</v>
      </c>
      <c r="L67" s="145">
        <v>326.82</v>
      </c>
      <c r="M67" s="145">
        <v>0</v>
      </c>
      <c r="N67" s="145">
        <v>0</v>
      </c>
      <c r="O67" s="106">
        <f t="shared" si="7"/>
        <v>2148.54</v>
      </c>
      <c r="P67" s="106">
        <f t="shared" si="6"/>
        <v>10031.9</v>
      </c>
    </row>
    <row r="68" spans="1:16">
      <c r="A68" s="2" t="s">
        <v>154</v>
      </c>
      <c r="B68" s="187">
        <v>12863.22</v>
      </c>
      <c r="C68" s="191">
        <f t="shared" si="8"/>
        <v>872.12631599999986</v>
      </c>
      <c r="D68" s="191">
        <f t="shared" si="9"/>
        <v>290.70877199999995</v>
      </c>
      <c r="E68" s="304">
        <v>405</v>
      </c>
      <c r="F68" s="187">
        <v>12852.93</v>
      </c>
      <c r="G68" s="187">
        <v>8913.5</v>
      </c>
      <c r="H68" s="187">
        <v>135.82</v>
      </c>
      <c r="I68" s="187">
        <v>202.3</v>
      </c>
      <c r="J68" s="187">
        <v>3601.31</v>
      </c>
      <c r="K68" s="145">
        <v>3675.92</v>
      </c>
      <c r="L68" s="145">
        <v>64.319999999999993</v>
      </c>
      <c r="M68" s="145">
        <v>0</v>
      </c>
      <c r="N68" s="145">
        <v>0</v>
      </c>
      <c r="O68" s="106">
        <f t="shared" si="7"/>
        <v>3611.6</v>
      </c>
      <c r="P68" s="106">
        <f t="shared" si="6"/>
        <v>12863.22</v>
      </c>
    </row>
    <row r="69" spans="1:16">
      <c r="A69" s="11" t="s">
        <v>155</v>
      </c>
      <c r="B69" s="187">
        <v>12578.52</v>
      </c>
      <c r="C69" s="191">
        <f t="shared" si="8"/>
        <v>852.82365599999991</v>
      </c>
      <c r="D69" s="191">
        <f t="shared" si="9"/>
        <v>284.27455199999997</v>
      </c>
      <c r="E69" s="300" t="s">
        <v>371</v>
      </c>
      <c r="F69" s="187">
        <v>12810.18</v>
      </c>
      <c r="G69" s="187">
        <v>9079.56</v>
      </c>
      <c r="H69" s="187">
        <v>75.599999999999994</v>
      </c>
      <c r="I69" s="187">
        <v>141.6</v>
      </c>
      <c r="J69" s="187">
        <v>3513.42</v>
      </c>
      <c r="K69" s="145">
        <v>3566.22</v>
      </c>
      <c r="L69" s="145">
        <v>284.45999999999998</v>
      </c>
      <c r="M69" s="145">
        <v>0</v>
      </c>
      <c r="N69" s="145">
        <v>0</v>
      </c>
      <c r="O69" s="106">
        <f t="shared" si="7"/>
        <v>3281.7599999999998</v>
      </c>
      <c r="P69" s="106">
        <f t="shared" si="6"/>
        <v>12578.52</v>
      </c>
    </row>
    <row r="70" spans="1:16">
      <c r="A70" s="11" t="s">
        <v>157</v>
      </c>
      <c r="B70" s="187">
        <v>8868.83</v>
      </c>
      <c r="C70" s="191">
        <f t="shared" si="8"/>
        <v>601.30667399999982</v>
      </c>
      <c r="D70" s="191">
        <f t="shared" si="9"/>
        <v>200.43555799999999</v>
      </c>
      <c r="E70" s="300" t="s">
        <v>402</v>
      </c>
      <c r="F70" s="56">
        <v>9128.11</v>
      </c>
      <c r="G70" s="187">
        <v>5883.24</v>
      </c>
      <c r="H70" s="187">
        <v>281.05</v>
      </c>
      <c r="I70" s="187">
        <v>172.07</v>
      </c>
      <c r="J70" s="187">
        <v>2791.75</v>
      </c>
      <c r="K70" s="145">
        <v>2818.54</v>
      </c>
      <c r="L70" s="145">
        <v>286.07</v>
      </c>
      <c r="M70" s="145">
        <v>0</v>
      </c>
      <c r="N70" s="145">
        <v>0</v>
      </c>
      <c r="O70" s="106">
        <f t="shared" si="7"/>
        <v>2532.4699999999998</v>
      </c>
      <c r="P70" s="106">
        <f t="shared" si="6"/>
        <v>8868.83</v>
      </c>
    </row>
    <row r="71" spans="1:16">
      <c r="A71" s="11" t="s">
        <v>159</v>
      </c>
      <c r="B71" s="187">
        <v>9229.77</v>
      </c>
      <c r="C71" s="191">
        <f t="shared" si="8"/>
        <v>625.7784059999999</v>
      </c>
      <c r="D71" s="191">
        <f t="shared" si="9"/>
        <v>208.59280200000001</v>
      </c>
      <c r="E71" s="300" t="s">
        <v>403</v>
      </c>
      <c r="F71" s="187">
        <v>9305.44</v>
      </c>
      <c r="G71" s="187">
        <v>6888.94</v>
      </c>
      <c r="H71" s="187">
        <v>187.18</v>
      </c>
      <c r="I71" s="187">
        <v>275.5</v>
      </c>
      <c r="J71" s="187">
        <v>1953.82</v>
      </c>
      <c r="K71" s="145">
        <v>1989.81</v>
      </c>
      <c r="L71" s="145">
        <v>111.66</v>
      </c>
      <c r="M71" s="145">
        <v>0</v>
      </c>
      <c r="N71" s="145">
        <v>0</v>
      </c>
      <c r="O71" s="106">
        <f t="shared" si="7"/>
        <v>1878.1499999999999</v>
      </c>
      <c r="P71" s="106">
        <f t="shared" si="6"/>
        <v>9229.77</v>
      </c>
    </row>
    <row r="72" spans="1:16">
      <c r="A72" s="30" t="s">
        <v>161</v>
      </c>
      <c r="B72" s="187">
        <v>7852.34</v>
      </c>
      <c r="C72" s="191">
        <f t="shared" si="8"/>
        <v>532.38865199999998</v>
      </c>
      <c r="D72" s="191">
        <f t="shared" si="9"/>
        <v>177.462884</v>
      </c>
      <c r="E72" s="300" t="s">
        <v>404</v>
      </c>
      <c r="F72" s="187">
        <v>8084.09</v>
      </c>
      <c r="G72" s="187">
        <v>4874.67</v>
      </c>
      <c r="H72" s="187">
        <v>191.39</v>
      </c>
      <c r="I72" s="187">
        <v>174.4</v>
      </c>
      <c r="J72" s="187">
        <v>2843.63</v>
      </c>
      <c r="K72" s="145">
        <v>2791.47</v>
      </c>
      <c r="L72" s="145">
        <v>192.18</v>
      </c>
      <c r="M72" s="145">
        <v>12.59</v>
      </c>
      <c r="N72" s="145">
        <v>0</v>
      </c>
      <c r="O72" s="106">
        <f t="shared" si="7"/>
        <v>2611.88</v>
      </c>
      <c r="P72" s="106">
        <f t="shared" si="6"/>
        <v>7852.34</v>
      </c>
    </row>
    <row r="73" spans="1:16">
      <c r="A73" s="30" t="s">
        <v>163</v>
      </c>
      <c r="B73" s="187">
        <v>9830.4599999999991</v>
      </c>
      <c r="C73" s="191">
        <f t="shared" si="8"/>
        <v>666.50518799999986</v>
      </c>
      <c r="D73" s="191">
        <f t="shared" si="9"/>
        <v>222.16839599999997</v>
      </c>
      <c r="E73" s="300" t="s">
        <v>402</v>
      </c>
      <c r="F73" s="187">
        <v>9998.3799999999992</v>
      </c>
      <c r="G73" s="187">
        <v>6859.64</v>
      </c>
      <c r="H73" s="187">
        <v>508.75</v>
      </c>
      <c r="I73" s="187">
        <v>310.27</v>
      </c>
      <c r="J73" s="187">
        <v>2319.7199999999998</v>
      </c>
      <c r="K73" s="145">
        <v>2419.9</v>
      </c>
      <c r="L73" s="145">
        <v>268.10000000000002</v>
      </c>
      <c r="M73" s="145">
        <v>0</v>
      </c>
      <c r="N73" s="145">
        <v>0</v>
      </c>
      <c r="O73" s="106">
        <f t="shared" si="7"/>
        <v>2151.8000000000002</v>
      </c>
      <c r="P73" s="106">
        <f t="shared" si="6"/>
        <v>9830.4599999999991</v>
      </c>
    </row>
    <row r="74" spans="1:16">
      <c r="A74" s="30" t="s">
        <v>165</v>
      </c>
      <c r="B74" s="187">
        <v>9165.9499999999989</v>
      </c>
      <c r="C74" s="191">
        <f t="shared" si="8"/>
        <v>621.45140999999978</v>
      </c>
      <c r="D74" s="191">
        <f t="shared" si="9"/>
        <v>207.15046999999996</v>
      </c>
      <c r="E74" s="300" t="s">
        <v>405</v>
      </c>
      <c r="F74" s="187">
        <v>9231.4699999999993</v>
      </c>
      <c r="G74" s="187">
        <v>6603.9299999999994</v>
      </c>
      <c r="H74" s="187">
        <v>190.8</v>
      </c>
      <c r="I74" s="187">
        <v>171.33</v>
      </c>
      <c r="J74" s="187">
        <v>2265.41</v>
      </c>
      <c r="K74" s="145">
        <v>2265.41</v>
      </c>
      <c r="L74" s="145">
        <v>65.52</v>
      </c>
      <c r="M74" s="145">
        <v>0</v>
      </c>
      <c r="N74" s="145">
        <v>0</v>
      </c>
      <c r="O74" s="106">
        <f t="shared" si="7"/>
        <v>2199.89</v>
      </c>
      <c r="P74" s="106">
        <f t="shared" si="6"/>
        <v>9165.9499999999989</v>
      </c>
    </row>
    <row r="75" spans="1:16">
      <c r="A75" s="11" t="s">
        <v>166</v>
      </c>
      <c r="B75" s="187">
        <v>11030.31</v>
      </c>
      <c r="C75" s="191">
        <f t="shared" si="8"/>
        <v>747.85501799999986</v>
      </c>
      <c r="D75" s="191">
        <f t="shared" si="9"/>
        <v>249.28500599999998</v>
      </c>
      <c r="E75" s="300" t="s">
        <v>216</v>
      </c>
      <c r="F75" s="187">
        <v>11125.16</v>
      </c>
      <c r="G75" s="187">
        <v>8156.9900000000007</v>
      </c>
      <c r="H75" s="187">
        <v>175.98</v>
      </c>
      <c r="I75" s="187">
        <v>384.06</v>
      </c>
      <c r="J75" s="187">
        <v>2408.13</v>
      </c>
      <c r="K75" s="106">
        <v>2405.13</v>
      </c>
      <c r="L75" s="106">
        <v>131.04</v>
      </c>
      <c r="M75" s="106">
        <v>56.17</v>
      </c>
      <c r="N75" s="106">
        <v>16.98</v>
      </c>
      <c r="O75" s="106">
        <f t="shared" si="7"/>
        <v>2313.2800000000002</v>
      </c>
      <c r="P75" s="106">
        <f t="shared" si="6"/>
        <v>11030.310000000001</v>
      </c>
    </row>
    <row r="76" spans="1:16">
      <c r="A76" s="11" t="s">
        <v>168</v>
      </c>
      <c r="B76" s="187">
        <v>8359.9499999999989</v>
      </c>
      <c r="C76" s="191">
        <f t="shared" si="8"/>
        <v>566.80460999999991</v>
      </c>
      <c r="D76" s="191">
        <f t="shared" si="9"/>
        <v>188.93486999999996</v>
      </c>
      <c r="E76" s="300" t="s">
        <v>406</v>
      </c>
      <c r="F76" s="187">
        <v>8579.5099999999984</v>
      </c>
      <c r="G76" s="187">
        <v>5611.71</v>
      </c>
      <c r="H76" s="187">
        <v>156.19</v>
      </c>
      <c r="I76" s="187">
        <v>171.9</v>
      </c>
      <c r="J76" s="187">
        <v>2639.71</v>
      </c>
      <c r="K76" s="106">
        <v>2599.73</v>
      </c>
      <c r="L76" s="106">
        <v>179.58</v>
      </c>
      <c r="M76" s="145">
        <v>0</v>
      </c>
      <c r="N76" s="145">
        <v>0</v>
      </c>
      <c r="O76" s="106">
        <f t="shared" si="7"/>
        <v>2420.15</v>
      </c>
      <c r="P76" s="106">
        <f t="shared" si="6"/>
        <v>8359.9499999999989</v>
      </c>
    </row>
    <row r="77" spans="1:16">
      <c r="A77" s="11" t="s">
        <v>170</v>
      </c>
      <c r="B77" s="187">
        <v>8910.119999999999</v>
      </c>
      <c r="C77" s="191">
        <f t="shared" si="8"/>
        <v>604.10613599999988</v>
      </c>
      <c r="D77" s="191">
        <f t="shared" si="9"/>
        <v>201.36871199999996</v>
      </c>
      <c r="E77" s="300" t="s">
        <v>382</v>
      </c>
      <c r="F77" s="187">
        <v>9120.4299999999985</v>
      </c>
      <c r="G77" s="187">
        <v>5696.2999999999993</v>
      </c>
      <c r="H77" s="187">
        <v>96.07</v>
      </c>
      <c r="I77" s="187">
        <v>702.15</v>
      </c>
      <c r="J77" s="187">
        <v>2625.91</v>
      </c>
      <c r="K77" s="106">
        <v>2689.29</v>
      </c>
      <c r="L77" s="106">
        <v>273.69</v>
      </c>
      <c r="M77" s="145">
        <v>0</v>
      </c>
      <c r="N77" s="145">
        <v>0</v>
      </c>
      <c r="O77" s="106">
        <f t="shared" si="7"/>
        <v>2415.6</v>
      </c>
      <c r="P77" s="106">
        <f t="shared" si="6"/>
        <v>8910.119999999999</v>
      </c>
    </row>
    <row r="78" spans="1:16">
      <c r="A78" s="11" t="s">
        <v>172</v>
      </c>
      <c r="B78" s="187">
        <v>8285.1999999999989</v>
      </c>
      <c r="C78" s="191">
        <f t="shared" si="8"/>
        <v>561.73655999999983</v>
      </c>
      <c r="D78" s="191">
        <f t="shared" si="9"/>
        <v>187.24551999999997</v>
      </c>
      <c r="E78" s="300" t="s">
        <v>407</v>
      </c>
      <c r="F78" s="187">
        <v>8559.67</v>
      </c>
      <c r="G78" s="187">
        <v>5569.37</v>
      </c>
      <c r="H78" s="187">
        <v>233.21</v>
      </c>
      <c r="I78" s="187">
        <v>538.9</v>
      </c>
      <c r="J78" s="187">
        <v>2218.19</v>
      </c>
      <c r="K78" s="106">
        <v>2218.19</v>
      </c>
      <c r="L78" s="106">
        <v>274.47000000000003</v>
      </c>
      <c r="M78" s="145">
        <v>0</v>
      </c>
      <c r="N78" s="145">
        <v>0</v>
      </c>
      <c r="O78" s="106">
        <f t="shared" si="7"/>
        <v>1943.72</v>
      </c>
      <c r="P78" s="106">
        <f t="shared" si="6"/>
        <v>8285.1999999999989</v>
      </c>
    </row>
    <row r="79" spans="1:16">
      <c r="A79" s="11" t="s">
        <v>174</v>
      </c>
      <c r="B79" s="187">
        <v>9629.7300000000014</v>
      </c>
      <c r="C79" s="191">
        <f t="shared" si="8"/>
        <v>652.89569399999993</v>
      </c>
      <c r="D79" s="191">
        <f t="shared" si="9"/>
        <v>217.63189800000004</v>
      </c>
      <c r="E79" s="300" t="s">
        <v>408</v>
      </c>
      <c r="F79" s="187">
        <v>9796.41</v>
      </c>
      <c r="G79" s="187">
        <v>5952.67</v>
      </c>
      <c r="H79" s="187">
        <v>108.85</v>
      </c>
      <c r="I79" s="187">
        <v>384.14</v>
      </c>
      <c r="J79" s="187">
        <v>3350.75</v>
      </c>
      <c r="K79" s="106">
        <v>3509.69</v>
      </c>
      <c r="L79" s="106">
        <v>325.62</v>
      </c>
      <c r="M79" s="145">
        <v>0</v>
      </c>
      <c r="N79" s="145">
        <v>0</v>
      </c>
      <c r="O79" s="106">
        <f t="shared" si="7"/>
        <v>3184.07</v>
      </c>
      <c r="P79" s="106">
        <f t="shared" si="6"/>
        <v>9629.7300000000014</v>
      </c>
    </row>
    <row r="80" spans="1:16">
      <c r="A80" s="11" t="s">
        <v>176</v>
      </c>
      <c r="B80" s="187">
        <v>11058.63</v>
      </c>
      <c r="C80" s="191">
        <f t="shared" si="8"/>
        <v>749.77511399999992</v>
      </c>
      <c r="D80" s="191">
        <f t="shared" si="9"/>
        <v>249.92503799999997</v>
      </c>
      <c r="E80" s="300" t="s">
        <v>409</v>
      </c>
      <c r="F80" s="187">
        <v>11351.4</v>
      </c>
      <c r="G80" s="187">
        <v>7770.23</v>
      </c>
      <c r="H80" s="187">
        <v>70.11</v>
      </c>
      <c r="I80" s="187">
        <v>330.16</v>
      </c>
      <c r="J80" s="187">
        <v>3180.9</v>
      </c>
      <c r="K80" s="312">
        <v>3197.19</v>
      </c>
      <c r="L80" s="118">
        <v>309.06</v>
      </c>
      <c r="M80" s="145">
        <v>0</v>
      </c>
      <c r="N80" s="145">
        <v>0</v>
      </c>
      <c r="O80" s="106">
        <f t="shared" si="7"/>
        <v>2888.13</v>
      </c>
      <c r="P80" s="106">
        <f t="shared" si="6"/>
        <v>11058.63</v>
      </c>
    </row>
    <row r="81" spans="1:29">
      <c r="A81" s="11" t="s">
        <v>178</v>
      </c>
      <c r="B81" s="187">
        <v>8345.0300000000007</v>
      </c>
      <c r="C81" s="191">
        <f t="shared" si="8"/>
        <v>565.79303400000003</v>
      </c>
      <c r="D81" s="191">
        <f t="shared" si="9"/>
        <v>188.597678</v>
      </c>
      <c r="E81" s="300" t="s">
        <v>410</v>
      </c>
      <c r="F81" s="187">
        <v>8426.4000000000015</v>
      </c>
      <c r="G81" s="187">
        <v>5803.3600000000006</v>
      </c>
      <c r="H81" s="187">
        <v>261.76</v>
      </c>
      <c r="I81" s="187">
        <v>302.05</v>
      </c>
      <c r="J81" s="187">
        <v>2059.23</v>
      </c>
      <c r="K81" s="312">
        <v>2093.12</v>
      </c>
      <c r="L81" s="118">
        <v>115.26</v>
      </c>
      <c r="M81" s="145">
        <v>0</v>
      </c>
      <c r="N81" s="145">
        <v>0</v>
      </c>
      <c r="O81" s="106">
        <f t="shared" si="7"/>
        <v>1977.86</v>
      </c>
      <c r="P81" s="106">
        <f t="shared" si="6"/>
        <v>8345.0300000000007</v>
      </c>
    </row>
    <row r="82" spans="1:29">
      <c r="A82" s="11" t="s">
        <v>180</v>
      </c>
      <c r="B82" s="187">
        <v>9875.25</v>
      </c>
      <c r="C82" s="191">
        <f t="shared" si="8"/>
        <v>669.54194999999993</v>
      </c>
      <c r="D82" s="191">
        <f t="shared" si="9"/>
        <v>223.18064999999999</v>
      </c>
      <c r="E82" s="300" t="s">
        <v>411</v>
      </c>
      <c r="F82" s="187">
        <v>10281.43</v>
      </c>
      <c r="G82" s="187">
        <v>6564.91</v>
      </c>
      <c r="H82" s="187">
        <v>124.8</v>
      </c>
      <c r="I82" s="187">
        <v>508.32</v>
      </c>
      <c r="J82" s="187">
        <v>3083.4</v>
      </c>
      <c r="K82" s="106">
        <v>3012.83</v>
      </c>
      <c r="L82" s="106">
        <v>335.61</v>
      </c>
      <c r="M82" s="145">
        <v>0</v>
      </c>
      <c r="N82" s="145">
        <v>0</v>
      </c>
      <c r="O82" s="106">
        <f t="shared" si="7"/>
        <v>2677.22</v>
      </c>
      <c r="P82" s="106">
        <f t="shared" si="6"/>
        <v>9875.25</v>
      </c>
    </row>
    <row r="83" spans="1:29">
      <c r="A83" s="2" t="s">
        <v>182</v>
      </c>
      <c r="B83" s="187">
        <v>8969.3100000000013</v>
      </c>
      <c r="C83" s="191">
        <f t="shared" si="8"/>
        <v>608.11921800000005</v>
      </c>
      <c r="D83" s="191">
        <f t="shared" si="9"/>
        <v>202.70640600000002</v>
      </c>
      <c r="E83" s="319" t="s">
        <v>412</v>
      </c>
      <c r="F83" s="318">
        <v>9224.0300000000007</v>
      </c>
      <c r="G83" s="318">
        <v>5621.08</v>
      </c>
      <c r="H83" s="318">
        <v>116.55</v>
      </c>
      <c r="I83" s="318">
        <v>212.1</v>
      </c>
      <c r="J83" s="318">
        <v>3274.3</v>
      </c>
      <c r="K83" s="106">
        <v>3234.32</v>
      </c>
      <c r="L83" s="106">
        <v>214.74</v>
      </c>
      <c r="M83" s="145">
        <v>0</v>
      </c>
      <c r="N83" s="145">
        <v>0</v>
      </c>
      <c r="O83" s="106">
        <f t="shared" si="7"/>
        <v>3019.58</v>
      </c>
      <c r="P83" s="106">
        <f t="shared" si="6"/>
        <v>8969.3100000000013</v>
      </c>
    </row>
    <row r="84" spans="1:29">
      <c r="A84" s="11" t="s">
        <v>184</v>
      </c>
      <c r="B84" s="187">
        <v>8563.7199999999993</v>
      </c>
      <c r="C84" s="191">
        <f t="shared" si="8"/>
        <v>580.62021599999991</v>
      </c>
      <c r="D84" s="191">
        <f t="shared" si="9"/>
        <v>193.54007199999995</v>
      </c>
      <c r="E84" s="322" t="s">
        <v>406</v>
      </c>
      <c r="F84" s="321">
        <v>8802.25</v>
      </c>
      <c r="G84" s="321">
        <v>5794.76</v>
      </c>
      <c r="H84" s="321">
        <v>93.59</v>
      </c>
      <c r="I84" s="321">
        <v>240.98</v>
      </c>
      <c r="J84" s="321">
        <v>2672.92</v>
      </c>
      <c r="K84" s="106">
        <v>2672.92</v>
      </c>
      <c r="L84" s="106">
        <v>238.53</v>
      </c>
      <c r="M84" s="145">
        <v>0</v>
      </c>
      <c r="N84" s="145">
        <v>0</v>
      </c>
      <c r="O84" s="106">
        <f t="shared" si="7"/>
        <v>2434.39</v>
      </c>
      <c r="P84" s="106">
        <f t="shared" si="6"/>
        <v>8563.7199999999993</v>
      </c>
    </row>
    <row r="85" spans="1:29">
      <c r="A85" s="11" t="s">
        <v>186</v>
      </c>
      <c r="B85" s="187">
        <v>7472.82</v>
      </c>
      <c r="C85" s="191">
        <f t="shared" si="8"/>
        <v>506.65719599999994</v>
      </c>
      <c r="D85" s="191">
        <f t="shared" si="9"/>
        <v>168.88573199999999</v>
      </c>
      <c r="E85" s="322" t="s">
        <v>181</v>
      </c>
      <c r="F85" s="321">
        <v>7626.34</v>
      </c>
      <c r="G85" s="321">
        <v>4612.74</v>
      </c>
      <c r="H85" s="321">
        <v>61.37</v>
      </c>
      <c r="I85" s="321">
        <v>378.76</v>
      </c>
      <c r="J85" s="321">
        <v>2573.4699999999998</v>
      </c>
      <c r="K85" s="106">
        <v>2615.52</v>
      </c>
      <c r="L85" s="106">
        <v>195.57</v>
      </c>
      <c r="M85" s="145">
        <v>0</v>
      </c>
      <c r="N85" s="145">
        <v>0</v>
      </c>
      <c r="O85" s="106">
        <f t="shared" si="7"/>
        <v>2419.9499999999998</v>
      </c>
      <c r="P85" s="106">
        <f t="shared" si="6"/>
        <v>7472.82</v>
      </c>
    </row>
    <row r="86" spans="1:29">
      <c r="A86" s="11" t="s">
        <v>188</v>
      </c>
      <c r="B86" s="187">
        <v>8601.07</v>
      </c>
      <c r="C86" s="191">
        <f t="shared" si="8"/>
        <v>583.1525459999998</v>
      </c>
      <c r="D86" s="191">
        <f t="shared" si="9"/>
        <v>194.38418199999998</v>
      </c>
      <c r="E86" s="322" t="s">
        <v>373</v>
      </c>
      <c r="F86" s="321">
        <v>8714.61</v>
      </c>
      <c r="G86" s="321">
        <v>5886.52</v>
      </c>
      <c r="H86" s="321">
        <v>143.13</v>
      </c>
      <c r="I86" s="321">
        <v>228.97</v>
      </c>
      <c r="J86" s="321">
        <v>2455.9899999999998</v>
      </c>
      <c r="K86" s="338" t="s">
        <v>413</v>
      </c>
      <c r="L86" s="338" t="s">
        <v>414</v>
      </c>
      <c r="M86" s="321">
        <v>0</v>
      </c>
      <c r="N86" s="321">
        <v>0</v>
      </c>
      <c r="O86" s="106">
        <f t="shared" si="7"/>
        <v>2342.4499999999998</v>
      </c>
      <c r="P86" s="106">
        <f t="shared" ref="P86:P90" si="10">SUM(G86,H86,I86,O86)</f>
        <v>8601.07</v>
      </c>
      <c r="Q86" s="321"/>
      <c r="R86" s="321"/>
      <c r="S86" s="321"/>
      <c r="T86" s="321"/>
      <c r="U86" s="321"/>
      <c r="V86" s="321"/>
      <c r="W86" s="321"/>
      <c r="X86" s="321"/>
      <c r="Y86" s="321"/>
      <c r="Z86" s="321"/>
      <c r="AA86" s="321"/>
      <c r="AB86" s="321"/>
      <c r="AC86" s="321"/>
    </row>
    <row r="87" spans="1:29">
      <c r="A87" s="334" t="s">
        <v>192</v>
      </c>
      <c r="B87" s="328">
        <v>9769.83</v>
      </c>
      <c r="C87" s="191">
        <f t="shared" si="8"/>
        <v>662.39447399999995</v>
      </c>
      <c r="D87" s="191">
        <f t="shared" si="9"/>
        <v>220.79815799999997</v>
      </c>
      <c r="E87" s="322">
        <v>344</v>
      </c>
      <c r="F87" s="321">
        <v>9754.83</v>
      </c>
      <c r="G87" s="321">
        <v>7064.21</v>
      </c>
      <c r="H87" s="321">
        <v>26.38</v>
      </c>
      <c r="I87" s="321">
        <v>343.65</v>
      </c>
      <c r="J87" s="321">
        <v>2320.59</v>
      </c>
      <c r="K87" s="321">
        <v>2335.59</v>
      </c>
      <c r="L87" s="321">
        <v>0</v>
      </c>
      <c r="M87" s="321">
        <v>0</v>
      </c>
      <c r="N87" s="321">
        <v>0</v>
      </c>
      <c r="O87" s="106">
        <f t="shared" si="7"/>
        <v>2335.59</v>
      </c>
      <c r="P87" s="106">
        <f t="shared" si="10"/>
        <v>9769.83</v>
      </c>
      <c r="Q87" s="321"/>
      <c r="R87" s="321"/>
      <c r="S87" s="321"/>
      <c r="T87" s="321"/>
      <c r="U87" s="321"/>
      <c r="V87" s="321"/>
      <c r="W87" s="321"/>
      <c r="X87" s="321"/>
      <c r="Y87" s="321"/>
      <c r="Z87" s="321"/>
      <c r="AA87" s="321"/>
      <c r="AB87" s="321"/>
      <c r="AC87" s="321"/>
    </row>
    <row r="88" spans="1:29">
      <c r="A88" s="353" t="s">
        <v>193</v>
      </c>
      <c r="B88" s="350">
        <v>8235.0999999999985</v>
      </c>
      <c r="C88" s="191">
        <f t="shared" si="8"/>
        <v>558.33977999999979</v>
      </c>
      <c r="D88" s="191">
        <f t="shared" si="9"/>
        <v>186.11325999999994</v>
      </c>
      <c r="E88" s="322">
        <v>306</v>
      </c>
      <c r="F88" s="321">
        <v>8136.72</v>
      </c>
      <c r="G88" s="321">
        <v>5798.02</v>
      </c>
      <c r="H88" s="321">
        <v>68.400000000000006</v>
      </c>
      <c r="I88" s="321">
        <v>522.55999999999995</v>
      </c>
      <c r="J88" s="321">
        <v>1747.74</v>
      </c>
      <c r="K88" s="336">
        <v>1846.12</v>
      </c>
      <c r="L88" s="321">
        <v>0</v>
      </c>
      <c r="M88" s="321">
        <v>0</v>
      </c>
      <c r="N88" s="321">
        <v>0</v>
      </c>
      <c r="O88" s="330">
        <f t="shared" si="7"/>
        <v>1846.12</v>
      </c>
      <c r="P88" s="330">
        <f t="shared" si="10"/>
        <v>8235.0999999999985</v>
      </c>
      <c r="Q88" s="321"/>
      <c r="R88" s="321"/>
      <c r="S88" s="321"/>
      <c r="T88" s="321"/>
      <c r="U88" s="321"/>
      <c r="V88" s="321"/>
      <c r="W88" s="321"/>
      <c r="X88" s="321"/>
      <c r="Y88" s="321"/>
      <c r="Z88" s="321"/>
      <c r="AA88" s="321"/>
      <c r="AB88" s="321"/>
      <c r="AC88" s="321"/>
    </row>
    <row r="89" spans="1:29" ht="27.6" customHeight="1">
      <c r="A89" s="353" t="s">
        <v>194</v>
      </c>
      <c r="B89" s="350">
        <v>9724.81</v>
      </c>
      <c r="C89" s="191">
        <f t="shared" si="8"/>
        <v>659.3421179999998</v>
      </c>
      <c r="D89" s="191">
        <f t="shared" ref="D89" si="11">(B89*0.02)*1.13</f>
        <v>219.78070599999995</v>
      </c>
      <c r="E89" s="322">
        <v>302</v>
      </c>
      <c r="F89" s="321">
        <v>9698.1200000000008</v>
      </c>
      <c r="G89" s="321">
        <v>6969.83</v>
      </c>
      <c r="H89" s="321">
        <v>83.16</v>
      </c>
      <c r="I89" s="321">
        <v>367.88</v>
      </c>
      <c r="J89" s="321">
        <v>2277.25</v>
      </c>
      <c r="K89" s="336">
        <v>2303.94</v>
      </c>
      <c r="L89" s="321">
        <v>0</v>
      </c>
      <c r="M89" s="321">
        <v>0</v>
      </c>
      <c r="N89" s="321">
        <v>0</v>
      </c>
      <c r="O89" s="330">
        <f t="shared" si="7"/>
        <v>2303.94</v>
      </c>
      <c r="P89" s="330">
        <f t="shared" si="10"/>
        <v>9724.81</v>
      </c>
      <c r="Q89" s="321"/>
      <c r="R89" s="321"/>
      <c r="S89" s="321"/>
      <c r="T89" s="321"/>
      <c r="U89" s="321"/>
      <c r="V89" s="321"/>
      <c r="W89" s="321"/>
      <c r="X89" s="321"/>
      <c r="Y89" s="321"/>
      <c r="Z89" s="321"/>
      <c r="AA89" s="321"/>
      <c r="AB89" s="321"/>
      <c r="AC89" s="321"/>
    </row>
    <row r="90" spans="1:29" ht="27.6" customHeight="1">
      <c r="A90" s="23" t="s">
        <v>482</v>
      </c>
      <c r="B90" s="354">
        <v>8733.59</v>
      </c>
      <c r="C90" s="191">
        <f t="shared" ref="C90" si="12">(B90*0.06)*1.13</f>
        <v>592.13740199999995</v>
      </c>
      <c r="D90" s="191">
        <f t="shared" ref="D90" si="13">(B90*0.02)*1.13</f>
        <v>197.37913399999999</v>
      </c>
      <c r="E90" s="322">
        <v>275</v>
      </c>
      <c r="F90" s="321">
        <v>9049.2999999999993</v>
      </c>
      <c r="G90" s="321">
        <v>6214.83</v>
      </c>
      <c r="H90" s="321">
        <v>158.35</v>
      </c>
      <c r="I90" s="321">
        <v>363.29</v>
      </c>
      <c r="J90" s="321">
        <v>2312.83</v>
      </c>
      <c r="K90" s="336">
        <v>2312.83</v>
      </c>
      <c r="L90" s="336">
        <v>315.70999999999998</v>
      </c>
      <c r="M90" s="321">
        <v>0</v>
      </c>
      <c r="N90" s="321">
        <v>0</v>
      </c>
      <c r="O90" s="330">
        <f t="shared" si="7"/>
        <v>1997.12</v>
      </c>
      <c r="P90" s="330">
        <f t="shared" si="10"/>
        <v>8733.59</v>
      </c>
      <c r="Q90" s="321"/>
      <c r="R90" s="321"/>
      <c r="S90" s="321"/>
      <c r="T90" s="321"/>
      <c r="U90" s="321"/>
      <c r="V90" s="321"/>
      <c r="W90" s="321"/>
      <c r="X90" s="321"/>
      <c r="Y90" s="321"/>
      <c r="Z90" s="321"/>
      <c r="AA90" s="321"/>
      <c r="AB90" s="321"/>
      <c r="AC90" s="321"/>
    </row>
    <row r="91" spans="1:29" ht="27.6" customHeight="1">
      <c r="A91" s="353"/>
      <c r="B91" s="350"/>
      <c r="C91" s="191"/>
      <c r="D91" s="191"/>
      <c r="E91" s="322"/>
      <c r="F91" s="321"/>
      <c r="G91" s="321"/>
      <c r="H91" s="321"/>
      <c r="I91" s="321"/>
      <c r="J91" s="321"/>
      <c r="K91" s="336"/>
      <c r="L91" s="321"/>
      <c r="M91" s="321"/>
      <c r="N91" s="321"/>
      <c r="O91" s="330"/>
      <c r="P91" s="330"/>
      <c r="Q91" s="321"/>
      <c r="R91" s="321"/>
      <c r="S91" s="321"/>
      <c r="T91" s="321"/>
      <c r="U91" s="321"/>
      <c r="V91" s="321"/>
      <c r="W91" s="321"/>
      <c r="X91" s="321"/>
      <c r="Y91" s="321"/>
      <c r="Z91" s="321"/>
      <c r="AA91" s="321"/>
      <c r="AB91" s="321"/>
      <c r="AC91" s="321"/>
    </row>
    <row r="92" spans="1:29" ht="27.6" customHeight="1">
      <c r="A92" s="353"/>
      <c r="B92" s="350"/>
      <c r="C92" s="191"/>
      <c r="D92" s="191"/>
      <c r="E92" s="322"/>
      <c r="F92" s="321"/>
      <c r="G92" s="321"/>
      <c r="H92" s="321"/>
      <c r="I92" s="321"/>
      <c r="J92" s="321"/>
      <c r="K92" s="336"/>
      <c r="L92" s="321"/>
      <c r="M92" s="321"/>
      <c r="N92" s="321"/>
      <c r="O92" s="330"/>
      <c r="P92" s="330"/>
      <c r="Q92" s="321"/>
      <c r="R92" s="321"/>
      <c r="S92" s="321"/>
      <c r="T92" s="321"/>
      <c r="U92" s="321"/>
      <c r="V92" s="321"/>
      <c r="W92" s="321"/>
      <c r="X92" s="321"/>
      <c r="Y92" s="321"/>
      <c r="Z92" s="321"/>
      <c r="AA92" s="321"/>
      <c r="AB92" s="321"/>
      <c r="AC92" s="321"/>
    </row>
    <row r="93" spans="1:29" ht="27.6" customHeight="1">
      <c r="A93" s="191" t="s">
        <v>393</v>
      </c>
      <c r="B93" s="327"/>
      <c r="C93" s="327"/>
      <c r="D93" s="326"/>
      <c r="E93" s="45"/>
      <c r="F93" s="45"/>
      <c r="G93" s="106"/>
      <c r="H93" s="56"/>
      <c r="I93" s="56"/>
      <c r="J93" s="56"/>
      <c r="K93" s="56"/>
      <c r="L93" s="56"/>
      <c r="M93" s="56"/>
      <c r="N93" s="56"/>
      <c r="O93" s="56"/>
      <c r="P93" s="56"/>
    </row>
    <row r="94" spans="1:29" ht="27.6">
      <c r="A94" s="313" t="s">
        <v>0</v>
      </c>
      <c r="B94" s="313" t="s">
        <v>337</v>
      </c>
      <c r="C94" s="313" t="s">
        <v>359</v>
      </c>
      <c r="D94" s="313" t="s">
        <v>360</v>
      </c>
      <c r="E94" s="30"/>
      <c r="F94" s="30"/>
      <c r="G94" s="106"/>
      <c r="H94" s="56"/>
      <c r="I94" s="56"/>
      <c r="J94" s="56"/>
      <c r="K94" s="56"/>
      <c r="L94" s="56"/>
      <c r="M94" s="56"/>
      <c r="N94" s="56"/>
      <c r="O94" s="56"/>
      <c r="P94" s="56"/>
    </row>
    <row r="95" spans="1:29">
      <c r="A95" s="11" t="s">
        <v>174</v>
      </c>
      <c r="B95" s="187">
        <v>9629.7300000000014</v>
      </c>
      <c r="C95" s="191">
        <f t="shared" ref="C95:C101" si="14">(B92*0.06)*1.13</f>
        <v>0</v>
      </c>
      <c r="D95" s="191">
        <f t="shared" ref="D95:D101" si="15">(B92*0.02)*1.13</f>
        <v>0</v>
      </c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</row>
    <row r="96" spans="1:29">
      <c r="A96" s="11" t="s">
        <v>176</v>
      </c>
      <c r="B96" s="187">
        <v>11058.63</v>
      </c>
      <c r="C96" s="191">
        <f t="shared" si="14"/>
        <v>0</v>
      </c>
      <c r="D96" s="191">
        <f t="shared" si="15"/>
        <v>0</v>
      </c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</row>
    <row r="97" spans="1:16">
      <c r="A97" s="11" t="s">
        <v>178</v>
      </c>
      <c r="B97" s="187">
        <v>8345.0300000000007</v>
      </c>
      <c r="C97" s="191" t="e">
        <f t="shared" si="14"/>
        <v>#VALUE!</v>
      </c>
      <c r="D97" s="191" t="e">
        <f t="shared" si="15"/>
        <v>#VALUE!</v>
      </c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</row>
    <row r="98" spans="1:16">
      <c r="A98" s="11" t="s">
        <v>180</v>
      </c>
      <c r="B98" s="187">
        <v>9875.25</v>
      </c>
      <c r="C98" s="191">
        <f t="shared" si="14"/>
        <v>652.89569399999993</v>
      </c>
      <c r="D98" s="191">
        <f t="shared" si="15"/>
        <v>217.63189800000004</v>
      </c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</row>
    <row r="99" spans="1:16">
      <c r="A99" s="2" t="s">
        <v>182</v>
      </c>
      <c r="B99" s="187">
        <v>8969.3100000000013</v>
      </c>
      <c r="C99" s="191">
        <f t="shared" si="14"/>
        <v>749.77511399999992</v>
      </c>
      <c r="D99" s="191">
        <f t="shared" si="15"/>
        <v>249.92503799999997</v>
      </c>
    </row>
    <row r="100" spans="1:16">
      <c r="A100" s="11" t="s">
        <v>184</v>
      </c>
      <c r="B100" s="187">
        <v>8563.7199999999993</v>
      </c>
      <c r="C100" s="191">
        <f t="shared" si="14"/>
        <v>565.79303400000003</v>
      </c>
      <c r="D100" s="191">
        <f t="shared" si="15"/>
        <v>188.597678</v>
      </c>
    </row>
    <row r="101" spans="1:16">
      <c r="A101" s="11" t="s">
        <v>186</v>
      </c>
      <c r="B101" s="187">
        <v>7472.82</v>
      </c>
      <c r="C101" s="191">
        <f t="shared" si="14"/>
        <v>669.54194999999993</v>
      </c>
      <c r="D101" s="191">
        <f t="shared" si="15"/>
        <v>223.18064999999999</v>
      </c>
    </row>
    <row r="102" spans="1:16">
      <c r="A102" s="11" t="s">
        <v>188</v>
      </c>
      <c r="B102" s="187">
        <v>8601.07</v>
      </c>
      <c r="C102" s="191">
        <f>(B100*0.06)*1.13</f>
        <v>580.62021599999991</v>
      </c>
      <c r="D102" s="191">
        <f>(B100*0.02)*1.13</f>
        <v>193.54007199999995</v>
      </c>
    </row>
    <row r="103" spans="1:16">
      <c r="A103" s="334" t="s">
        <v>192</v>
      </c>
      <c r="B103" s="328">
        <v>9769.83</v>
      </c>
      <c r="C103" s="191">
        <f>(B101*0.06)*1.13</f>
        <v>506.65719599999994</v>
      </c>
      <c r="D103" s="191">
        <f>(B101*0.02)*1.13</f>
        <v>168.88573199999999</v>
      </c>
    </row>
    <row r="104" spans="1:16">
      <c r="A104" s="353" t="s">
        <v>193</v>
      </c>
      <c r="B104" s="350">
        <v>8235.0999999999985</v>
      </c>
      <c r="C104" s="191">
        <f>(B103*0.06)*1.13</f>
        <v>662.39447399999995</v>
      </c>
      <c r="D104" s="191">
        <f>(B103*0.02)*1.13</f>
        <v>220.79815799999997</v>
      </c>
    </row>
    <row r="105" spans="1:16">
      <c r="A105" s="334" t="s">
        <v>194</v>
      </c>
      <c r="B105" s="328">
        <v>9724.81</v>
      </c>
      <c r="C105" s="191">
        <v>659.3421179999998</v>
      </c>
      <c r="D105" s="191">
        <v>219.78070599999995</v>
      </c>
    </row>
    <row r="106" spans="1:16">
      <c r="A106" s="23" t="s">
        <v>482</v>
      </c>
      <c r="B106" s="354">
        <v>8733.59</v>
      </c>
      <c r="C106" s="191">
        <f t="shared" ref="C106" si="16">(B106*0.06)*1.13</f>
        <v>592.13740199999995</v>
      </c>
      <c r="D106" s="191">
        <f t="shared" ref="D106" si="17">(B106*0.02)*1.13</f>
        <v>197.37913399999999</v>
      </c>
    </row>
    <row r="107" spans="1:16">
      <c r="A107" s="334"/>
      <c r="B107" s="328"/>
      <c r="C107" s="191"/>
      <c r="D107" s="191"/>
    </row>
    <row r="108" spans="1:16">
      <c r="A108" s="353"/>
      <c r="B108" s="350"/>
      <c r="C108" s="191"/>
      <c r="D108" s="191"/>
    </row>
  </sheetData>
  <mergeCells count="1">
    <mergeCell ref="A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107"/>
  <sheetViews>
    <sheetView topLeftCell="A9" zoomScaleNormal="100" workbookViewId="0">
      <pane ySplit="10" topLeftCell="A75" activePane="bottomLeft" state="frozen"/>
      <selection activeCell="A9" sqref="A9"/>
      <selection pane="bottomLeft" activeCell="E95" sqref="E95"/>
    </sheetView>
  </sheetViews>
  <sheetFormatPr defaultRowHeight="14.4"/>
  <cols>
    <col min="1" max="1" width="39.6640625" customWidth="1"/>
    <col min="2" max="2" width="21" style="68" customWidth="1"/>
    <col min="3" max="3" width="15.109375" customWidth="1"/>
    <col min="4" max="6" width="16.44140625" customWidth="1"/>
    <col min="7" max="7" width="18.33203125" customWidth="1"/>
    <col min="8" max="8" width="19.109375" customWidth="1"/>
    <col min="9" max="9" width="16.6640625" customWidth="1"/>
    <col min="10" max="10" width="17.109375" customWidth="1"/>
    <col min="11" max="11" width="23.5546875" customWidth="1"/>
    <col min="12" max="12" width="26" customWidth="1"/>
    <col min="13" max="13" width="19" customWidth="1"/>
    <col min="14" max="16" width="24.5546875" customWidth="1"/>
    <col min="17" max="17" width="16.33203125" customWidth="1"/>
    <col min="18" max="18" width="17.109375" customWidth="1"/>
  </cols>
  <sheetData>
    <row r="1" spans="1:18">
      <c r="A1" s="374" t="s">
        <v>415</v>
      </c>
      <c r="B1" s="364"/>
      <c r="C1" s="364"/>
      <c r="D1" s="365"/>
      <c r="E1" s="162"/>
      <c r="F1" s="162"/>
    </row>
    <row r="2" spans="1:18" ht="27.6" customHeight="1">
      <c r="A2" s="103" t="s">
        <v>0</v>
      </c>
      <c r="B2" s="8" t="s">
        <v>337</v>
      </c>
      <c r="C2" s="8" t="s">
        <v>338</v>
      </c>
      <c r="D2" s="8" t="s">
        <v>339</v>
      </c>
      <c r="E2" s="163"/>
      <c r="F2" s="163"/>
    </row>
    <row r="3" spans="1:18">
      <c r="A3" s="2" t="s">
        <v>74</v>
      </c>
      <c r="B3" s="106"/>
      <c r="C3" s="105">
        <f t="shared" ref="C3:C34" si="0">(B3*0.06)*1.13</f>
        <v>0</v>
      </c>
      <c r="D3" s="105">
        <f t="shared" ref="D3:D34" si="1">(B3*0.02)*1.13</f>
        <v>0</v>
      </c>
      <c r="E3" s="158"/>
      <c r="F3" s="158"/>
    </row>
    <row r="4" spans="1:18">
      <c r="A4" s="2" t="s">
        <v>75</v>
      </c>
      <c r="B4" s="106">
        <v>2261.8200000000002</v>
      </c>
      <c r="C4" s="105">
        <f t="shared" si="0"/>
        <v>153.35139599999999</v>
      </c>
      <c r="D4" s="105">
        <f t="shared" si="1"/>
        <v>51.117131999999998</v>
      </c>
      <c r="E4" s="158"/>
      <c r="F4" s="158"/>
    </row>
    <row r="5" spans="1:18">
      <c r="A5" s="2" t="s">
        <v>76</v>
      </c>
      <c r="B5" s="106">
        <v>5128.3599999999997</v>
      </c>
      <c r="C5" s="105">
        <f t="shared" si="0"/>
        <v>347.70280799999995</v>
      </c>
      <c r="D5" s="105">
        <f t="shared" si="1"/>
        <v>115.90093599999999</v>
      </c>
      <c r="E5" s="158"/>
      <c r="F5" s="158"/>
    </row>
    <row r="6" spans="1:18" ht="15" customHeight="1" thickBot="1">
      <c r="A6" s="2" t="s">
        <v>77</v>
      </c>
      <c r="B6" s="106">
        <v>6350.06</v>
      </c>
      <c r="C6" s="105">
        <f t="shared" si="0"/>
        <v>430.53406799999999</v>
      </c>
      <c r="D6" s="105">
        <f t="shared" si="1"/>
        <v>143.51135600000001</v>
      </c>
      <c r="E6" s="158"/>
      <c r="F6" s="158"/>
    </row>
    <row r="7" spans="1:18" ht="18" customHeight="1" thickBot="1">
      <c r="A7" s="2" t="s">
        <v>78</v>
      </c>
      <c r="B7" s="106">
        <v>7297.6</v>
      </c>
      <c r="C7" s="105">
        <f t="shared" si="0"/>
        <v>494.77727999999996</v>
      </c>
      <c r="D7" s="105">
        <f t="shared" si="1"/>
        <v>164.92575999999997</v>
      </c>
      <c r="E7" s="158"/>
      <c r="F7" s="158"/>
      <c r="H7" s="121"/>
      <c r="I7" s="122"/>
      <c r="J7" s="123"/>
    </row>
    <row r="8" spans="1:18" ht="18" customHeight="1" thickBot="1">
      <c r="A8" s="2" t="s">
        <v>79</v>
      </c>
      <c r="B8" s="106">
        <v>6278.52</v>
      </c>
      <c r="C8" s="105">
        <f t="shared" si="0"/>
        <v>425.68365599999998</v>
      </c>
      <c r="D8" s="105">
        <f t="shared" si="1"/>
        <v>141.894552</v>
      </c>
      <c r="E8" s="158"/>
      <c r="F8" s="158"/>
      <c r="H8" s="126"/>
      <c r="I8" s="127"/>
      <c r="J8" s="128"/>
    </row>
    <row r="9" spans="1:18" ht="18" customHeight="1" thickBot="1">
      <c r="A9" s="2" t="s">
        <v>85</v>
      </c>
      <c r="B9" s="106">
        <v>7318.83</v>
      </c>
      <c r="C9" s="105">
        <f t="shared" si="0"/>
        <v>496.21667399999995</v>
      </c>
      <c r="D9" s="105">
        <f t="shared" si="1"/>
        <v>165.40555799999998</v>
      </c>
      <c r="E9" s="158"/>
      <c r="F9" s="158"/>
      <c r="H9" s="129"/>
      <c r="I9" s="130"/>
      <c r="J9" s="131"/>
    </row>
    <row r="10" spans="1:18">
      <c r="A10" s="2" t="s">
        <v>86</v>
      </c>
      <c r="B10" s="106">
        <v>8909.2900000000009</v>
      </c>
      <c r="C10" s="105">
        <f t="shared" si="0"/>
        <v>604.04986199999996</v>
      </c>
      <c r="D10" s="105">
        <f t="shared" si="1"/>
        <v>201.34995400000003</v>
      </c>
      <c r="E10" s="158"/>
      <c r="F10" s="158"/>
      <c r="J10" s="13"/>
    </row>
    <row r="11" spans="1:18">
      <c r="A11" s="2" t="s">
        <v>87</v>
      </c>
      <c r="B11" s="106">
        <v>9881.16</v>
      </c>
      <c r="C11" s="105">
        <f t="shared" si="0"/>
        <v>669.94264799999996</v>
      </c>
      <c r="D11" s="105">
        <f t="shared" si="1"/>
        <v>223.31421599999999</v>
      </c>
      <c r="E11" s="158"/>
      <c r="F11" s="158"/>
    </row>
    <row r="12" spans="1:18" ht="17.399999999999999" customHeight="1">
      <c r="A12" s="2" t="s">
        <v>88</v>
      </c>
      <c r="B12" s="106">
        <v>10740.81</v>
      </c>
      <c r="C12" s="105">
        <f t="shared" si="0"/>
        <v>728.22691799999984</v>
      </c>
      <c r="D12" s="105">
        <f t="shared" si="1"/>
        <v>242.74230599999996</v>
      </c>
      <c r="E12" s="158"/>
      <c r="F12" s="158"/>
      <c r="G12" s="139">
        <v>3794.73</v>
      </c>
      <c r="H12" s="139">
        <v>5063.33</v>
      </c>
      <c r="I12" s="139">
        <v>172.65</v>
      </c>
      <c r="J12" s="139">
        <v>1710.1</v>
      </c>
    </row>
    <row r="13" spans="1:18" ht="17.399999999999999" customHeight="1">
      <c r="A13" s="27" t="s">
        <v>89</v>
      </c>
      <c r="B13" s="113">
        <v>11526.52</v>
      </c>
      <c r="C13" s="108">
        <f t="shared" si="0"/>
        <v>781.49805599999991</v>
      </c>
      <c r="D13" s="108">
        <f t="shared" si="1"/>
        <v>260.49935199999999</v>
      </c>
      <c r="E13" s="158"/>
      <c r="F13" s="158"/>
      <c r="G13" s="139">
        <v>5010.3599999999997</v>
      </c>
      <c r="H13" s="139">
        <v>5289.89</v>
      </c>
      <c r="I13" s="139">
        <v>137.1</v>
      </c>
      <c r="J13" s="139">
        <v>1089.17</v>
      </c>
    </row>
    <row r="14" spans="1:18">
      <c r="A14" s="2" t="s">
        <v>90</v>
      </c>
      <c r="B14" s="106">
        <v>7725.15</v>
      </c>
      <c r="C14" s="105">
        <f t="shared" si="0"/>
        <v>523.7651699999999</v>
      </c>
      <c r="D14" s="105">
        <f t="shared" si="1"/>
        <v>174.58838999999998</v>
      </c>
      <c r="E14" s="105"/>
      <c r="F14" s="105"/>
      <c r="G14" s="56" t="s">
        <v>80</v>
      </c>
      <c r="H14" s="56" t="s">
        <v>81</v>
      </c>
      <c r="I14" s="56" t="s">
        <v>82</v>
      </c>
      <c r="J14" s="56" t="s">
        <v>83</v>
      </c>
      <c r="K14" s="56" t="s">
        <v>416</v>
      </c>
      <c r="L14" s="56" t="s">
        <v>417</v>
      </c>
      <c r="M14" s="56" t="s">
        <v>418</v>
      </c>
      <c r="N14" s="56" t="s">
        <v>107</v>
      </c>
      <c r="O14" s="56"/>
      <c r="P14" s="56"/>
      <c r="Q14" s="56"/>
      <c r="R14" s="56"/>
    </row>
    <row r="15" spans="1:18">
      <c r="A15" s="2" t="s">
        <v>93</v>
      </c>
      <c r="B15" s="106">
        <v>10708.9</v>
      </c>
      <c r="C15" s="105">
        <f t="shared" si="0"/>
        <v>726.06341999999995</v>
      </c>
      <c r="D15" s="105">
        <f t="shared" si="1"/>
        <v>242.02113999999997</v>
      </c>
      <c r="E15" s="105"/>
      <c r="F15" s="105"/>
      <c r="G15" s="106">
        <v>4115.66</v>
      </c>
      <c r="H15" s="140">
        <v>141.97999999999999</v>
      </c>
      <c r="I15" s="140">
        <v>618.91</v>
      </c>
      <c r="J15" s="140">
        <v>6167.33</v>
      </c>
      <c r="K15" s="140">
        <v>6498</v>
      </c>
      <c r="L15" s="143">
        <v>665.65</v>
      </c>
      <c r="M15" s="140">
        <f>K15-L15</f>
        <v>5832.35</v>
      </c>
      <c r="N15" s="140">
        <f>SUM(G15,H15,I15,M15)</f>
        <v>10708.9</v>
      </c>
      <c r="O15" s="140"/>
      <c r="P15" s="140"/>
      <c r="Q15" s="56"/>
      <c r="R15" s="56"/>
    </row>
    <row r="16" spans="1:18">
      <c r="A16" s="2" t="s">
        <v>94</v>
      </c>
      <c r="B16" s="106">
        <v>9536.83</v>
      </c>
      <c r="C16" s="105">
        <f t="shared" si="0"/>
        <v>646.59707399999991</v>
      </c>
      <c r="D16" s="105">
        <f t="shared" si="1"/>
        <v>215.53235799999999</v>
      </c>
      <c r="E16" s="105"/>
      <c r="F16" s="105"/>
      <c r="G16" s="140">
        <v>3288.21</v>
      </c>
      <c r="H16" s="140">
        <v>360.78</v>
      </c>
      <c r="I16" s="140">
        <v>922.87</v>
      </c>
      <c r="J16" s="140">
        <v>5886.81</v>
      </c>
      <c r="K16" s="143">
        <v>5487.98</v>
      </c>
      <c r="L16" s="145">
        <v>523.01</v>
      </c>
      <c r="M16" s="140">
        <f>K16-L16</f>
        <v>4964.9699999999993</v>
      </c>
      <c r="N16" s="140">
        <f>SUM(G16,H16,I16,M16)</f>
        <v>9536.8299999999981</v>
      </c>
      <c r="O16" s="140"/>
      <c r="P16" s="140"/>
      <c r="Q16" s="56"/>
      <c r="R16" s="56"/>
    </row>
    <row r="17" spans="1:18">
      <c r="A17" s="2" t="s">
        <v>95</v>
      </c>
      <c r="B17" s="106">
        <v>10031.299999999999</v>
      </c>
      <c r="C17" s="105">
        <f t="shared" si="0"/>
        <v>680.12213999999983</v>
      </c>
      <c r="D17" s="105">
        <f t="shared" si="1"/>
        <v>226.70737999999994</v>
      </c>
      <c r="E17" s="105"/>
      <c r="F17" s="105"/>
      <c r="G17" s="140">
        <v>3134.86</v>
      </c>
      <c r="H17" s="140">
        <v>116.27</v>
      </c>
      <c r="I17" s="140">
        <v>892.31</v>
      </c>
      <c r="J17" s="140">
        <v>6608.49</v>
      </c>
      <c r="K17" s="145">
        <v>6546.71</v>
      </c>
      <c r="L17" s="148">
        <v>658.85</v>
      </c>
      <c r="M17" s="140">
        <f>K17-L17</f>
        <v>5887.86</v>
      </c>
      <c r="N17" s="140">
        <f>SUM(G17,H17,I17,M17)</f>
        <v>10031.299999999999</v>
      </c>
      <c r="O17" s="140"/>
      <c r="P17" s="140"/>
      <c r="Q17" s="56"/>
      <c r="R17" s="56"/>
    </row>
    <row r="18" spans="1:18">
      <c r="A18" s="2"/>
      <c r="B18" s="106"/>
      <c r="C18" s="105">
        <f t="shared" si="0"/>
        <v>0</v>
      </c>
      <c r="D18" s="105">
        <f t="shared" si="1"/>
        <v>0</v>
      </c>
      <c r="E18" s="105" t="s">
        <v>100</v>
      </c>
      <c r="F18" s="197" t="s">
        <v>101</v>
      </c>
      <c r="G18" s="170" t="s">
        <v>80</v>
      </c>
      <c r="H18" s="170" t="s">
        <v>81</v>
      </c>
      <c r="I18" s="170" t="s">
        <v>82</v>
      </c>
      <c r="J18" s="170" t="s">
        <v>83</v>
      </c>
      <c r="K18" s="170" t="s">
        <v>102</v>
      </c>
      <c r="L18" s="170" t="s">
        <v>103</v>
      </c>
      <c r="M18" s="170" t="s">
        <v>419</v>
      </c>
      <c r="N18" s="170" t="s">
        <v>420</v>
      </c>
      <c r="O18" s="170" t="s">
        <v>421</v>
      </c>
      <c r="P18" s="170" t="s">
        <v>422</v>
      </c>
      <c r="Q18" s="170" t="s">
        <v>106</v>
      </c>
      <c r="R18" s="170" t="s">
        <v>107</v>
      </c>
    </row>
    <row r="19" spans="1:18">
      <c r="A19" s="2" t="s">
        <v>96</v>
      </c>
      <c r="B19" s="106">
        <v>9989.9000000000015</v>
      </c>
      <c r="C19" s="105">
        <f t="shared" si="0"/>
        <v>677.31522000000007</v>
      </c>
      <c r="D19" s="105">
        <f t="shared" si="1"/>
        <v>225.77174000000002</v>
      </c>
      <c r="E19" s="105"/>
      <c r="F19" s="105"/>
      <c r="G19" s="106">
        <v>3046.85</v>
      </c>
      <c r="H19" s="106">
        <v>191.24</v>
      </c>
      <c r="I19" s="106">
        <v>1554.46</v>
      </c>
      <c r="J19" s="106">
        <v>6048.37</v>
      </c>
      <c r="K19" s="159">
        <v>5985.12</v>
      </c>
      <c r="L19" s="161">
        <v>764.08</v>
      </c>
      <c r="M19" s="106">
        <v>0</v>
      </c>
      <c r="N19" s="160">
        <v>23.69</v>
      </c>
      <c r="O19" s="160"/>
      <c r="P19" s="160"/>
      <c r="Q19" s="140">
        <f t="shared" ref="Q19:Q54" si="2">((K19-L19)+(M19-N19))</f>
        <v>5197.3500000000004</v>
      </c>
      <c r="R19" s="140">
        <f t="shared" ref="R19:R50" si="3">SUM(G19,H19,I19,Q19)</f>
        <v>9989.9000000000015</v>
      </c>
    </row>
    <row r="20" spans="1:18">
      <c r="A20" s="2" t="s">
        <v>97</v>
      </c>
      <c r="B20" s="106">
        <v>10366.24</v>
      </c>
      <c r="C20" s="105">
        <f t="shared" si="0"/>
        <v>702.83107199999984</v>
      </c>
      <c r="D20" s="105">
        <f t="shared" si="1"/>
        <v>234.27702399999998</v>
      </c>
      <c r="E20" s="105"/>
      <c r="F20" s="105"/>
      <c r="G20" s="106">
        <v>3813.2</v>
      </c>
      <c r="H20" s="106">
        <v>258.86</v>
      </c>
      <c r="I20" s="106">
        <v>1318.63</v>
      </c>
      <c r="J20" s="106">
        <v>5465.37</v>
      </c>
      <c r="K20" s="159">
        <v>5711.49</v>
      </c>
      <c r="L20" s="161">
        <v>726.31</v>
      </c>
      <c r="M20" s="56">
        <v>0</v>
      </c>
      <c r="N20" s="161">
        <v>9.6300000000000008</v>
      </c>
      <c r="O20" s="161"/>
      <c r="P20" s="161"/>
      <c r="Q20" s="140">
        <f t="shared" si="2"/>
        <v>4975.55</v>
      </c>
      <c r="R20" s="140">
        <f t="shared" si="3"/>
        <v>10366.240000000002</v>
      </c>
    </row>
    <row r="21" spans="1:18">
      <c r="A21" s="2" t="s">
        <v>98</v>
      </c>
      <c r="B21" s="106">
        <v>11016.59</v>
      </c>
      <c r="C21" s="105">
        <f t="shared" si="0"/>
        <v>746.924802</v>
      </c>
      <c r="D21" s="105">
        <f t="shared" si="1"/>
        <v>248.97493399999999</v>
      </c>
      <c r="E21" s="105"/>
      <c r="F21" s="105"/>
      <c r="G21" s="106">
        <v>3713.38</v>
      </c>
      <c r="H21" s="106">
        <v>144.94</v>
      </c>
      <c r="I21" s="106">
        <v>1470.88</v>
      </c>
      <c r="J21" s="106">
        <v>6566.33</v>
      </c>
      <c r="K21" s="145">
        <v>6441.86</v>
      </c>
      <c r="L21" s="148">
        <v>749.27</v>
      </c>
      <c r="M21" s="56">
        <v>0</v>
      </c>
      <c r="N21" s="145">
        <v>5.2</v>
      </c>
      <c r="O21" s="145"/>
      <c r="P21" s="145"/>
      <c r="Q21" s="140">
        <f t="shared" si="2"/>
        <v>5687.39</v>
      </c>
      <c r="R21" s="140">
        <f t="shared" si="3"/>
        <v>11016.59</v>
      </c>
    </row>
    <row r="22" spans="1:18" s="68" customFormat="1">
      <c r="A22" s="2" t="s">
        <v>99</v>
      </c>
      <c r="B22" s="106">
        <v>10510.49</v>
      </c>
      <c r="C22" s="105">
        <f t="shared" si="0"/>
        <v>712.61122199999988</v>
      </c>
      <c r="D22" s="105">
        <f t="shared" si="1"/>
        <v>237.53707399999999</v>
      </c>
      <c r="E22" s="105"/>
      <c r="F22" s="105"/>
      <c r="G22" s="106">
        <v>3365.12</v>
      </c>
      <c r="H22" s="106">
        <v>325.87</v>
      </c>
      <c r="I22" s="106">
        <v>1385.13</v>
      </c>
      <c r="J22" s="106">
        <v>6210.1</v>
      </c>
      <c r="K22" s="143">
        <v>6477.34</v>
      </c>
      <c r="L22" s="148">
        <v>1033.5999999999999</v>
      </c>
      <c r="M22" s="106">
        <v>0</v>
      </c>
      <c r="N22" s="148">
        <v>9.3699999999999992</v>
      </c>
      <c r="O22" s="148"/>
      <c r="P22" s="148"/>
      <c r="Q22" s="140">
        <f t="shared" si="2"/>
        <v>5434.37</v>
      </c>
      <c r="R22" s="140">
        <f t="shared" si="3"/>
        <v>10510.49</v>
      </c>
    </row>
    <row r="23" spans="1:18" s="68" customFormat="1">
      <c r="A23" s="2" t="s">
        <v>108</v>
      </c>
      <c r="B23" s="106">
        <v>9931.58</v>
      </c>
      <c r="C23" s="105">
        <f t="shared" si="0"/>
        <v>673.36112399999979</v>
      </c>
      <c r="D23" s="105">
        <f t="shared" si="1"/>
        <v>224.45370799999998</v>
      </c>
      <c r="E23" s="105"/>
      <c r="F23" s="105"/>
      <c r="G23" s="106">
        <v>2763.72</v>
      </c>
      <c r="H23" s="106">
        <v>141.19999999999999</v>
      </c>
      <c r="I23" s="106">
        <v>1103.8699999999999</v>
      </c>
      <c r="J23" s="106">
        <v>6882.12</v>
      </c>
      <c r="K23" s="145">
        <v>6856.92</v>
      </c>
      <c r="L23" s="145">
        <v>919.06</v>
      </c>
      <c r="M23" s="106">
        <v>0</v>
      </c>
      <c r="N23" s="145">
        <v>15.07</v>
      </c>
      <c r="O23" s="145"/>
      <c r="P23" s="145"/>
      <c r="Q23" s="140">
        <f t="shared" si="2"/>
        <v>5922.7900000000009</v>
      </c>
      <c r="R23" s="140">
        <f t="shared" si="3"/>
        <v>9931.58</v>
      </c>
    </row>
    <row r="24" spans="1:18" s="68" customFormat="1">
      <c r="A24" s="2" t="s">
        <v>109</v>
      </c>
      <c r="B24" s="106">
        <v>10702.22</v>
      </c>
      <c r="C24" s="105">
        <f t="shared" si="0"/>
        <v>725.61051599999996</v>
      </c>
      <c r="D24" s="105">
        <f t="shared" si="1"/>
        <v>241.87017199999997</v>
      </c>
      <c r="E24" s="105"/>
      <c r="F24" s="105"/>
      <c r="G24" s="106">
        <v>3579.99</v>
      </c>
      <c r="H24" s="106">
        <v>241.88</v>
      </c>
      <c r="I24" s="106">
        <v>1197.78</v>
      </c>
      <c r="J24" s="106">
        <v>6516.21</v>
      </c>
      <c r="K24" s="143">
        <v>6558.71</v>
      </c>
      <c r="L24" s="145">
        <v>857.84</v>
      </c>
      <c r="M24" s="106">
        <v>0</v>
      </c>
      <c r="N24" s="145">
        <v>18.3</v>
      </c>
      <c r="O24" s="145"/>
      <c r="P24" s="145"/>
      <c r="Q24" s="140">
        <f t="shared" si="2"/>
        <v>5682.57</v>
      </c>
      <c r="R24" s="140">
        <f t="shared" si="3"/>
        <v>10702.22</v>
      </c>
    </row>
    <row r="25" spans="1:18" s="68" customFormat="1">
      <c r="A25" s="2" t="s">
        <v>110</v>
      </c>
      <c r="B25" s="106">
        <v>12097.52</v>
      </c>
      <c r="C25" s="105">
        <f t="shared" si="0"/>
        <v>820.2118559999999</v>
      </c>
      <c r="D25" s="105">
        <f t="shared" si="1"/>
        <v>273.403952</v>
      </c>
      <c r="E25" s="105"/>
      <c r="F25" s="105"/>
      <c r="G25" s="106">
        <v>4509.91</v>
      </c>
      <c r="H25" s="106">
        <v>419.45</v>
      </c>
      <c r="I25" s="106">
        <v>1168.5999999999999</v>
      </c>
      <c r="J25" s="106">
        <v>7059.11</v>
      </c>
      <c r="K25" s="143">
        <v>7134.45</v>
      </c>
      <c r="L25" s="145">
        <v>1110.23</v>
      </c>
      <c r="M25" s="106">
        <v>0</v>
      </c>
      <c r="N25" s="143">
        <v>24.66</v>
      </c>
      <c r="O25" s="143"/>
      <c r="P25" s="143"/>
      <c r="Q25" s="140">
        <f t="shared" si="2"/>
        <v>5999.5599999999995</v>
      </c>
      <c r="R25" s="140">
        <f t="shared" si="3"/>
        <v>12097.519999999999</v>
      </c>
    </row>
    <row r="26" spans="1:18" s="68" customFormat="1">
      <c r="A26" s="173" t="s">
        <v>111</v>
      </c>
      <c r="B26" s="106">
        <v>12606.67</v>
      </c>
      <c r="C26" s="105">
        <f t="shared" si="0"/>
        <v>854.73222599999986</v>
      </c>
      <c r="D26" s="105">
        <f t="shared" si="1"/>
        <v>284.91074199999997</v>
      </c>
      <c r="E26" s="105"/>
      <c r="F26" s="105"/>
      <c r="G26" s="106">
        <v>3955.85</v>
      </c>
      <c r="H26" s="106">
        <v>247.58</v>
      </c>
      <c r="I26" s="106">
        <v>1820.72</v>
      </c>
      <c r="J26" s="106">
        <v>7729.27</v>
      </c>
      <c r="K26" s="143">
        <v>7752.39</v>
      </c>
      <c r="L26" s="143">
        <v>1004.83</v>
      </c>
      <c r="M26" s="222">
        <v>194.23</v>
      </c>
      <c r="N26" s="143">
        <v>359.27</v>
      </c>
      <c r="O26" s="143"/>
      <c r="P26" s="143"/>
      <c r="Q26" s="140">
        <f t="shared" si="2"/>
        <v>6582.52</v>
      </c>
      <c r="R26" s="140">
        <f t="shared" si="3"/>
        <v>12606.670000000002</v>
      </c>
    </row>
    <row r="27" spans="1:18" s="68" customFormat="1">
      <c r="A27" s="173" t="s">
        <v>112</v>
      </c>
      <c r="B27" s="106">
        <f>(10523.76 - 620.37)</f>
        <v>9903.39</v>
      </c>
      <c r="C27" s="105">
        <f t="shared" si="0"/>
        <v>671.44984199999988</v>
      </c>
      <c r="D27" s="105">
        <f t="shared" si="1"/>
        <v>223.81661399999999</v>
      </c>
      <c r="E27" s="105"/>
      <c r="F27" s="105"/>
      <c r="G27" s="106">
        <v>3779.47</v>
      </c>
      <c r="H27" s="106">
        <v>149.6</v>
      </c>
      <c r="I27" s="106">
        <v>1433.27</v>
      </c>
      <c r="J27" s="106">
        <v>5337.88</v>
      </c>
      <c r="K27" s="143">
        <v>5351.37</v>
      </c>
      <c r="L27" s="145">
        <v>153.5</v>
      </c>
      <c r="M27" s="143">
        <v>0</v>
      </c>
      <c r="N27" s="143">
        <v>36.450000000000003</v>
      </c>
      <c r="O27" s="143"/>
      <c r="P27" s="143"/>
      <c r="Q27" s="140">
        <f t="shared" si="2"/>
        <v>5161.42</v>
      </c>
      <c r="R27" s="140">
        <f t="shared" si="3"/>
        <v>10523.76</v>
      </c>
    </row>
    <row r="28" spans="1:18" s="68" customFormat="1">
      <c r="A28" s="173" t="s">
        <v>113</v>
      </c>
      <c r="B28" s="106">
        <v>11452.13</v>
      </c>
      <c r="C28" s="105">
        <f t="shared" si="0"/>
        <v>776.45441399999993</v>
      </c>
      <c r="D28" s="105">
        <f t="shared" si="1"/>
        <v>258.81813799999998</v>
      </c>
      <c r="E28" s="105"/>
      <c r="F28" s="105"/>
      <c r="G28" s="106">
        <v>3535.88</v>
      </c>
      <c r="H28" s="106">
        <v>330.28</v>
      </c>
      <c r="I28" s="106">
        <v>1380.22</v>
      </c>
      <c r="J28" s="106">
        <v>6641.72</v>
      </c>
      <c r="K28" s="143">
        <v>6639.96</v>
      </c>
      <c r="L28" s="145">
        <v>437.83</v>
      </c>
      <c r="M28" s="145">
        <v>29.37</v>
      </c>
      <c r="N28" s="145">
        <v>25.75</v>
      </c>
      <c r="O28" s="145"/>
      <c r="P28" s="145"/>
      <c r="Q28" s="140">
        <f t="shared" si="2"/>
        <v>6205.75</v>
      </c>
      <c r="R28" s="140">
        <f t="shared" si="3"/>
        <v>11452.130000000001</v>
      </c>
    </row>
    <row r="29" spans="1:18" s="68" customFormat="1">
      <c r="A29" s="173" t="s">
        <v>114</v>
      </c>
      <c r="B29" s="106">
        <v>11997.78</v>
      </c>
      <c r="C29" s="105">
        <f t="shared" si="0"/>
        <v>813.44948399999998</v>
      </c>
      <c r="D29" s="105">
        <f t="shared" si="1"/>
        <v>271.14982799999996</v>
      </c>
      <c r="E29" s="105"/>
      <c r="F29" s="105"/>
      <c r="G29" s="106">
        <v>3757.69</v>
      </c>
      <c r="H29" s="106">
        <v>151.19999999999999</v>
      </c>
      <c r="I29" s="106">
        <v>1978.17</v>
      </c>
      <c r="J29" s="106">
        <v>6624.85</v>
      </c>
      <c r="K29" s="143">
        <v>6589.1</v>
      </c>
      <c r="L29" s="145">
        <v>455.9</v>
      </c>
      <c r="M29" s="106">
        <v>0</v>
      </c>
      <c r="N29" s="145">
        <v>22.48</v>
      </c>
      <c r="O29" s="145"/>
      <c r="P29" s="145"/>
      <c r="Q29" s="140">
        <f t="shared" si="2"/>
        <v>6110.7200000000012</v>
      </c>
      <c r="R29" s="140">
        <f t="shared" si="3"/>
        <v>11997.78</v>
      </c>
    </row>
    <row r="30" spans="1:18" s="68" customFormat="1">
      <c r="A30" s="173" t="s">
        <v>115</v>
      </c>
      <c r="B30" s="106">
        <v>12128</v>
      </c>
      <c r="C30" s="105">
        <f t="shared" si="0"/>
        <v>822.27839999999992</v>
      </c>
      <c r="D30" s="105">
        <f t="shared" si="1"/>
        <v>274.09279999999995</v>
      </c>
      <c r="E30" s="105"/>
      <c r="F30" s="105"/>
      <c r="G30" s="106">
        <v>4046.75</v>
      </c>
      <c r="H30" s="106">
        <v>338.98</v>
      </c>
      <c r="I30" s="106">
        <v>1511.3</v>
      </c>
      <c r="J30" s="106">
        <v>6616</v>
      </c>
      <c r="K30" s="143">
        <v>6678.47</v>
      </c>
      <c r="L30" s="145">
        <v>451.43</v>
      </c>
      <c r="M30" s="143">
        <v>23.98</v>
      </c>
      <c r="N30" s="145">
        <v>20.05</v>
      </c>
      <c r="O30" s="145"/>
      <c r="P30" s="145"/>
      <c r="Q30" s="140">
        <f t="shared" si="2"/>
        <v>6230.97</v>
      </c>
      <c r="R30" s="140">
        <f t="shared" si="3"/>
        <v>12128</v>
      </c>
    </row>
    <row r="31" spans="1:18" s="68" customFormat="1">
      <c r="A31" s="173" t="s">
        <v>116</v>
      </c>
      <c r="B31" s="106">
        <v>13751.65</v>
      </c>
      <c r="C31" s="105">
        <f t="shared" si="0"/>
        <v>932.36186999999984</v>
      </c>
      <c r="D31" s="105">
        <f t="shared" si="1"/>
        <v>310.78728999999998</v>
      </c>
      <c r="E31" s="105"/>
      <c r="F31" s="142">
        <v>14143.37</v>
      </c>
      <c r="G31" s="106">
        <v>5084.33</v>
      </c>
      <c r="H31" s="106">
        <v>264.77999999999997</v>
      </c>
      <c r="I31" s="106">
        <v>1538.62</v>
      </c>
      <c r="J31" s="106">
        <v>7255.64</v>
      </c>
      <c r="K31" s="143">
        <v>7340.46</v>
      </c>
      <c r="L31" s="145">
        <v>446.72</v>
      </c>
      <c r="M31" s="106">
        <v>0</v>
      </c>
      <c r="N31" s="145">
        <v>29.82</v>
      </c>
      <c r="O31" s="145"/>
      <c r="P31" s="145"/>
      <c r="Q31" s="140">
        <f t="shared" si="2"/>
        <v>6863.92</v>
      </c>
      <c r="R31" s="140">
        <f t="shared" si="3"/>
        <v>13751.65</v>
      </c>
    </row>
    <row r="32" spans="1:18" s="68" customFormat="1">
      <c r="A32" s="173" t="s">
        <v>117</v>
      </c>
      <c r="B32" s="106">
        <v>13226.86</v>
      </c>
      <c r="C32" s="105">
        <f t="shared" si="0"/>
        <v>896.7811079999999</v>
      </c>
      <c r="D32" s="105">
        <f t="shared" si="1"/>
        <v>298.92703600000004</v>
      </c>
      <c r="E32" s="105"/>
      <c r="F32" s="142">
        <v>13618.49</v>
      </c>
      <c r="G32" s="106">
        <v>4056.91</v>
      </c>
      <c r="H32" s="106">
        <v>375.69</v>
      </c>
      <c r="I32" s="106">
        <v>2037.02</v>
      </c>
      <c r="J32" s="106">
        <v>7148.87</v>
      </c>
      <c r="K32" s="143">
        <v>7294.01</v>
      </c>
      <c r="L32" s="145">
        <v>517.46</v>
      </c>
      <c r="M32" s="106">
        <v>0</v>
      </c>
      <c r="N32" s="145">
        <v>19.309999999999999</v>
      </c>
      <c r="O32" s="145"/>
      <c r="P32" s="145"/>
      <c r="Q32" s="140">
        <f t="shared" si="2"/>
        <v>6757.24</v>
      </c>
      <c r="R32" s="140">
        <f t="shared" si="3"/>
        <v>13226.859999999999</v>
      </c>
    </row>
    <row r="33" spans="1:18" s="68" customFormat="1">
      <c r="A33" s="173" t="s">
        <v>118</v>
      </c>
      <c r="B33" s="106">
        <v>12254.64</v>
      </c>
      <c r="C33" s="105">
        <f t="shared" si="0"/>
        <v>830.86459199999979</v>
      </c>
      <c r="D33" s="105">
        <f t="shared" si="1"/>
        <v>276.95486399999993</v>
      </c>
      <c r="E33" s="105"/>
      <c r="F33" s="142">
        <v>12877.68</v>
      </c>
      <c r="G33" s="106">
        <v>4131.83</v>
      </c>
      <c r="H33" s="106">
        <v>369.6</v>
      </c>
      <c r="I33" s="106">
        <v>1855.22</v>
      </c>
      <c r="J33" s="106">
        <v>6521.03</v>
      </c>
      <c r="K33" s="145">
        <v>6362.97</v>
      </c>
      <c r="L33" s="145">
        <v>441.1</v>
      </c>
      <c r="M33" s="106">
        <v>0</v>
      </c>
      <c r="N33" s="145">
        <v>23.88</v>
      </c>
      <c r="O33" s="145"/>
      <c r="P33" s="145"/>
      <c r="Q33" s="140">
        <f t="shared" si="2"/>
        <v>5897.99</v>
      </c>
      <c r="R33" s="140">
        <f t="shared" si="3"/>
        <v>12254.64</v>
      </c>
    </row>
    <row r="34" spans="1:18" s="68" customFormat="1">
      <c r="A34" s="173" t="s">
        <v>119</v>
      </c>
      <c r="B34" s="106">
        <v>13263.23</v>
      </c>
      <c r="C34" s="105">
        <f t="shared" si="0"/>
        <v>899.24699399999986</v>
      </c>
      <c r="D34" s="105">
        <f t="shared" si="1"/>
        <v>299.74899799999992</v>
      </c>
      <c r="E34" s="105"/>
      <c r="F34" s="142">
        <v>13643.37</v>
      </c>
      <c r="G34" s="106">
        <v>3511.71</v>
      </c>
      <c r="H34" s="106">
        <v>186.97</v>
      </c>
      <c r="I34" s="106">
        <v>2082.91</v>
      </c>
      <c r="J34" s="106">
        <v>7861.78</v>
      </c>
      <c r="K34" s="145">
        <v>8006.63</v>
      </c>
      <c r="L34" s="145">
        <v>517.01</v>
      </c>
      <c r="M34" s="145">
        <v>0</v>
      </c>
      <c r="N34" s="145">
        <v>7.98</v>
      </c>
      <c r="O34" s="145"/>
      <c r="P34" s="145"/>
      <c r="Q34" s="140">
        <f t="shared" si="2"/>
        <v>7481.64</v>
      </c>
      <c r="R34" s="140">
        <f t="shared" si="3"/>
        <v>13263.23</v>
      </c>
    </row>
    <row r="35" spans="1:18" s="68" customFormat="1">
      <c r="A35" s="173" t="s">
        <v>120</v>
      </c>
      <c r="B35" s="106">
        <v>12676.84</v>
      </c>
      <c r="C35" s="105">
        <f t="shared" ref="C35:C66" si="4">(B35*0.06)*1.13</f>
        <v>859.48975199999995</v>
      </c>
      <c r="D35" s="105">
        <f t="shared" ref="D35:D66" si="5">(B35*0.02)*1.13</f>
        <v>286.49658399999998</v>
      </c>
      <c r="E35" s="105"/>
      <c r="F35" s="142">
        <v>12886.76</v>
      </c>
      <c r="G35" s="106">
        <v>4188.8999999999996</v>
      </c>
      <c r="H35" s="106">
        <v>311.05</v>
      </c>
      <c r="I35" s="106">
        <v>1659.35</v>
      </c>
      <c r="J35" s="106">
        <v>6727.46</v>
      </c>
      <c r="K35" s="145">
        <v>6929.81</v>
      </c>
      <c r="L35" s="145">
        <v>411.48</v>
      </c>
      <c r="M35" s="143">
        <v>15.58</v>
      </c>
      <c r="N35" s="145">
        <v>16.37</v>
      </c>
      <c r="O35" s="145"/>
      <c r="P35" s="145"/>
      <c r="Q35" s="140">
        <f t="shared" si="2"/>
        <v>6517.54</v>
      </c>
      <c r="R35" s="140">
        <f t="shared" si="3"/>
        <v>12676.84</v>
      </c>
    </row>
    <row r="36" spans="1:18" s="68" customFormat="1">
      <c r="A36" s="173" t="s">
        <v>121</v>
      </c>
      <c r="B36" s="106">
        <v>12445.2</v>
      </c>
      <c r="C36" s="105">
        <f t="shared" si="4"/>
        <v>843.78455999999994</v>
      </c>
      <c r="D36" s="105">
        <f t="shared" si="5"/>
        <v>281.26152000000002</v>
      </c>
      <c r="E36" s="105"/>
      <c r="F36" s="142">
        <v>12956.18</v>
      </c>
      <c r="G36" s="106">
        <v>3756.92</v>
      </c>
      <c r="H36" s="106">
        <v>162.30000000000001</v>
      </c>
      <c r="I36" s="106">
        <v>1535.15</v>
      </c>
      <c r="J36" s="106">
        <v>7501.81</v>
      </c>
      <c r="K36" s="143">
        <v>7508.04</v>
      </c>
      <c r="L36" s="145">
        <v>485.05</v>
      </c>
      <c r="M36" s="106">
        <v>0</v>
      </c>
      <c r="N36" s="145">
        <v>32.159999999999997</v>
      </c>
      <c r="O36" s="145"/>
      <c r="P36" s="145"/>
      <c r="Q36" s="140">
        <f t="shared" si="2"/>
        <v>6990.83</v>
      </c>
      <c r="R36" s="140">
        <f t="shared" si="3"/>
        <v>12445.2</v>
      </c>
    </row>
    <row r="37" spans="1:18" s="68" customFormat="1">
      <c r="A37" s="173" t="s">
        <v>122</v>
      </c>
      <c r="B37" s="106">
        <v>13944</v>
      </c>
      <c r="C37" s="105">
        <f t="shared" si="4"/>
        <v>945.40319999999986</v>
      </c>
      <c r="D37" s="105">
        <f t="shared" si="5"/>
        <v>315.13439999999997</v>
      </c>
      <c r="E37" s="105"/>
      <c r="F37" s="142">
        <v>14232.26</v>
      </c>
      <c r="G37" s="106">
        <v>4461.4799999999996</v>
      </c>
      <c r="H37" s="106">
        <v>424.48</v>
      </c>
      <c r="I37" s="106">
        <v>1637.19</v>
      </c>
      <c r="J37" s="106">
        <v>7709.11</v>
      </c>
      <c r="K37" s="143">
        <v>7863.61</v>
      </c>
      <c r="L37" s="145">
        <v>460.53</v>
      </c>
      <c r="M37" s="143">
        <v>32.770000000000003</v>
      </c>
      <c r="N37" s="145">
        <v>15</v>
      </c>
      <c r="O37" s="145"/>
      <c r="P37" s="145"/>
      <c r="Q37" s="140">
        <f t="shared" si="2"/>
        <v>7420.85</v>
      </c>
      <c r="R37" s="140">
        <f t="shared" si="3"/>
        <v>13944</v>
      </c>
    </row>
    <row r="38" spans="1:18" s="68" customFormat="1">
      <c r="A38" s="173" t="s">
        <v>123</v>
      </c>
      <c r="B38" s="106">
        <v>14173.26</v>
      </c>
      <c r="C38" s="105">
        <f t="shared" si="4"/>
        <v>960.94702799999982</v>
      </c>
      <c r="D38" s="105">
        <f t="shared" si="5"/>
        <v>320.315676</v>
      </c>
      <c r="E38" s="105"/>
      <c r="F38" s="142">
        <v>14632.14</v>
      </c>
      <c r="G38" s="106">
        <v>4942.68</v>
      </c>
      <c r="H38" s="106">
        <v>177.18</v>
      </c>
      <c r="I38" s="106">
        <v>1703.43</v>
      </c>
      <c r="J38" s="106">
        <v>7808.85</v>
      </c>
      <c r="K38" s="288">
        <v>7803.71</v>
      </c>
      <c r="L38" s="289">
        <v>448.28</v>
      </c>
      <c r="M38" s="288">
        <v>21.98</v>
      </c>
      <c r="N38" s="289">
        <v>27.44</v>
      </c>
      <c r="O38" s="289"/>
      <c r="P38" s="289"/>
      <c r="Q38" s="140">
        <f t="shared" si="2"/>
        <v>7349.97</v>
      </c>
      <c r="R38" s="140">
        <f t="shared" si="3"/>
        <v>14173.260000000002</v>
      </c>
    </row>
    <row r="39" spans="1:18" s="68" customFormat="1">
      <c r="A39" s="173" t="s">
        <v>124</v>
      </c>
      <c r="B39" s="106">
        <v>13029.85</v>
      </c>
      <c r="C39" s="105">
        <f t="shared" si="4"/>
        <v>883.42382999999984</v>
      </c>
      <c r="D39" s="105">
        <f t="shared" si="5"/>
        <v>294.47461000000004</v>
      </c>
      <c r="E39" s="105"/>
      <c r="F39" s="142">
        <v>13312.48</v>
      </c>
      <c r="G39" s="106">
        <v>4305.79</v>
      </c>
      <c r="H39" s="106">
        <v>137.19</v>
      </c>
      <c r="I39" s="106">
        <v>2011.49</v>
      </c>
      <c r="J39" s="106">
        <v>6858.01</v>
      </c>
      <c r="K39" s="143">
        <v>6806.83</v>
      </c>
      <c r="L39" s="145">
        <v>210.74</v>
      </c>
      <c r="M39" s="145">
        <v>0</v>
      </c>
      <c r="N39" s="145">
        <v>20.71</v>
      </c>
      <c r="O39" s="145"/>
      <c r="P39" s="145"/>
      <c r="Q39" s="140">
        <f t="shared" si="2"/>
        <v>6575.38</v>
      </c>
      <c r="R39" s="140">
        <f t="shared" si="3"/>
        <v>13029.849999999999</v>
      </c>
    </row>
    <row r="40" spans="1:18" s="68" customFormat="1">
      <c r="A40" s="173" t="s">
        <v>125</v>
      </c>
      <c r="B40" s="106">
        <v>15688.35</v>
      </c>
      <c r="C40" s="105">
        <f t="shared" si="4"/>
        <v>1063.6701299999997</v>
      </c>
      <c r="D40" s="105">
        <f t="shared" si="5"/>
        <v>354.55670999999995</v>
      </c>
      <c r="E40" s="105"/>
      <c r="F40" s="142">
        <v>15865.18</v>
      </c>
      <c r="G40" s="106">
        <v>5143.43</v>
      </c>
      <c r="H40" s="106">
        <v>235.46</v>
      </c>
      <c r="I40" s="106">
        <v>2363.6799999999998</v>
      </c>
      <c r="J40" s="106">
        <v>8122.61</v>
      </c>
      <c r="K40" s="143">
        <v>8164.91</v>
      </c>
      <c r="L40" s="145">
        <v>200.01</v>
      </c>
      <c r="M40" s="143">
        <v>0</v>
      </c>
      <c r="N40" s="145">
        <v>19.12</v>
      </c>
      <c r="O40" s="145"/>
      <c r="P40" s="145"/>
      <c r="Q40" s="140">
        <f t="shared" si="2"/>
        <v>7945.78</v>
      </c>
      <c r="R40" s="140">
        <f t="shared" si="3"/>
        <v>15688.349999999999</v>
      </c>
    </row>
    <row r="41" spans="1:18" s="68" customFormat="1">
      <c r="A41" s="187" t="s">
        <v>126</v>
      </c>
      <c r="B41" s="106">
        <v>13629.86</v>
      </c>
      <c r="C41" s="105">
        <f t="shared" si="4"/>
        <v>924.1045079999999</v>
      </c>
      <c r="D41" s="105">
        <f t="shared" si="5"/>
        <v>308.03483600000004</v>
      </c>
      <c r="E41" s="105"/>
      <c r="F41" s="142">
        <v>14043.35</v>
      </c>
      <c r="G41" s="106">
        <v>4001.28</v>
      </c>
      <c r="H41" s="106">
        <v>434.28</v>
      </c>
      <c r="I41" s="106">
        <v>2145.8200000000002</v>
      </c>
      <c r="J41" s="106">
        <v>7461.97</v>
      </c>
      <c r="K41" s="143">
        <v>7550.49</v>
      </c>
      <c r="L41" s="145">
        <v>494.95</v>
      </c>
      <c r="M41" s="143">
        <v>0</v>
      </c>
      <c r="N41" s="145">
        <v>7.06</v>
      </c>
      <c r="O41" s="145"/>
      <c r="P41" s="145"/>
      <c r="Q41" s="140">
        <f t="shared" si="2"/>
        <v>7048.48</v>
      </c>
      <c r="R41" s="140">
        <f t="shared" si="3"/>
        <v>13629.86</v>
      </c>
    </row>
    <row r="42" spans="1:18" s="68" customFormat="1">
      <c r="A42" s="187" t="s">
        <v>127</v>
      </c>
      <c r="B42" s="106">
        <v>13979.17</v>
      </c>
      <c r="C42" s="105">
        <f t="shared" si="4"/>
        <v>947.78772599999991</v>
      </c>
      <c r="D42" s="105">
        <f t="shared" si="5"/>
        <v>315.92924199999993</v>
      </c>
      <c r="E42" s="11">
        <v>497</v>
      </c>
      <c r="F42" s="142">
        <v>14374.45</v>
      </c>
      <c r="G42" s="106">
        <v>4204.22</v>
      </c>
      <c r="H42" s="106">
        <v>227.68</v>
      </c>
      <c r="I42" s="106">
        <v>1761.07</v>
      </c>
      <c r="J42" s="106">
        <v>8181.48</v>
      </c>
      <c r="K42" s="143">
        <v>8253.8799999999992</v>
      </c>
      <c r="L42" s="145">
        <v>489.06</v>
      </c>
      <c r="M42" s="143">
        <v>34.770000000000003</v>
      </c>
      <c r="N42" s="145">
        <v>13.39</v>
      </c>
      <c r="O42" s="145"/>
      <c r="P42" s="145"/>
      <c r="Q42" s="140">
        <f t="shared" si="2"/>
        <v>7786.1999999999989</v>
      </c>
      <c r="R42" s="140">
        <f t="shared" si="3"/>
        <v>13979.169999999998</v>
      </c>
    </row>
    <row r="43" spans="1:18" s="68" customFormat="1">
      <c r="A43" s="187" t="s">
        <v>128</v>
      </c>
      <c r="B43" s="106">
        <v>13594.48</v>
      </c>
      <c r="C43" s="105">
        <f t="shared" si="4"/>
        <v>921.70574399999987</v>
      </c>
      <c r="D43" s="105">
        <f t="shared" si="5"/>
        <v>307.23524799999996</v>
      </c>
      <c r="E43" s="56">
        <v>510</v>
      </c>
      <c r="F43" s="142">
        <v>14059.62</v>
      </c>
      <c r="G43" s="106">
        <v>4887.6499999999996</v>
      </c>
      <c r="H43" s="106">
        <v>452.43</v>
      </c>
      <c r="I43" s="106">
        <v>2190.4499999999998</v>
      </c>
      <c r="J43" s="106">
        <v>6529.09</v>
      </c>
      <c r="K43" s="145">
        <v>6561.89</v>
      </c>
      <c r="L43" s="145">
        <v>486.92</v>
      </c>
      <c r="M43" s="145">
        <v>16.18</v>
      </c>
      <c r="N43" s="145">
        <v>27.2</v>
      </c>
      <c r="O43" s="145"/>
      <c r="P43" s="145"/>
      <c r="Q43" s="140">
        <f t="shared" si="2"/>
        <v>6063.95</v>
      </c>
      <c r="R43" s="140">
        <f t="shared" si="3"/>
        <v>13594.48</v>
      </c>
    </row>
    <row r="44" spans="1:18" s="68" customFormat="1">
      <c r="A44" s="187" t="s">
        <v>129</v>
      </c>
      <c r="B44" s="106">
        <v>14246.77</v>
      </c>
      <c r="C44" s="105">
        <f t="shared" si="4"/>
        <v>965.93100599999991</v>
      </c>
      <c r="D44" s="105">
        <f t="shared" si="5"/>
        <v>321.97700199999997</v>
      </c>
      <c r="E44" s="11">
        <v>541</v>
      </c>
      <c r="F44" s="142">
        <v>14524.74</v>
      </c>
      <c r="G44" s="106">
        <v>4297.22</v>
      </c>
      <c r="H44" s="106">
        <v>378.75</v>
      </c>
      <c r="I44" s="106">
        <v>2019.45</v>
      </c>
      <c r="J44" s="106">
        <v>7829.32</v>
      </c>
      <c r="K44" s="143">
        <v>7931.91</v>
      </c>
      <c r="L44" s="145">
        <v>465.44</v>
      </c>
      <c r="M44" s="145">
        <v>95.12</v>
      </c>
      <c r="N44" s="145">
        <v>10.24</v>
      </c>
      <c r="O44" s="145"/>
      <c r="P44" s="145"/>
      <c r="Q44" s="140">
        <f t="shared" si="2"/>
        <v>7551.35</v>
      </c>
      <c r="R44" s="140">
        <f t="shared" si="3"/>
        <v>14246.77</v>
      </c>
    </row>
    <row r="45" spans="1:18" s="68" customFormat="1">
      <c r="A45" s="187" t="s">
        <v>130</v>
      </c>
      <c r="B45" s="106">
        <v>14740.27</v>
      </c>
      <c r="C45" s="105">
        <f t="shared" si="4"/>
        <v>999.3903059999999</v>
      </c>
      <c r="D45" s="105">
        <f t="shared" si="5"/>
        <v>333.13010199999997</v>
      </c>
      <c r="E45" s="11">
        <v>539</v>
      </c>
      <c r="F45" s="142">
        <v>14988.93</v>
      </c>
      <c r="G45" s="106">
        <v>4262.8599999999997</v>
      </c>
      <c r="H45" s="106">
        <v>474.54</v>
      </c>
      <c r="I45" s="106">
        <v>1822.52</v>
      </c>
      <c r="J45" s="106">
        <v>8429.01</v>
      </c>
      <c r="K45" s="143">
        <v>8791.36</v>
      </c>
      <c r="L45" s="145">
        <v>611.01</v>
      </c>
      <c r="M45" s="145">
        <v>0</v>
      </c>
      <c r="N45" s="145">
        <v>0</v>
      </c>
      <c r="O45" s="145"/>
      <c r="P45" s="145"/>
      <c r="Q45" s="140">
        <f t="shared" si="2"/>
        <v>8180.35</v>
      </c>
      <c r="R45" s="140">
        <f t="shared" si="3"/>
        <v>14740.27</v>
      </c>
    </row>
    <row r="46" spans="1:18" s="68" customFormat="1">
      <c r="A46" s="187" t="s">
        <v>131</v>
      </c>
      <c r="B46" s="106">
        <v>14038.04</v>
      </c>
      <c r="C46" s="105">
        <f t="shared" si="4"/>
        <v>951.77911199999994</v>
      </c>
      <c r="D46" s="105">
        <f t="shared" si="5"/>
        <v>317.259704</v>
      </c>
      <c r="E46" s="56">
        <v>536</v>
      </c>
      <c r="F46" s="142">
        <v>14502.32</v>
      </c>
      <c r="G46" s="106">
        <v>4401.66</v>
      </c>
      <c r="H46" s="106">
        <v>318.97000000000003</v>
      </c>
      <c r="I46" s="106">
        <v>2060.2199999999998</v>
      </c>
      <c r="J46" s="106">
        <v>7721.47</v>
      </c>
      <c r="K46" s="143">
        <v>7787.71</v>
      </c>
      <c r="L46" s="145">
        <v>515.22</v>
      </c>
      <c r="M46" s="145">
        <v>0</v>
      </c>
      <c r="N46" s="143">
        <v>15.3</v>
      </c>
      <c r="O46" s="143"/>
      <c r="P46" s="143"/>
      <c r="Q46" s="140">
        <f t="shared" si="2"/>
        <v>7257.19</v>
      </c>
      <c r="R46" s="140">
        <f t="shared" si="3"/>
        <v>14038.04</v>
      </c>
    </row>
    <row r="47" spans="1:18" s="68" customFormat="1">
      <c r="A47" s="187" t="s">
        <v>132</v>
      </c>
      <c r="B47" s="106">
        <v>15466.5</v>
      </c>
      <c r="C47" s="105">
        <f t="shared" si="4"/>
        <v>1048.6287</v>
      </c>
      <c r="D47" s="105">
        <f t="shared" si="5"/>
        <v>349.54289999999997</v>
      </c>
      <c r="E47" s="11">
        <v>588</v>
      </c>
      <c r="F47" s="142">
        <v>15996.94</v>
      </c>
      <c r="G47" s="106">
        <v>5524.64</v>
      </c>
      <c r="H47" s="106">
        <v>248.38</v>
      </c>
      <c r="I47" s="106">
        <v>2308.81</v>
      </c>
      <c r="J47" s="106">
        <v>7915.11</v>
      </c>
      <c r="K47" s="143">
        <v>7920.44</v>
      </c>
      <c r="L47" s="145">
        <v>582.38</v>
      </c>
      <c r="M47" s="143">
        <v>83.72</v>
      </c>
      <c r="N47" s="145">
        <v>37.11</v>
      </c>
      <c r="O47" s="145"/>
      <c r="P47" s="145"/>
      <c r="Q47" s="140">
        <f t="shared" si="2"/>
        <v>7384.6699999999992</v>
      </c>
      <c r="R47" s="140">
        <f t="shared" si="3"/>
        <v>15466.5</v>
      </c>
    </row>
    <row r="48" spans="1:18" s="68" customFormat="1">
      <c r="A48" s="187" t="s">
        <v>133</v>
      </c>
      <c r="B48" s="106">
        <v>15746.22</v>
      </c>
      <c r="C48" s="105">
        <f t="shared" si="4"/>
        <v>1067.5937159999999</v>
      </c>
      <c r="D48" s="105">
        <f t="shared" si="5"/>
        <v>355.86457199999995</v>
      </c>
      <c r="E48" s="11">
        <v>595</v>
      </c>
      <c r="F48" s="142">
        <v>16456.650000000001</v>
      </c>
      <c r="G48" s="106">
        <v>5612.57</v>
      </c>
      <c r="H48" s="106">
        <v>275.86</v>
      </c>
      <c r="I48" s="106">
        <v>1831.86</v>
      </c>
      <c r="J48" s="106">
        <v>8736.36</v>
      </c>
      <c r="K48" s="143">
        <v>8524.16</v>
      </c>
      <c r="L48" s="145">
        <v>547.66</v>
      </c>
      <c r="M48" s="143">
        <v>78.13</v>
      </c>
      <c r="N48" s="145">
        <v>28.7</v>
      </c>
      <c r="O48" s="145"/>
      <c r="P48" s="145"/>
      <c r="Q48" s="140">
        <f t="shared" si="2"/>
        <v>8025.93</v>
      </c>
      <c r="R48" s="140">
        <f t="shared" si="3"/>
        <v>15746.22</v>
      </c>
    </row>
    <row r="49" spans="1:18" s="68" customFormat="1">
      <c r="A49" s="187" t="s">
        <v>134</v>
      </c>
      <c r="B49" s="106">
        <v>15591.35</v>
      </c>
      <c r="C49" s="105">
        <f t="shared" si="4"/>
        <v>1057.0935299999999</v>
      </c>
      <c r="D49" s="105">
        <f t="shared" si="5"/>
        <v>352.36450999999994</v>
      </c>
      <c r="E49" s="11">
        <v>582</v>
      </c>
      <c r="F49" s="142">
        <v>16037.12</v>
      </c>
      <c r="G49" s="106">
        <v>5152.1099999999997</v>
      </c>
      <c r="H49" s="106">
        <v>253.6</v>
      </c>
      <c r="I49" s="106">
        <v>2286.4299999999998</v>
      </c>
      <c r="J49" s="106">
        <v>8344.98</v>
      </c>
      <c r="K49" s="143">
        <v>8525.07</v>
      </c>
      <c r="L49" s="145">
        <v>604.04999999999995</v>
      </c>
      <c r="M49" s="145">
        <v>0</v>
      </c>
      <c r="N49" s="145">
        <v>21.81</v>
      </c>
      <c r="O49" s="145"/>
      <c r="P49" s="145"/>
      <c r="Q49" s="140">
        <f t="shared" si="2"/>
        <v>7899.2099999999991</v>
      </c>
      <c r="R49" s="140">
        <f t="shared" si="3"/>
        <v>15591.349999999999</v>
      </c>
    </row>
    <row r="50" spans="1:18" s="68" customFormat="1">
      <c r="A50" s="187" t="s">
        <v>135</v>
      </c>
      <c r="B50" s="106">
        <v>14303.51</v>
      </c>
      <c r="C50" s="105">
        <f t="shared" si="4"/>
        <v>969.77797799999996</v>
      </c>
      <c r="D50" s="105">
        <f t="shared" si="5"/>
        <v>323.25932599999999</v>
      </c>
      <c r="E50" s="11">
        <v>561</v>
      </c>
      <c r="F50" s="142">
        <v>14383.2</v>
      </c>
      <c r="G50" s="106">
        <v>5311.31</v>
      </c>
      <c r="H50" s="106">
        <v>288.16000000000003</v>
      </c>
      <c r="I50" s="106">
        <v>1789.2</v>
      </c>
      <c r="J50" s="106">
        <v>6994.53</v>
      </c>
      <c r="K50" s="143">
        <v>7071.81</v>
      </c>
      <c r="L50" s="145">
        <v>217.45</v>
      </c>
      <c r="M50" s="143">
        <v>113.31</v>
      </c>
      <c r="N50" s="145">
        <v>52.83</v>
      </c>
      <c r="O50" s="145"/>
      <c r="P50" s="145"/>
      <c r="Q50" s="140">
        <f t="shared" si="2"/>
        <v>6914.84</v>
      </c>
      <c r="R50" s="140">
        <f t="shared" si="3"/>
        <v>14303.51</v>
      </c>
    </row>
    <row r="51" spans="1:18" s="68" customFormat="1">
      <c r="A51" s="187" t="s">
        <v>136</v>
      </c>
      <c r="B51" s="106">
        <v>14290.72</v>
      </c>
      <c r="C51" s="105">
        <f t="shared" si="4"/>
        <v>968.91081599999984</v>
      </c>
      <c r="D51" s="105">
        <f t="shared" si="5"/>
        <v>322.97027199999997</v>
      </c>
      <c r="E51" s="11">
        <v>532</v>
      </c>
      <c r="F51" s="142">
        <v>14277.18</v>
      </c>
      <c r="G51" s="106">
        <v>5225.7</v>
      </c>
      <c r="H51" s="106">
        <v>368.71</v>
      </c>
      <c r="I51" s="106">
        <v>2444.64</v>
      </c>
      <c r="J51" s="106">
        <v>6238.13</v>
      </c>
      <c r="K51" s="143">
        <v>6314.84</v>
      </c>
      <c r="L51" s="145">
        <v>97.82</v>
      </c>
      <c r="M51" s="143">
        <v>84.32</v>
      </c>
      <c r="N51" s="145">
        <v>49.67</v>
      </c>
      <c r="O51" s="145"/>
      <c r="P51" s="145"/>
      <c r="Q51" s="140">
        <f t="shared" si="2"/>
        <v>6251.67</v>
      </c>
      <c r="R51" s="140">
        <f t="shared" ref="R51:R82" si="6">SUM(G51,H51,I51,Q51)</f>
        <v>14290.72</v>
      </c>
    </row>
    <row r="52" spans="1:18" s="68" customFormat="1">
      <c r="A52" s="187" t="s">
        <v>137</v>
      </c>
      <c r="B52" s="106">
        <v>14411.99</v>
      </c>
      <c r="C52" s="105">
        <f t="shared" si="4"/>
        <v>977.13292199999989</v>
      </c>
      <c r="D52" s="105">
        <f t="shared" si="5"/>
        <v>325.71097399999996</v>
      </c>
      <c r="E52" s="56">
        <v>531</v>
      </c>
      <c r="F52" s="142">
        <v>14750.47</v>
      </c>
      <c r="G52" s="106">
        <v>5722.28</v>
      </c>
      <c r="H52" s="106">
        <v>275.05</v>
      </c>
      <c r="I52" s="106">
        <v>2688.11</v>
      </c>
      <c r="J52" s="106">
        <v>6065.03</v>
      </c>
      <c r="K52" s="143">
        <v>5830.62</v>
      </c>
      <c r="L52" s="145">
        <v>96.23</v>
      </c>
      <c r="M52" s="143">
        <v>54.36</v>
      </c>
      <c r="N52" s="145">
        <v>62.2</v>
      </c>
      <c r="O52" s="145">
        <v>0</v>
      </c>
      <c r="P52" s="145">
        <v>0</v>
      </c>
      <c r="Q52" s="140">
        <f t="shared" si="2"/>
        <v>5726.55</v>
      </c>
      <c r="R52" s="140">
        <f t="shared" si="6"/>
        <v>14411.990000000002</v>
      </c>
    </row>
    <row r="53" spans="1:18" s="68" customFormat="1">
      <c r="A53" s="187" t="s">
        <v>138</v>
      </c>
      <c r="B53" s="106">
        <v>15349.09</v>
      </c>
      <c r="C53" s="105">
        <f t="shared" si="4"/>
        <v>1040.6683019999998</v>
      </c>
      <c r="D53" s="105">
        <f t="shared" si="5"/>
        <v>346.88943399999999</v>
      </c>
      <c r="E53" s="11">
        <v>568</v>
      </c>
      <c r="F53" s="142">
        <v>15936.55</v>
      </c>
      <c r="G53" s="106">
        <v>6124.68</v>
      </c>
      <c r="H53" s="106">
        <v>404.22</v>
      </c>
      <c r="I53" s="106">
        <v>2324.9299999999998</v>
      </c>
      <c r="J53" s="106">
        <v>7082.72</v>
      </c>
      <c r="K53" s="145">
        <v>7344.28</v>
      </c>
      <c r="L53" s="145">
        <v>857.19</v>
      </c>
      <c r="M53" s="143">
        <v>73.540000000000006</v>
      </c>
      <c r="N53" s="145">
        <v>65.37</v>
      </c>
      <c r="O53" s="145">
        <v>1.5</v>
      </c>
      <c r="P53" s="145">
        <v>0</v>
      </c>
      <c r="Q53" s="140">
        <f t="shared" si="2"/>
        <v>6495.26</v>
      </c>
      <c r="R53" s="140">
        <f t="shared" si="6"/>
        <v>15349.09</v>
      </c>
    </row>
    <row r="54" spans="1:18" s="68" customFormat="1">
      <c r="A54" s="187" t="s">
        <v>139</v>
      </c>
      <c r="B54" s="106">
        <v>14123.37</v>
      </c>
      <c r="C54" s="105">
        <f t="shared" si="4"/>
        <v>957.56448599999987</v>
      </c>
      <c r="D54" s="105">
        <f t="shared" si="5"/>
        <v>319.18816199999998</v>
      </c>
      <c r="E54" s="11">
        <v>549</v>
      </c>
      <c r="F54" s="142">
        <v>15243.53</v>
      </c>
      <c r="G54" s="106">
        <v>4903.59</v>
      </c>
      <c r="H54" s="106">
        <v>361.26</v>
      </c>
      <c r="I54" s="106">
        <v>2206.9</v>
      </c>
      <c r="J54" s="106">
        <v>7771.78</v>
      </c>
      <c r="K54" s="145">
        <v>7649.43</v>
      </c>
      <c r="L54" s="145">
        <v>970.38</v>
      </c>
      <c r="M54" s="143">
        <v>0</v>
      </c>
      <c r="N54" s="145">
        <v>27.43</v>
      </c>
      <c r="O54" s="145">
        <v>0</v>
      </c>
      <c r="P54" s="145">
        <v>0</v>
      </c>
      <c r="Q54" s="140">
        <f t="shared" si="2"/>
        <v>6651.62</v>
      </c>
      <c r="R54" s="140">
        <f t="shared" si="6"/>
        <v>14123.369999999999</v>
      </c>
    </row>
    <row r="55" spans="1:18" s="68" customFormat="1">
      <c r="A55" s="187" t="s">
        <v>140</v>
      </c>
      <c r="B55" s="106">
        <v>13972.31</v>
      </c>
      <c r="C55" s="105">
        <f t="shared" si="4"/>
        <v>947.32261799999981</v>
      </c>
      <c r="D55" s="105">
        <f t="shared" si="5"/>
        <v>315.77420599999994</v>
      </c>
      <c r="E55" s="11"/>
      <c r="F55" s="187">
        <v>14616.12</v>
      </c>
      <c r="G55" s="187">
        <v>4897.8900000000003</v>
      </c>
      <c r="H55" s="187">
        <v>285.83999999999997</v>
      </c>
      <c r="I55" s="187">
        <v>2361.54</v>
      </c>
      <c r="J55" s="187">
        <v>7070.85</v>
      </c>
      <c r="K55" s="298">
        <v>7283.07</v>
      </c>
      <c r="L55" s="298">
        <v>885.05</v>
      </c>
      <c r="M55" s="143">
        <v>0</v>
      </c>
      <c r="N55" s="298">
        <v>54.32</v>
      </c>
      <c r="O55" s="298">
        <v>83.34</v>
      </c>
      <c r="P55" s="145">
        <v>0</v>
      </c>
      <c r="Q55" s="140">
        <f t="shared" ref="Q55:Q86" si="7">((K55-L55)+(M55-N55)+(O55-P55))</f>
        <v>6427.04</v>
      </c>
      <c r="R55" s="140">
        <f t="shared" si="6"/>
        <v>13972.310000000001</v>
      </c>
    </row>
    <row r="56" spans="1:18" s="68" customFormat="1">
      <c r="A56" s="187" t="s">
        <v>141</v>
      </c>
      <c r="B56" s="106">
        <v>15697.34</v>
      </c>
      <c r="C56" s="105">
        <f t="shared" si="4"/>
        <v>1064.2796519999997</v>
      </c>
      <c r="D56" s="105">
        <f t="shared" si="5"/>
        <v>354.75988399999994</v>
      </c>
      <c r="E56" s="11"/>
      <c r="F56" s="187">
        <v>16085.22</v>
      </c>
      <c r="G56" s="187">
        <v>4864.93</v>
      </c>
      <c r="H56" s="187">
        <v>268.54000000000002</v>
      </c>
      <c r="I56" s="187">
        <v>2891.47</v>
      </c>
      <c r="J56" s="187">
        <v>8060.28</v>
      </c>
      <c r="K56" s="145">
        <v>8493.49</v>
      </c>
      <c r="L56" s="145">
        <v>816.33</v>
      </c>
      <c r="M56" s="145">
        <v>28.76</v>
      </c>
      <c r="N56" s="145">
        <v>33.520000000000003</v>
      </c>
      <c r="O56" s="145">
        <v>0</v>
      </c>
      <c r="P56" s="145">
        <v>0</v>
      </c>
      <c r="Q56" s="140">
        <f t="shared" si="7"/>
        <v>7672.4</v>
      </c>
      <c r="R56" s="140">
        <f t="shared" si="6"/>
        <v>15697.34</v>
      </c>
    </row>
    <row r="57" spans="1:18" s="68" customFormat="1">
      <c r="A57" s="187" t="s">
        <v>142</v>
      </c>
      <c r="B57" s="106">
        <v>18104.04</v>
      </c>
      <c r="C57" s="105">
        <f t="shared" si="4"/>
        <v>1227.4539119999999</v>
      </c>
      <c r="D57" s="105">
        <f t="shared" si="5"/>
        <v>409.15130399999998</v>
      </c>
      <c r="E57" s="300">
        <v>646</v>
      </c>
      <c r="F57" s="187">
        <v>19146.18</v>
      </c>
      <c r="G57" s="187">
        <v>5857.52</v>
      </c>
      <c r="H57" s="187">
        <v>682.53</v>
      </c>
      <c r="I57" s="187">
        <v>2155.16</v>
      </c>
      <c r="J57" s="187">
        <v>10450.969999999999</v>
      </c>
      <c r="K57" s="145">
        <v>10781.5</v>
      </c>
      <c r="L57" s="145">
        <v>1371.33</v>
      </c>
      <c r="M57" s="143">
        <v>0</v>
      </c>
      <c r="N57" s="145">
        <v>1.34</v>
      </c>
      <c r="O57" s="145">
        <v>0</v>
      </c>
      <c r="P57" s="145">
        <v>0</v>
      </c>
      <c r="Q57" s="140">
        <f t="shared" si="7"/>
        <v>9408.83</v>
      </c>
      <c r="R57" s="140">
        <f t="shared" si="6"/>
        <v>18104.04</v>
      </c>
    </row>
    <row r="58" spans="1:18" s="68" customFormat="1">
      <c r="A58" s="187" t="s">
        <v>143</v>
      </c>
      <c r="B58" s="106">
        <v>13482.43</v>
      </c>
      <c r="C58" s="105">
        <f t="shared" si="4"/>
        <v>914.10875399999986</v>
      </c>
      <c r="D58" s="105">
        <f t="shared" si="5"/>
        <v>304.70291799999995</v>
      </c>
      <c r="E58" s="118">
        <v>472</v>
      </c>
      <c r="F58" s="187">
        <v>14414.4</v>
      </c>
      <c r="G58" s="187">
        <v>4023.23</v>
      </c>
      <c r="H58" s="187">
        <v>176.3</v>
      </c>
      <c r="I58" s="187">
        <v>1988.43</v>
      </c>
      <c r="J58" s="187">
        <v>8226.44</v>
      </c>
      <c r="K58" s="145">
        <v>8241.56</v>
      </c>
      <c r="L58" s="145">
        <v>1019.43</v>
      </c>
      <c r="M58" s="145">
        <v>31.16</v>
      </c>
      <c r="N58" s="145">
        <v>0</v>
      </c>
      <c r="O58" s="145">
        <v>41.18</v>
      </c>
      <c r="P58" s="145">
        <v>0</v>
      </c>
      <c r="Q58" s="140">
        <f t="shared" si="7"/>
        <v>7294.4699999999993</v>
      </c>
      <c r="R58" s="140">
        <f t="shared" si="6"/>
        <v>13482.43</v>
      </c>
    </row>
    <row r="59" spans="1:18" s="68" customFormat="1">
      <c r="A59" s="187" t="s">
        <v>145</v>
      </c>
      <c r="B59" s="106">
        <v>15113.06</v>
      </c>
      <c r="C59" s="105">
        <f t="shared" si="4"/>
        <v>1024.6654679999999</v>
      </c>
      <c r="D59" s="105">
        <f t="shared" si="5"/>
        <v>341.55515599999995</v>
      </c>
      <c r="E59" s="300" t="s">
        <v>423</v>
      </c>
      <c r="F59" s="187">
        <v>16282.4</v>
      </c>
      <c r="G59" s="187">
        <v>5185.84</v>
      </c>
      <c r="H59" s="187">
        <v>333.54</v>
      </c>
      <c r="I59" s="187">
        <v>2764.88</v>
      </c>
      <c r="J59" s="187">
        <v>7998.14</v>
      </c>
      <c r="K59" s="145">
        <v>8020.34</v>
      </c>
      <c r="L59" s="145">
        <v>1191.54</v>
      </c>
      <c r="M59" s="145">
        <v>0</v>
      </c>
      <c r="N59" s="145">
        <v>0</v>
      </c>
      <c r="O59" s="145">
        <v>0</v>
      </c>
      <c r="P59" s="145">
        <v>0</v>
      </c>
      <c r="Q59" s="140">
        <f t="shared" si="7"/>
        <v>6828.8</v>
      </c>
      <c r="R59" s="140">
        <f t="shared" si="6"/>
        <v>15113.060000000001</v>
      </c>
    </row>
    <row r="60" spans="1:18" s="68" customFormat="1">
      <c r="A60" s="2" t="s">
        <v>147</v>
      </c>
      <c r="B60" s="106">
        <v>15151.53</v>
      </c>
      <c r="C60" s="105">
        <f t="shared" si="4"/>
        <v>1027.2737339999999</v>
      </c>
      <c r="D60" s="105">
        <f t="shared" si="5"/>
        <v>342.42457799999994</v>
      </c>
      <c r="E60" s="300" t="s">
        <v>424</v>
      </c>
      <c r="F60" s="187">
        <v>16411.18</v>
      </c>
      <c r="G60" s="187">
        <v>4361.8100000000004</v>
      </c>
      <c r="H60" s="187">
        <v>336.43</v>
      </c>
      <c r="I60" s="187">
        <v>2789.42</v>
      </c>
      <c r="J60" s="187">
        <v>8923.52</v>
      </c>
      <c r="K60" s="145">
        <v>8948.41</v>
      </c>
      <c r="L60" s="145">
        <v>1284.54</v>
      </c>
      <c r="M60" s="145">
        <v>0</v>
      </c>
      <c r="N60" s="145">
        <v>0</v>
      </c>
      <c r="O60" s="145">
        <v>0</v>
      </c>
      <c r="P60" s="145">
        <v>0</v>
      </c>
      <c r="Q60" s="140">
        <f t="shared" si="7"/>
        <v>7663.87</v>
      </c>
      <c r="R60" s="140">
        <f t="shared" si="6"/>
        <v>15151.53</v>
      </c>
    </row>
    <row r="61" spans="1:18" s="68" customFormat="1">
      <c r="A61" s="2" t="s">
        <v>149</v>
      </c>
      <c r="B61" s="106">
        <v>14775.71</v>
      </c>
      <c r="C61" s="105">
        <f t="shared" si="4"/>
        <v>1001.7931379999998</v>
      </c>
      <c r="D61" s="105">
        <f t="shared" si="5"/>
        <v>333.93104599999998</v>
      </c>
      <c r="E61" s="300">
        <v>517</v>
      </c>
      <c r="F61" s="187">
        <v>15736.51</v>
      </c>
      <c r="G61" s="300">
        <v>4182.18</v>
      </c>
      <c r="H61" s="187">
        <v>293.19</v>
      </c>
      <c r="I61" s="187">
        <v>2856.44</v>
      </c>
      <c r="J61" s="187">
        <v>8404.7000000000007</v>
      </c>
      <c r="K61" s="145">
        <v>8353.82</v>
      </c>
      <c r="L61" s="145">
        <v>939.89</v>
      </c>
      <c r="M61" s="145">
        <v>29.97</v>
      </c>
      <c r="N61" s="145">
        <v>0</v>
      </c>
      <c r="O61" s="145">
        <v>0</v>
      </c>
      <c r="P61" s="145">
        <v>0</v>
      </c>
      <c r="Q61" s="140">
        <f t="shared" si="7"/>
        <v>7443.9</v>
      </c>
      <c r="R61" s="140">
        <f t="shared" si="6"/>
        <v>14775.71</v>
      </c>
    </row>
    <row r="62" spans="1:18" s="68" customFormat="1">
      <c r="A62" s="2" t="s">
        <v>150</v>
      </c>
      <c r="B62" s="106">
        <v>16102.93</v>
      </c>
      <c r="C62" s="105">
        <f t="shared" si="4"/>
        <v>1091.778654</v>
      </c>
      <c r="D62" s="105">
        <f t="shared" si="5"/>
        <v>363.92621800000001</v>
      </c>
      <c r="E62" s="300">
        <v>527</v>
      </c>
      <c r="F62" s="187">
        <v>17534.8</v>
      </c>
      <c r="G62" s="300">
        <v>3355.88</v>
      </c>
      <c r="H62" s="187">
        <v>239.48</v>
      </c>
      <c r="I62" s="187">
        <v>2668.25</v>
      </c>
      <c r="J62" s="187">
        <v>11271.19</v>
      </c>
      <c r="K62" s="145">
        <v>11384.08</v>
      </c>
      <c r="L62" s="145">
        <v>1544.76</v>
      </c>
      <c r="M62" s="145">
        <v>0</v>
      </c>
      <c r="N62" s="145">
        <v>0</v>
      </c>
      <c r="O62" s="145">
        <v>0</v>
      </c>
      <c r="P62" s="145">
        <v>0</v>
      </c>
      <c r="Q62" s="140">
        <f t="shared" si="7"/>
        <v>9839.32</v>
      </c>
      <c r="R62" s="140">
        <f t="shared" si="6"/>
        <v>16102.93</v>
      </c>
    </row>
    <row r="63" spans="1:18" s="68" customFormat="1">
      <c r="A63" s="299" t="s">
        <v>151</v>
      </c>
      <c r="B63" s="106">
        <v>14416.25</v>
      </c>
      <c r="C63" s="105">
        <f t="shared" si="4"/>
        <v>977.42174999999997</v>
      </c>
      <c r="D63" s="105">
        <f t="shared" si="5"/>
        <v>325.80724999999995</v>
      </c>
      <c r="E63" s="300" t="s">
        <v>425</v>
      </c>
      <c r="F63" s="187">
        <v>15700.42</v>
      </c>
      <c r="G63" s="187">
        <v>4130.92</v>
      </c>
      <c r="H63" s="187">
        <v>337.92</v>
      </c>
      <c r="I63" s="187">
        <v>2475.19</v>
      </c>
      <c r="J63" s="187">
        <v>8756.39</v>
      </c>
      <c r="K63" s="145">
        <v>8952.2000000000007</v>
      </c>
      <c r="L63" s="145">
        <v>1479.98</v>
      </c>
      <c r="M63" s="145">
        <v>0</v>
      </c>
      <c r="N63" s="145">
        <v>0</v>
      </c>
      <c r="O63" s="145">
        <v>0</v>
      </c>
      <c r="P63" s="145">
        <v>0</v>
      </c>
      <c r="Q63" s="140">
        <f t="shared" si="7"/>
        <v>7472.2200000000012</v>
      </c>
      <c r="R63" s="140">
        <f t="shared" si="6"/>
        <v>14416.250000000002</v>
      </c>
    </row>
    <row r="64" spans="1:18" s="68" customFormat="1">
      <c r="A64" s="2" t="s">
        <v>153</v>
      </c>
      <c r="B64" s="106">
        <v>16929.599999999999</v>
      </c>
      <c r="C64" s="105">
        <f t="shared" si="4"/>
        <v>1147.8268799999996</v>
      </c>
      <c r="D64" s="105">
        <f t="shared" si="5"/>
        <v>382.60895999999997</v>
      </c>
      <c r="E64" s="300" t="s">
        <v>426</v>
      </c>
      <c r="F64" s="187">
        <v>18287.580000000002</v>
      </c>
      <c r="G64" s="187">
        <v>4828.2</v>
      </c>
      <c r="H64" s="187">
        <v>444.34</v>
      </c>
      <c r="I64" s="187">
        <v>3392.98</v>
      </c>
      <c r="J64" s="187">
        <v>9622.06</v>
      </c>
      <c r="K64" s="306">
        <v>9498.39</v>
      </c>
      <c r="L64" s="306">
        <v>1258.3</v>
      </c>
      <c r="M64" s="306">
        <v>23.99</v>
      </c>
      <c r="N64" s="145">
        <v>0</v>
      </c>
      <c r="O64" s="145">
        <v>0</v>
      </c>
      <c r="P64" s="145">
        <v>0</v>
      </c>
      <c r="Q64" s="140">
        <f t="shared" si="7"/>
        <v>8264.08</v>
      </c>
      <c r="R64" s="140">
        <f t="shared" si="6"/>
        <v>16929.599999999999</v>
      </c>
    </row>
    <row r="65" spans="1:18" s="68" customFormat="1">
      <c r="A65" s="2" t="s">
        <v>154</v>
      </c>
      <c r="B65" s="106">
        <v>17682.990000000002</v>
      </c>
      <c r="C65" s="105">
        <f t="shared" si="4"/>
        <v>1198.9067220000002</v>
      </c>
      <c r="D65" s="105">
        <f t="shared" si="5"/>
        <v>399.63557399999996</v>
      </c>
      <c r="E65" s="304">
        <v>598</v>
      </c>
      <c r="F65" s="187">
        <v>19207.39</v>
      </c>
      <c r="G65" s="187">
        <v>5110.45</v>
      </c>
      <c r="H65" s="187">
        <v>550.96</v>
      </c>
      <c r="I65" s="187">
        <v>3326.17</v>
      </c>
      <c r="J65" s="187">
        <v>10219.81</v>
      </c>
      <c r="K65" s="145">
        <v>10255.11</v>
      </c>
      <c r="L65" s="145">
        <v>1559.7</v>
      </c>
      <c r="M65" s="145">
        <v>0</v>
      </c>
      <c r="N65" s="145">
        <v>0</v>
      </c>
      <c r="O65" s="145">
        <v>0</v>
      </c>
      <c r="P65" s="145">
        <v>0</v>
      </c>
      <c r="Q65" s="140">
        <f t="shared" si="7"/>
        <v>8695.41</v>
      </c>
      <c r="R65" s="140">
        <f t="shared" si="6"/>
        <v>17682.989999999998</v>
      </c>
    </row>
    <row r="66" spans="1:18" s="68" customFormat="1">
      <c r="A66" s="11" t="s">
        <v>155</v>
      </c>
      <c r="B66" s="106">
        <v>19321.66</v>
      </c>
      <c r="C66" s="105">
        <f t="shared" si="4"/>
        <v>1310.008548</v>
      </c>
      <c r="D66" s="105">
        <f t="shared" si="5"/>
        <v>436.66951599999993</v>
      </c>
      <c r="E66" s="300" t="s">
        <v>427</v>
      </c>
      <c r="F66" s="187">
        <v>21062.7</v>
      </c>
      <c r="G66" s="187">
        <v>5611.34</v>
      </c>
      <c r="H66" s="187">
        <v>289.97000000000003</v>
      </c>
      <c r="I66" s="187">
        <v>2908.89</v>
      </c>
      <c r="J66" s="187">
        <v>12252.5</v>
      </c>
      <c r="K66" s="145">
        <v>12375.8</v>
      </c>
      <c r="L66" s="145">
        <v>1864.34</v>
      </c>
      <c r="M66" s="145">
        <v>0</v>
      </c>
      <c r="N66" s="145">
        <v>0</v>
      </c>
      <c r="O66" s="145">
        <v>0</v>
      </c>
      <c r="P66" s="145">
        <v>0</v>
      </c>
      <c r="Q66" s="140">
        <f t="shared" si="7"/>
        <v>10511.46</v>
      </c>
      <c r="R66" s="140">
        <f t="shared" si="6"/>
        <v>19321.66</v>
      </c>
    </row>
    <row r="67" spans="1:18" s="68" customFormat="1">
      <c r="A67" s="11" t="s">
        <v>157</v>
      </c>
      <c r="B67" s="106">
        <v>14161.67</v>
      </c>
      <c r="C67" s="105">
        <f t="shared" ref="C67:C86" si="8">(B67*0.06)*1.13</f>
        <v>960.16122599999994</v>
      </c>
      <c r="D67" s="105">
        <f t="shared" ref="D67:D85" si="9">(B67*0.02)*1.13</f>
        <v>320.053742</v>
      </c>
      <c r="E67" s="300" t="s">
        <v>207</v>
      </c>
      <c r="F67" s="187">
        <v>15596.32</v>
      </c>
      <c r="G67" s="187">
        <v>4027.45</v>
      </c>
      <c r="H67" s="187">
        <v>304.39999999999998</v>
      </c>
      <c r="I67" s="187">
        <v>2650.29</v>
      </c>
      <c r="J67" s="187">
        <v>8614.18</v>
      </c>
      <c r="K67" s="145">
        <v>8722.43</v>
      </c>
      <c r="L67" s="145">
        <v>1542.9</v>
      </c>
      <c r="M67" s="145">
        <v>0</v>
      </c>
      <c r="N67" s="145">
        <v>0</v>
      </c>
      <c r="O67" s="145">
        <v>0</v>
      </c>
      <c r="P67" s="145">
        <v>0</v>
      </c>
      <c r="Q67" s="140">
        <f t="shared" si="7"/>
        <v>7179.5300000000007</v>
      </c>
      <c r="R67" s="140">
        <f t="shared" si="6"/>
        <v>14161.67</v>
      </c>
    </row>
    <row r="68" spans="1:18" s="68" customFormat="1">
      <c r="A68" s="11" t="s">
        <v>159</v>
      </c>
      <c r="B68" s="106">
        <v>14412.41</v>
      </c>
      <c r="C68" s="105">
        <f t="shared" si="8"/>
        <v>977.16139799999985</v>
      </c>
      <c r="D68" s="105">
        <f t="shared" si="9"/>
        <v>325.72046599999999</v>
      </c>
      <c r="E68" s="300" t="s">
        <v>428</v>
      </c>
      <c r="F68" s="187">
        <v>15755.66</v>
      </c>
      <c r="G68" s="187">
        <v>3847.33</v>
      </c>
      <c r="H68" s="187">
        <v>206.04</v>
      </c>
      <c r="I68" s="187">
        <v>2793.87</v>
      </c>
      <c r="J68" s="187">
        <v>8908.42</v>
      </c>
      <c r="K68" s="145">
        <v>8861.41</v>
      </c>
      <c r="L68" s="145">
        <v>1333.82</v>
      </c>
      <c r="M68" s="145">
        <v>0</v>
      </c>
      <c r="N68" s="145">
        <v>0</v>
      </c>
      <c r="O68" s="145">
        <v>58.56</v>
      </c>
      <c r="P68" s="145">
        <v>20.98</v>
      </c>
      <c r="Q68" s="140">
        <f t="shared" si="7"/>
        <v>7565.17</v>
      </c>
      <c r="R68" s="140">
        <f t="shared" si="6"/>
        <v>14412.41</v>
      </c>
    </row>
    <row r="69" spans="1:18" s="68" customFormat="1">
      <c r="A69" s="30" t="s">
        <v>161</v>
      </c>
      <c r="B69" s="106">
        <v>15090.76</v>
      </c>
      <c r="C69" s="105">
        <f t="shared" si="8"/>
        <v>1023.1535279999999</v>
      </c>
      <c r="D69" s="105">
        <f t="shared" si="9"/>
        <v>341.051176</v>
      </c>
      <c r="E69" s="300" t="s">
        <v>429</v>
      </c>
      <c r="F69" s="187">
        <v>16471.79</v>
      </c>
      <c r="G69" s="187">
        <v>3305.09</v>
      </c>
      <c r="H69" s="187">
        <v>382.33</v>
      </c>
      <c r="I69" s="187">
        <v>3515.47</v>
      </c>
      <c r="J69" s="187">
        <v>9268.9</v>
      </c>
      <c r="K69" s="145">
        <v>9140.7999999999993</v>
      </c>
      <c r="L69" s="145">
        <v>1252.93</v>
      </c>
      <c r="M69" s="145">
        <v>0</v>
      </c>
      <c r="N69" s="145">
        <v>0</v>
      </c>
      <c r="O69" s="145">
        <v>0</v>
      </c>
      <c r="P69" s="145">
        <v>0</v>
      </c>
      <c r="Q69" s="140">
        <f t="shared" si="7"/>
        <v>7887.869999999999</v>
      </c>
      <c r="R69" s="140">
        <f t="shared" si="6"/>
        <v>15090.759999999998</v>
      </c>
    </row>
    <row r="70" spans="1:18" s="68" customFormat="1">
      <c r="A70" s="30" t="s">
        <v>163</v>
      </c>
      <c r="B70" s="106">
        <v>16414.45</v>
      </c>
      <c r="C70" s="105">
        <f t="shared" si="8"/>
        <v>1112.8997099999999</v>
      </c>
      <c r="D70" s="105">
        <f t="shared" si="9"/>
        <v>370.96656999999999</v>
      </c>
      <c r="E70" s="300" t="s">
        <v>430</v>
      </c>
      <c r="F70" s="187">
        <v>17620.16</v>
      </c>
      <c r="G70" s="187">
        <v>4598.74</v>
      </c>
      <c r="H70" s="187">
        <v>504.36</v>
      </c>
      <c r="I70" s="187">
        <v>3179.34</v>
      </c>
      <c r="J70" s="187">
        <v>9337.7199999999993</v>
      </c>
      <c r="K70" s="145">
        <v>9480.7900000000009</v>
      </c>
      <c r="L70" s="145">
        <v>1371.56</v>
      </c>
      <c r="M70" s="145">
        <v>22.78</v>
      </c>
      <c r="N70" s="145">
        <v>0</v>
      </c>
      <c r="O70" s="145">
        <v>0</v>
      </c>
      <c r="P70" s="145">
        <v>0</v>
      </c>
      <c r="Q70" s="140">
        <f t="shared" si="7"/>
        <v>8132.0100000000011</v>
      </c>
      <c r="R70" s="140">
        <f t="shared" si="6"/>
        <v>16414.45</v>
      </c>
    </row>
    <row r="71" spans="1:18" s="68" customFormat="1">
      <c r="A71" s="30" t="s">
        <v>165</v>
      </c>
      <c r="B71" s="106">
        <v>15697.18</v>
      </c>
      <c r="C71" s="105">
        <f t="shared" si="8"/>
        <v>1064.2688039999998</v>
      </c>
      <c r="D71" s="105">
        <f t="shared" si="9"/>
        <v>354.75626799999998</v>
      </c>
      <c r="E71" s="300" t="s">
        <v>431</v>
      </c>
      <c r="F71" s="187">
        <v>16752.89</v>
      </c>
      <c r="G71" s="187">
        <v>4242.8500000000004</v>
      </c>
      <c r="H71" s="187">
        <v>477.89</v>
      </c>
      <c r="I71" s="187">
        <v>2710.88</v>
      </c>
      <c r="J71" s="187">
        <v>9321.27</v>
      </c>
      <c r="K71" s="145">
        <v>9527.7099999999991</v>
      </c>
      <c r="L71" s="145">
        <v>1314.33</v>
      </c>
      <c r="M71" s="145">
        <v>67.56</v>
      </c>
      <c r="N71" s="145">
        <v>15.38</v>
      </c>
      <c r="O71" s="145">
        <v>0</v>
      </c>
      <c r="P71" s="145">
        <v>0</v>
      </c>
      <c r="Q71" s="140">
        <f t="shared" si="7"/>
        <v>8265.56</v>
      </c>
      <c r="R71" s="140">
        <f t="shared" si="6"/>
        <v>15697.18</v>
      </c>
    </row>
    <row r="72" spans="1:18" s="68" customFormat="1">
      <c r="A72" s="11" t="s">
        <v>166</v>
      </c>
      <c r="B72" s="106">
        <v>16905.03</v>
      </c>
      <c r="C72" s="105">
        <f t="shared" si="8"/>
        <v>1146.1610339999997</v>
      </c>
      <c r="D72" s="105">
        <f t="shared" si="9"/>
        <v>382.05367799999993</v>
      </c>
      <c r="E72" s="300" t="s">
        <v>432</v>
      </c>
      <c r="F72" s="187">
        <v>17757.490000000002</v>
      </c>
      <c r="G72" s="187">
        <v>5128.1099999999997</v>
      </c>
      <c r="H72" s="187">
        <v>373.34</v>
      </c>
      <c r="I72" s="187">
        <v>3874</v>
      </c>
      <c r="J72" s="187">
        <v>8382.0400000000009</v>
      </c>
      <c r="K72" s="106">
        <v>8311.27</v>
      </c>
      <c r="L72" s="106">
        <v>802.29</v>
      </c>
      <c r="M72" s="106">
        <v>35.979999999999997</v>
      </c>
      <c r="N72" s="106">
        <v>15.38</v>
      </c>
      <c r="O72" s="145">
        <v>0</v>
      </c>
      <c r="P72" s="145">
        <v>0</v>
      </c>
      <c r="Q72" s="140">
        <f t="shared" si="7"/>
        <v>7529.5800000000008</v>
      </c>
      <c r="R72" s="140">
        <f t="shared" si="6"/>
        <v>16905.030000000002</v>
      </c>
    </row>
    <row r="73" spans="1:18" s="68" customFormat="1">
      <c r="A73" s="11" t="s">
        <v>168</v>
      </c>
      <c r="B73" s="106">
        <v>14559.85</v>
      </c>
      <c r="C73" s="105">
        <f t="shared" si="8"/>
        <v>987.15782999999988</v>
      </c>
      <c r="D73" s="105">
        <f t="shared" si="9"/>
        <v>329.05260999999996</v>
      </c>
      <c r="E73" s="300" t="s">
        <v>433</v>
      </c>
      <c r="F73" s="187">
        <v>15221.08</v>
      </c>
      <c r="G73" s="187">
        <v>4454.3999999999996</v>
      </c>
      <c r="H73" s="187">
        <v>406</v>
      </c>
      <c r="I73" s="187">
        <v>2533.52</v>
      </c>
      <c r="J73" s="187">
        <v>7827.16</v>
      </c>
      <c r="K73" s="106">
        <v>8219.5499999999993</v>
      </c>
      <c r="L73" s="106">
        <v>1074.22</v>
      </c>
      <c r="M73" s="106">
        <v>35.979999999999997</v>
      </c>
      <c r="N73" s="106">
        <v>15.38</v>
      </c>
      <c r="O73" s="145">
        <v>0</v>
      </c>
      <c r="P73" s="145">
        <v>0</v>
      </c>
      <c r="Q73" s="140">
        <f t="shared" si="7"/>
        <v>7165.9299999999994</v>
      </c>
      <c r="R73" s="140">
        <f t="shared" si="6"/>
        <v>14559.849999999999</v>
      </c>
    </row>
    <row r="74" spans="1:18" s="68" customFormat="1">
      <c r="A74" s="11" t="s">
        <v>170</v>
      </c>
      <c r="B74" s="106">
        <v>14119.95</v>
      </c>
      <c r="C74" s="105">
        <f t="shared" si="8"/>
        <v>957.33260999999993</v>
      </c>
      <c r="D74" s="105">
        <f t="shared" si="9"/>
        <v>319.11086999999998</v>
      </c>
      <c r="E74" s="300" t="s">
        <v>434</v>
      </c>
      <c r="F74" s="187">
        <v>14981.57</v>
      </c>
      <c r="G74" s="187">
        <v>3577.18</v>
      </c>
      <c r="H74" s="187">
        <v>211.32</v>
      </c>
      <c r="I74" s="187">
        <v>2833.46</v>
      </c>
      <c r="J74" s="187">
        <v>8359.61</v>
      </c>
      <c r="K74" s="106">
        <v>8504.48</v>
      </c>
      <c r="L74" s="106">
        <v>1006.49</v>
      </c>
      <c r="M74" s="145">
        <v>0</v>
      </c>
      <c r="N74" s="145">
        <v>0</v>
      </c>
      <c r="O74" s="145">
        <v>0</v>
      </c>
      <c r="P74" s="145">
        <v>0</v>
      </c>
      <c r="Q74" s="140">
        <f t="shared" si="7"/>
        <v>7497.99</v>
      </c>
      <c r="R74" s="140">
        <f t="shared" si="6"/>
        <v>14119.95</v>
      </c>
    </row>
    <row r="75" spans="1:18" s="68" customFormat="1">
      <c r="A75" s="11" t="s">
        <v>172</v>
      </c>
      <c r="B75" s="106">
        <v>15045.01</v>
      </c>
      <c r="C75" s="105">
        <f t="shared" si="8"/>
        <v>1020.0516779999999</v>
      </c>
      <c r="D75" s="105">
        <f t="shared" si="9"/>
        <v>340.01722599999994</v>
      </c>
      <c r="E75" s="300" t="s">
        <v>207</v>
      </c>
      <c r="F75" s="187">
        <v>15899.01</v>
      </c>
      <c r="G75" s="187">
        <v>3850.88</v>
      </c>
      <c r="H75" s="187">
        <v>513.71</v>
      </c>
      <c r="I75" s="187">
        <v>2919.66</v>
      </c>
      <c r="J75" s="187">
        <v>8614.76</v>
      </c>
      <c r="K75" s="106">
        <v>8715.39</v>
      </c>
      <c r="L75" s="106">
        <v>1008.5</v>
      </c>
      <c r="M75" s="106">
        <v>45.57</v>
      </c>
      <c r="N75" s="106">
        <v>15.38</v>
      </c>
      <c r="O75" s="106">
        <v>23.68</v>
      </c>
      <c r="P75" s="145">
        <v>0</v>
      </c>
      <c r="Q75" s="140">
        <f t="shared" si="7"/>
        <v>7760.7599999999993</v>
      </c>
      <c r="R75" s="140">
        <f t="shared" si="6"/>
        <v>15045.009999999998</v>
      </c>
    </row>
    <row r="76" spans="1:18" s="68" customFormat="1">
      <c r="A76" s="11" t="s">
        <v>174</v>
      </c>
      <c r="B76" s="106">
        <v>14325.5</v>
      </c>
      <c r="C76" s="105">
        <f t="shared" si="8"/>
        <v>971.26889999999992</v>
      </c>
      <c r="D76" s="105">
        <f t="shared" si="9"/>
        <v>323.75629999999995</v>
      </c>
      <c r="E76" s="300" t="s">
        <v>435</v>
      </c>
      <c r="F76" s="187">
        <v>15308.32</v>
      </c>
      <c r="G76" s="187">
        <v>4091.21</v>
      </c>
      <c r="H76" s="187">
        <v>314.74</v>
      </c>
      <c r="I76" s="187">
        <v>2842.76</v>
      </c>
      <c r="J76" s="187">
        <v>8059.61</v>
      </c>
      <c r="K76" s="106">
        <v>8105.03</v>
      </c>
      <c r="L76" s="106">
        <v>1047.6400000000001</v>
      </c>
      <c r="M76" s="106">
        <v>33.979999999999997</v>
      </c>
      <c r="N76" s="106">
        <v>14.58</v>
      </c>
      <c r="O76" s="145">
        <v>0</v>
      </c>
      <c r="P76" s="145">
        <v>0</v>
      </c>
      <c r="Q76" s="140">
        <f t="shared" si="7"/>
        <v>7076.7899999999991</v>
      </c>
      <c r="R76" s="140">
        <f t="shared" si="6"/>
        <v>14325.5</v>
      </c>
    </row>
    <row r="77" spans="1:18" s="68" customFormat="1">
      <c r="A77" s="11" t="s">
        <v>176</v>
      </c>
      <c r="B77" s="106">
        <v>15858.82</v>
      </c>
      <c r="C77" s="105">
        <f t="shared" si="8"/>
        <v>1075.2279959999998</v>
      </c>
      <c r="D77" s="105">
        <f t="shared" si="9"/>
        <v>358.40933199999995</v>
      </c>
      <c r="E77" s="300" t="s">
        <v>436</v>
      </c>
      <c r="F77" s="187">
        <v>16675.07</v>
      </c>
      <c r="G77" s="187">
        <v>3829.3</v>
      </c>
      <c r="H77" s="187">
        <v>271.45</v>
      </c>
      <c r="I77" s="187">
        <v>2129.81</v>
      </c>
      <c r="J77" s="187">
        <v>10444.51</v>
      </c>
      <c r="K77" s="312">
        <v>10831.8</v>
      </c>
      <c r="L77" s="312">
        <v>1268.72</v>
      </c>
      <c r="M77" s="118">
        <v>97.54</v>
      </c>
      <c r="N77" s="118">
        <v>32.36</v>
      </c>
      <c r="O77" s="145">
        <v>0</v>
      </c>
      <c r="P77" s="145">
        <v>0</v>
      </c>
      <c r="Q77" s="140">
        <f t="shared" si="7"/>
        <v>9628.26</v>
      </c>
      <c r="R77" s="140">
        <f t="shared" si="6"/>
        <v>15858.82</v>
      </c>
    </row>
    <row r="78" spans="1:18" s="68" customFormat="1">
      <c r="A78" s="11" t="s">
        <v>178</v>
      </c>
      <c r="B78" s="106">
        <v>17564.11</v>
      </c>
      <c r="C78" s="105">
        <f t="shared" si="8"/>
        <v>1190.8466579999999</v>
      </c>
      <c r="D78" s="105">
        <f t="shared" si="9"/>
        <v>396.94888600000002</v>
      </c>
      <c r="E78" s="300" t="s">
        <v>437</v>
      </c>
      <c r="F78" s="187">
        <v>18516.18</v>
      </c>
      <c r="G78" s="187">
        <v>5526.11</v>
      </c>
      <c r="H78" s="187">
        <v>321.08</v>
      </c>
      <c r="I78" s="187">
        <v>2961.97</v>
      </c>
      <c r="J78" s="187">
        <v>9707.02</v>
      </c>
      <c r="K78" s="312">
        <v>9867.36</v>
      </c>
      <c r="L78" s="312">
        <v>1144.98</v>
      </c>
      <c r="M78" s="118">
        <v>32.57</v>
      </c>
      <c r="N78" s="106">
        <v>0</v>
      </c>
      <c r="O78" s="145">
        <v>0</v>
      </c>
      <c r="P78" s="145">
        <v>0</v>
      </c>
      <c r="Q78" s="140">
        <f t="shared" si="7"/>
        <v>8754.9500000000007</v>
      </c>
      <c r="R78" s="140">
        <f t="shared" si="6"/>
        <v>17564.11</v>
      </c>
    </row>
    <row r="79" spans="1:18" s="68" customFormat="1">
      <c r="A79" s="11" t="s">
        <v>180</v>
      </c>
      <c r="B79" s="106">
        <v>16208.28</v>
      </c>
      <c r="C79" s="105">
        <f t="shared" si="8"/>
        <v>1098.921384</v>
      </c>
      <c r="D79" s="105">
        <f t="shared" si="9"/>
        <v>366.30712800000003</v>
      </c>
      <c r="E79" s="300" t="s">
        <v>438</v>
      </c>
      <c r="F79" s="187">
        <v>17025.96</v>
      </c>
      <c r="G79" s="187">
        <v>4792.3900000000003</v>
      </c>
      <c r="H79" s="187">
        <v>319.04000000000002</v>
      </c>
      <c r="I79" s="187">
        <v>2792.08</v>
      </c>
      <c r="J79" s="187">
        <v>9122.4500000000007</v>
      </c>
      <c r="K79" s="106">
        <v>9188.34</v>
      </c>
      <c r="L79" s="106">
        <v>921.34</v>
      </c>
      <c r="M79" s="106">
        <v>52.35</v>
      </c>
      <c r="N79" s="106">
        <v>14.58</v>
      </c>
      <c r="O79" s="145">
        <v>0</v>
      </c>
      <c r="P79" s="145">
        <v>0</v>
      </c>
      <c r="Q79" s="140">
        <f t="shared" si="7"/>
        <v>8304.77</v>
      </c>
      <c r="R79" s="140">
        <f t="shared" si="6"/>
        <v>16208.28</v>
      </c>
    </row>
    <row r="80" spans="1:18" s="68" customFormat="1">
      <c r="A80" s="2" t="s">
        <v>182</v>
      </c>
      <c r="B80" s="106">
        <v>15776.96</v>
      </c>
      <c r="C80" s="105">
        <f t="shared" si="8"/>
        <v>1069.6778879999997</v>
      </c>
      <c r="D80" s="105">
        <f t="shared" si="9"/>
        <v>356.55929599999996</v>
      </c>
      <c r="E80" s="322" t="s">
        <v>439</v>
      </c>
      <c r="F80" s="321">
        <v>16376.7</v>
      </c>
      <c r="G80" s="321">
        <v>4552.16</v>
      </c>
      <c r="H80" s="321">
        <v>207</v>
      </c>
      <c r="I80" s="321">
        <v>2981.46</v>
      </c>
      <c r="J80" s="321">
        <v>8636.08</v>
      </c>
      <c r="K80" s="106">
        <v>8904.3700000000008</v>
      </c>
      <c r="L80" s="106">
        <v>887.43</v>
      </c>
      <c r="M80" s="106">
        <v>33.979999999999997</v>
      </c>
      <c r="N80" s="106">
        <v>14.58</v>
      </c>
      <c r="O80" s="145">
        <v>0</v>
      </c>
      <c r="P80" s="145">
        <v>0</v>
      </c>
      <c r="Q80" s="140">
        <f t="shared" si="7"/>
        <v>8036.34</v>
      </c>
      <c r="R80" s="140">
        <f t="shared" si="6"/>
        <v>15776.96</v>
      </c>
    </row>
    <row r="81" spans="1:29" s="68" customFormat="1">
      <c r="A81" s="11" t="s">
        <v>184</v>
      </c>
      <c r="B81" s="106">
        <v>15478.96</v>
      </c>
      <c r="C81" s="105">
        <f t="shared" si="8"/>
        <v>1049.4734879999999</v>
      </c>
      <c r="D81" s="105">
        <f t="shared" si="9"/>
        <v>349.82449600000001</v>
      </c>
      <c r="E81" s="319" t="s">
        <v>236</v>
      </c>
      <c r="F81" s="318">
        <v>16400.84</v>
      </c>
      <c r="G81" s="324">
        <v>4919.09</v>
      </c>
      <c r="H81" s="324">
        <v>88.04</v>
      </c>
      <c r="I81" s="324">
        <v>2763.67</v>
      </c>
      <c r="J81" s="324">
        <v>8630.0400000000009</v>
      </c>
      <c r="K81" s="106">
        <v>8603.14</v>
      </c>
      <c r="L81" s="106">
        <v>938.58</v>
      </c>
      <c r="M81" s="106">
        <v>75.959999999999994</v>
      </c>
      <c r="N81" s="106">
        <v>32.36</v>
      </c>
      <c r="O81" s="145">
        <v>0</v>
      </c>
      <c r="P81" s="145">
        <v>0</v>
      </c>
      <c r="Q81" s="140">
        <f t="shared" si="7"/>
        <v>7708.16</v>
      </c>
      <c r="R81" s="140">
        <f t="shared" si="6"/>
        <v>15478.96</v>
      </c>
    </row>
    <row r="82" spans="1:29" s="68" customFormat="1">
      <c r="A82" s="11" t="s">
        <v>186</v>
      </c>
      <c r="B82" s="106">
        <v>16027.28</v>
      </c>
      <c r="C82" s="105">
        <f t="shared" si="8"/>
        <v>1086.6495839999998</v>
      </c>
      <c r="D82" s="105">
        <f t="shared" si="9"/>
        <v>362.21652799999998</v>
      </c>
      <c r="E82" s="319" t="s">
        <v>430</v>
      </c>
      <c r="F82" s="318">
        <v>17021.79</v>
      </c>
      <c r="G82" s="324">
        <v>4501.84</v>
      </c>
      <c r="H82" s="324">
        <v>324.64999999999998</v>
      </c>
      <c r="I82" s="324">
        <v>3050.9</v>
      </c>
      <c r="J82" s="324">
        <v>9144.4</v>
      </c>
      <c r="K82" s="106">
        <v>9251.2199999999993</v>
      </c>
      <c r="L82" s="106">
        <v>1133.92</v>
      </c>
      <c r="M82" s="106">
        <v>48.77</v>
      </c>
      <c r="N82" s="106">
        <v>16.18</v>
      </c>
      <c r="O82" s="145">
        <v>0</v>
      </c>
      <c r="P82" s="145">
        <v>0</v>
      </c>
      <c r="Q82" s="140">
        <f t="shared" si="7"/>
        <v>8149.8899999999994</v>
      </c>
      <c r="R82" s="140">
        <f t="shared" si="6"/>
        <v>16027.279999999999</v>
      </c>
    </row>
    <row r="83" spans="1:29" s="68" customFormat="1">
      <c r="A83" s="11" t="s">
        <v>188</v>
      </c>
      <c r="B83" s="106">
        <v>16047.12</v>
      </c>
      <c r="C83" s="105">
        <f t="shared" si="8"/>
        <v>1087.9947359999999</v>
      </c>
      <c r="D83" s="105">
        <f t="shared" si="9"/>
        <v>362.66491200000002</v>
      </c>
      <c r="E83" s="319" t="s">
        <v>440</v>
      </c>
      <c r="F83" s="318">
        <v>16696.349999999999</v>
      </c>
      <c r="G83" s="324">
        <v>5758.91</v>
      </c>
      <c r="H83" s="324">
        <v>132.51</v>
      </c>
      <c r="I83" s="324">
        <v>2154.92</v>
      </c>
      <c r="J83" s="324">
        <v>8650.01</v>
      </c>
      <c r="K83" s="338" t="s">
        <v>441</v>
      </c>
      <c r="L83" s="338" t="s">
        <v>442</v>
      </c>
      <c r="M83" s="324">
        <v>0</v>
      </c>
      <c r="N83" s="324">
        <v>0</v>
      </c>
      <c r="O83" s="324">
        <v>0</v>
      </c>
      <c r="P83" s="324">
        <v>0</v>
      </c>
      <c r="Q83" s="140">
        <f t="shared" si="7"/>
        <v>8000.7800000000007</v>
      </c>
      <c r="R83" s="140">
        <f t="shared" ref="R83:R85" si="10">SUM(G83,H83,I83,Q83)</f>
        <v>16047.12</v>
      </c>
      <c r="S83" s="324"/>
      <c r="T83" s="324"/>
      <c r="U83" s="324"/>
      <c r="V83" s="324"/>
      <c r="W83" s="324"/>
      <c r="X83" s="324"/>
      <c r="Y83" s="324"/>
      <c r="Z83" s="324"/>
      <c r="AA83" s="324"/>
      <c r="AB83" s="324"/>
      <c r="AC83" s="324"/>
    </row>
    <row r="84" spans="1:29">
      <c r="A84" s="334" t="s">
        <v>192</v>
      </c>
      <c r="B84" s="330">
        <v>16939.43</v>
      </c>
      <c r="C84" s="105">
        <f t="shared" si="8"/>
        <v>1148.493354</v>
      </c>
      <c r="D84" s="105">
        <f t="shared" si="9"/>
        <v>382.831118</v>
      </c>
      <c r="E84" s="319">
        <v>562</v>
      </c>
      <c r="F84" s="318">
        <v>17719.41</v>
      </c>
      <c r="G84" s="324">
        <v>5868.17</v>
      </c>
      <c r="H84" s="324">
        <v>244.16</v>
      </c>
      <c r="I84" s="324">
        <v>3123.83</v>
      </c>
      <c r="J84" s="324">
        <v>8483.25</v>
      </c>
      <c r="K84" s="336">
        <v>8892.51</v>
      </c>
      <c r="L84" s="336">
        <v>1189.24</v>
      </c>
      <c r="M84" s="324">
        <v>0</v>
      </c>
      <c r="N84" s="324">
        <v>0</v>
      </c>
      <c r="O84" s="324">
        <v>0</v>
      </c>
      <c r="P84" s="324">
        <v>0</v>
      </c>
      <c r="Q84" s="140">
        <f t="shared" si="7"/>
        <v>7703.27</v>
      </c>
      <c r="R84" s="140">
        <f t="shared" si="10"/>
        <v>16939.43</v>
      </c>
      <c r="S84" s="324"/>
      <c r="T84" s="324"/>
      <c r="U84" s="324"/>
      <c r="V84" s="324"/>
      <c r="W84" s="324"/>
      <c r="X84" s="324"/>
      <c r="Y84" s="324"/>
      <c r="Z84" s="324"/>
      <c r="AA84" s="324"/>
      <c r="AB84" s="324"/>
      <c r="AC84" s="324"/>
    </row>
    <row r="85" spans="1:29">
      <c r="A85" s="353" t="s">
        <v>193</v>
      </c>
      <c r="B85" s="352">
        <v>16229.03</v>
      </c>
      <c r="C85" s="105">
        <f t="shared" si="8"/>
        <v>1100.3282339999998</v>
      </c>
      <c r="D85" s="105">
        <f t="shared" si="9"/>
        <v>366.77607799999998</v>
      </c>
      <c r="E85" s="319">
        <v>552</v>
      </c>
      <c r="F85" s="318">
        <v>17857.86</v>
      </c>
      <c r="G85" s="324">
        <v>5469.41</v>
      </c>
      <c r="H85" s="324">
        <v>239.64</v>
      </c>
      <c r="I85" s="324">
        <v>2007.22</v>
      </c>
      <c r="J85" s="324">
        <v>10141.59</v>
      </c>
      <c r="K85" s="336">
        <v>10071.36</v>
      </c>
      <c r="L85" s="336">
        <v>1558.6</v>
      </c>
      <c r="M85" s="324">
        <v>0</v>
      </c>
      <c r="N85" s="324">
        <v>0</v>
      </c>
      <c r="O85" s="324">
        <v>0</v>
      </c>
      <c r="P85" s="324">
        <v>0</v>
      </c>
      <c r="Q85" s="305">
        <f t="shared" si="7"/>
        <v>8512.76</v>
      </c>
      <c r="R85" s="305">
        <f t="shared" si="10"/>
        <v>16229.03</v>
      </c>
      <c r="S85" s="324"/>
      <c r="T85" s="324"/>
      <c r="U85" s="324"/>
      <c r="V85" s="324"/>
      <c r="W85" s="324"/>
      <c r="X85" s="324"/>
      <c r="Y85" s="324"/>
      <c r="Z85" s="324"/>
      <c r="AA85" s="324"/>
      <c r="AB85" s="324"/>
      <c r="AC85" s="324"/>
    </row>
    <row r="86" spans="1:29" ht="27.6" customHeight="1">
      <c r="A86" s="353" t="s">
        <v>194</v>
      </c>
      <c r="B86" s="352">
        <v>15162.519999999999</v>
      </c>
      <c r="C86" s="105">
        <f t="shared" si="8"/>
        <v>1028.0188559999999</v>
      </c>
      <c r="D86" s="105">
        <f t="shared" ref="D86" si="11">(B86*0.02)*1.13</f>
        <v>342.6729519999999</v>
      </c>
      <c r="E86" s="319">
        <v>533</v>
      </c>
      <c r="F86" s="318">
        <v>16072.88</v>
      </c>
      <c r="G86" s="324">
        <v>5188.95</v>
      </c>
      <c r="H86" s="324">
        <v>123.36</v>
      </c>
      <c r="I86" s="324">
        <v>2130.7199999999998</v>
      </c>
      <c r="J86" s="324">
        <v>8629.85</v>
      </c>
      <c r="K86" s="336">
        <v>9079.16</v>
      </c>
      <c r="L86" s="336">
        <v>1393.25</v>
      </c>
      <c r="M86" s="324">
        <v>33.58</v>
      </c>
      <c r="N86" s="324">
        <v>0</v>
      </c>
      <c r="O86" s="324">
        <v>0</v>
      </c>
      <c r="P86" s="324">
        <v>0</v>
      </c>
      <c r="Q86" s="305">
        <f t="shared" si="7"/>
        <v>7719.49</v>
      </c>
      <c r="R86" s="305">
        <f>SUM(G86,H86,I86,Q86)</f>
        <v>15162.519999999999</v>
      </c>
      <c r="S86" s="324"/>
      <c r="T86" s="324"/>
      <c r="U86" s="324"/>
      <c r="V86" s="324"/>
      <c r="W86" s="324"/>
      <c r="X86" s="324"/>
      <c r="Y86" s="324"/>
      <c r="Z86" s="324"/>
      <c r="AA86" s="324"/>
      <c r="AB86" s="324"/>
      <c r="AC86" s="324"/>
    </row>
    <row r="87" spans="1:29" ht="27.6" customHeight="1">
      <c r="A87" s="23" t="s">
        <v>482</v>
      </c>
      <c r="B87" s="362">
        <v>14629.579999999998</v>
      </c>
      <c r="C87" s="105">
        <f t="shared" ref="C87" si="12">(B87*0.06)*1.13</f>
        <v>991.88552399999969</v>
      </c>
      <c r="D87" s="105">
        <f t="shared" ref="D87" si="13">(B87*0.02)*1.13</f>
        <v>330.62850799999995</v>
      </c>
      <c r="E87" s="319">
        <v>535</v>
      </c>
      <c r="F87" s="318">
        <v>15783.72</v>
      </c>
      <c r="G87" s="324">
        <v>4951.6499999999996</v>
      </c>
      <c r="H87" s="324">
        <v>287.54000000000002</v>
      </c>
      <c r="I87" s="324">
        <v>2308.83</v>
      </c>
      <c r="J87" s="324">
        <v>8235.7000000000007</v>
      </c>
      <c r="K87" s="336">
        <v>8187.34</v>
      </c>
      <c r="L87" s="336">
        <v>1140.26</v>
      </c>
      <c r="M87" s="324">
        <v>0</v>
      </c>
      <c r="N87" s="324">
        <v>0</v>
      </c>
      <c r="O87" s="335">
        <v>45.46</v>
      </c>
      <c r="P87" s="335">
        <v>10.98</v>
      </c>
      <c r="Q87" s="305">
        <f t="shared" ref="Q87" si="14">((K87-L87)+(M87-N87)+(O87-P87))</f>
        <v>7081.5599999999995</v>
      </c>
      <c r="R87" s="305">
        <f>SUM(G87,H87,I87,Q87)</f>
        <v>14629.579999999998</v>
      </c>
      <c r="S87" s="324"/>
      <c r="T87" s="324"/>
      <c r="U87" s="324"/>
      <c r="V87" s="324"/>
      <c r="W87" s="324"/>
      <c r="X87" s="324"/>
      <c r="Y87" s="324"/>
      <c r="Z87" s="324"/>
      <c r="AA87" s="324"/>
      <c r="AB87" s="324"/>
      <c r="AC87" s="324"/>
    </row>
    <row r="88" spans="1:29" ht="27.6" customHeight="1">
      <c r="A88" s="353"/>
      <c r="B88" s="352"/>
      <c r="C88" s="105"/>
      <c r="D88" s="105"/>
      <c r="E88" s="319"/>
      <c r="F88" s="318"/>
      <c r="G88" s="324"/>
      <c r="H88" s="324"/>
      <c r="I88" s="324"/>
      <c r="J88" s="324"/>
      <c r="K88" s="336"/>
      <c r="L88" s="336"/>
      <c r="M88" s="324"/>
      <c r="N88" s="324"/>
      <c r="O88" s="324"/>
      <c r="P88" s="324"/>
      <c r="Q88" s="305"/>
      <c r="R88" s="305"/>
      <c r="S88" s="324"/>
      <c r="T88" s="324"/>
      <c r="U88" s="324"/>
      <c r="V88" s="324"/>
      <c r="W88" s="324"/>
      <c r="X88" s="324"/>
      <c r="Y88" s="324"/>
      <c r="Z88" s="324"/>
      <c r="AA88" s="324"/>
      <c r="AB88" s="324"/>
      <c r="AC88" s="324"/>
    </row>
    <row r="89" spans="1:29" ht="27.6" customHeight="1">
      <c r="A89" s="353"/>
      <c r="B89" s="352"/>
      <c r="C89" s="105"/>
      <c r="D89" s="105"/>
      <c r="E89" s="319"/>
      <c r="F89" s="318"/>
      <c r="G89" s="324"/>
      <c r="H89" s="324"/>
      <c r="I89" s="324"/>
      <c r="J89" s="324"/>
      <c r="K89" s="336"/>
      <c r="L89" s="336"/>
      <c r="M89" s="324"/>
      <c r="N89" s="324"/>
      <c r="O89" s="324"/>
      <c r="P89" s="324"/>
      <c r="Q89" s="305"/>
      <c r="R89" s="305"/>
      <c r="S89" s="324"/>
      <c r="T89" s="324"/>
      <c r="U89" s="324"/>
      <c r="V89" s="324"/>
      <c r="W89" s="324"/>
      <c r="X89" s="324"/>
      <c r="Y89" s="324"/>
      <c r="Z89" s="324"/>
      <c r="AA89" s="324"/>
      <c r="AB89" s="324"/>
      <c r="AC89" s="324"/>
    </row>
    <row r="90" spans="1:29" ht="27.6" customHeight="1">
      <c r="A90" s="45" t="s">
        <v>415</v>
      </c>
      <c r="B90" s="327"/>
      <c r="C90" s="327"/>
      <c r="D90" s="326"/>
      <c r="E90" s="45"/>
      <c r="F90" s="45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</row>
    <row r="91" spans="1:29" ht="27.6">
      <c r="A91" s="30" t="s">
        <v>0</v>
      </c>
      <c r="B91" s="30" t="s">
        <v>337</v>
      </c>
      <c r="C91" s="30" t="s">
        <v>359</v>
      </c>
      <c r="D91" s="30" t="s">
        <v>360</v>
      </c>
      <c r="E91" s="30"/>
      <c r="F91" s="30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</row>
    <row r="92" spans="1:29">
      <c r="A92" s="11" t="s">
        <v>174</v>
      </c>
      <c r="B92" s="106">
        <v>14325.5</v>
      </c>
      <c r="C92" s="105">
        <f t="shared" ref="C92:C98" si="15">(B89*0.06)*1.13</f>
        <v>0</v>
      </c>
      <c r="D92" s="105">
        <f t="shared" ref="D92:D98" si="16">(B89*0.02)*1.13</f>
        <v>0</v>
      </c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</row>
    <row r="93" spans="1:29">
      <c r="A93" s="11" t="s">
        <v>176</v>
      </c>
      <c r="B93" s="106">
        <v>15858.82</v>
      </c>
      <c r="C93" s="105">
        <f t="shared" si="15"/>
        <v>0</v>
      </c>
      <c r="D93" s="105">
        <f t="shared" si="16"/>
        <v>0</v>
      </c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</row>
    <row r="94" spans="1:29">
      <c r="A94" s="11" t="s">
        <v>178</v>
      </c>
      <c r="B94" s="106">
        <v>17564.11</v>
      </c>
      <c r="C94" s="105" t="e">
        <f t="shared" si="15"/>
        <v>#VALUE!</v>
      </c>
      <c r="D94" s="105" t="e">
        <f t="shared" si="16"/>
        <v>#VALUE!</v>
      </c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</row>
    <row r="95" spans="1:29">
      <c r="A95" s="11" t="s">
        <v>180</v>
      </c>
      <c r="B95" s="106">
        <v>16208.28</v>
      </c>
      <c r="C95" s="105">
        <f t="shared" si="15"/>
        <v>971.26889999999992</v>
      </c>
      <c r="D95" s="105">
        <f t="shared" si="16"/>
        <v>323.75629999999995</v>
      </c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</row>
    <row r="96" spans="1:29">
      <c r="A96" s="2" t="s">
        <v>182</v>
      </c>
      <c r="B96" s="106">
        <v>15776.96</v>
      </c>
      <c r="C96" s="105">
        <f t="shared" si="15"/>
        <v>1075.2279959999998</v>
      </c>
      <c r="D96" s="105">
        <f t="shared" si="16"/>
        <v>358.40933199999995</v>
      </c>
    </row>
    <row r="97" spans="1:4">
      <c r="A97" s="11" t="s">
        <v>184</v>
      </c>
      <c r="B97" s="106">
        <v>15478.96</v>
      </c>
      <c r="C97" s="105">
        <f t="shared" si="15"/>
        <v>1190.8466579999999</v>
      </c>
      <c r="D97" s="105">
        <f t="shared" si="16"/>
        <v>396.94888600000002</v>
      </c>
    </row>
    <row r="98" spans="1:4">
      <c r="A98" s="11" t="s">
        <v>186</v>
      </c>
      <c r="B98" s="106">
        <v>16027.28</v>
      </c>
      <c r="C98" s="105">
        <f t="shared" si="15"/>
        <v>1098.921384</v>
      </c>
      <c r="D98" s="105">
        <f t="shared" si="16"/>
        <v>366.30712800000003</v>
      </c>
    </row>
    <row r="99" spans="1:4">
      <c r="A99" s="11" t="s">
        <v>188</v>
      </c>
      <c r="B99" s="106">
        <v>16047.12</v>
      </c>
      <c r="C99" s="105">
        <f>(B97*0.06)*1.13</f>
        <v>1049.4734879999999</v>
      </c>
      <c r="D99" s="105">
        <f>(B97*0.02)*1.13</f>
        <v>349.82449600000001</v>
      </c>
    </row>
    <row r="100" spans="1:4">
      <c r="A100" s="2" t="s">
        <v>192</v>
      </c>
      <c r="B100" s="106">
        <v>16939.43</v>
      </c>
      <c r="C100" s="105">
        <f>(B98*0.06)*1.13</f>
        <v>1086.6495839999998</v>
      </c>
      <c r="D100" s="105">
        <f>(B98*0.02)*1.13</f>
        <v>362.21652799999998</v>
      </c>
    </row>
    <row r="101" spans="1:4">
      <c r="A101" s="11" t="s">
        <v>193</v>
      </c>
      <c r="B101" s="106">
        <v>16229.03</v>
      </c>
      <c r="C101" s="105">
        <f>(B100*0.06)*1.13</f>
        <v>1148.493354</v>
      </c>
      <c r="D101" s="105">
        <f>(B100*0.02)*1.13</f>
        <v>382.831118</v>
      </c>
    </row>
    <row r="102" spans="1:4">
      <c r="A102" s="2" t="s">
        <v>194</v>
      </c>
      <c r="B102" s="106">
        <v>15162.519999999999</v>
      </c>
      <c r="C102" s="105">
        <v>1028.0188559999999</v>
      </c>
      <c r="D102" s="105">
        <v>342.6729519999999</v>
      </c>
    </row>
    <row r="103" spans="1:4">
      <c r="A103" s="23" t="s">
        <v>482</v>
      </c>
      <c r="B103" s="362">
        <v>14629.579999999998</v>
      </c>
      <c r="C103" s="105">
        <f t="shared" ref="C103" si="17">(B103*0.06)*1.13</f>
        <v>991.88552399999969</v>
      </c>
      <c r="D103" s="105">
        <f t="shared" ref="D103" si="18">(B103*0.02)*1.13</f>
        <v>330.62850799999995</v>
      </c>
    </row>
    <row r="104" spans="1:4">
      <c r="A104" s="2"/>
      <c r="B104" s="106"/>
      <c r="C104" s="105"/>
      <c r="D104" s="105"/>
    </row>
    <row r="105" spans="1:4">
      <c r="A105" s="11"/>
      <c r="B105" s="106"/>
      <c r="C105" s="105"/>
      <c r="D105" s="105"/>
    </row>
    <row r="106" spans="1:4">
      <c r="A106" s="2"/>
      <c r="B106" s="106"/>
      <c r="C106" s="105"/>
      <c r="D106" s="105"/>
    </row>
    <row r="107" spans="1:4">
      <c r="A107" s="11"/>
      <c r="B107" s="106"/>
      <c r="C107" s="105"/>
      <c r="D107" s="105"/>
    </row>
  </sheetData>
  <mergeCells count="1">
    <mergeCell ref="A1:D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C73"/>
  <sheetViews>
    <sheetView topLeftCell="A30" zoomScaleNormal="100" workbookViewId="0">
      <selection activeCell="C78" sqref="C78"/>
    </sheetView>
  </sheetViews>
  <sheetFormatPr defaultRowHeight="14.4"/>
  <cols>
    <col min="1" max="1" width="28.109375" customWidth="1"/>
    <col min="2" max="2" width="24.33203125" customWidth="1"/>
    <col min="3" max="5" width="19.5546875" customWidth="1"/>
    <col min="6" max="6" width="18.5546875" customWidth="1"/>
    <col min="7" max="7" width="18.6640625" customWidth="1"/>
    <col min="8" max="8" width="17.33203125" customWidth="1"/>
    <col min="9" max="9" width="14.6640625" customWidth="1"/>
    <col min="10" max="10" width="16.88671875" customWidth="1"/>
    <col min="11" max="11" width="15.88671875" customWidth="1"/>
    <col min="12" max="12" width="15.33203125" customWidth="1"/>
    <col min="13" max="13" width="17.6640625" customWidth="1"/>
    <col min="14" max="14" width="17.109375" customWidth="1"/>
  </cols>
  <sheetData>
    <row r="1" spans="1:15">
      <c r="A1" s="363" t="s">
        <v>443</v>
      </c>
      <c r="B1" s="364"/>
      <c r="C1" s="364"/>
      <c r="D1" s="365"/>
      <c r="E1" s="224"/>
      <c r="F1" s="224"/>
      <c r="G1" s="173"/>
      <c r="H1" s="173"/>
      <c r="I1" s="173"/>
      <c r="J1" s="173"/>
      <c r="K1" s="173"/>
      <c r="L1" s="173"/>
      <c r="M1" s="173"/>
      <c r="N1" s="173"/>
      <c r="O1" s="173"/>
    </row>
    <row r="2" spans="1:15" ht="28.2" customHeight="1">
      <c r="A2" s="198" t="s">
        <v>0</v>
      </c>
      <c r="B2" s="198" t="s">
        <v>337</v>
      </c>
      <c r="C2" s="198" t="s">
        <v>359</v>
      </c>
      <c r="D2" s="198" t="s">
        <v>360</v>
      </c>
      <c r="E2" s="198" t="s">
        <v>100</v>
      </c>
      <c r="F2" s="198" t="s">
        <v>444</v>
      </c>
      <c r="G2" s="183" t="s">
        <v>80</v>
      </c>
      <c r="H2" s="183" t="s">
        <v>81</v>
      </c>
      <c r="I2" s="183" t="s">
        <v>82</v>
      </c>
      <c r="J2" s="183" t="s">
        <v>83</v>
      </c>
      <c r="K2" s="183" t="s">
        <v>445</v>
      </c>
      <c r="L2" s="183" t="s">
        <v>446</v>
      </c>
      <c r="M2" s="183" t="s">
        <v>106</v>
      </c>
      <c r="N2" s="183" t="s">
        <v>107</v>
      </c>
      <c r="O2" s="173"/>
    </row>
    <row r="3" spans="1:15">
      <c r="A3" s="173" t="s">
        <v>118</v>
      </c>
      <c r="B3" s="142">
        <v>664.16</v>
      </c>
      <c r="C3" s="191">
        <f t="shared" ref="C3:C34" si="0">(B3*0.06)*1.13</f>
        <v>45.030047999999994</v>
      </c>
      <c r="D3" s="191">
        <f t="shared" ref="D3:D34" si="1">(B3*0.02)*1.13</f>
        <v>15.010015999999997</v>
      </c>
      <c r="E3" s="290"/>
      <c r="F3" s="255">
        <v>664.16</v>
      </c>
      <c r="G3" s="142">
        <v>664.16</v>
      </c>
      <c r="H3" s="106"/>
      <c r="I3" s="106"/>
      <c r="J3" s="106"/>
      <c r="K3" s="254"/>
      <c r="L3" s="254"/>
      <c r="M3" s="173"/>
      <c r="N3" s="173">
        <f>SUM(G3,H3,I3,M3)</f>
        <v>664.16</v>
      </c>
      <c r="O3" s="223"/>
    </row>
    <row r="4" spans="1:15">
      <c r="A4" s="173" t="s">
        <v>119</v>
      </c>
      <c r="B4" s="106">
        <v>1547.11</v>
      </c>
      <c r="C4" s="191">
        <f t="shared" si="0"/>
        <v>104.89405799999997</v>
      </c>
      <c r="D4" s="191">
        <f t="shared" si="1"/>
        <v>34.964685999999993</v>
      </c>
      <c r="E4" s="191"/>
      <c r="F4" s="173"/>
      <c r="G4" s="142"/>
      <c r="H4" s="118"/>
      <c r="I4" s="118"/>
      <c r="J4" s="11"/>
      <c r="K4" s="173"/>
      <c r="L4" s="173"/>
      <c r="M4" s="173"/>
      <c r="N4" s="173"/>
      <c r="O4" s="173"/>
    </row>
    <row r="5" spans="1:15">
      <c r="A5" s="173" t="s">
        <v>120</v>
      </c>
      <c r="B5" s="106">
        <v>2799.9</v>
      </c>
      <c r="C5" s="191">
        <f t="shared" si="0"/>
        <v>189.83321999999998</v>
      </c>
      <c r="D5" s="191">
        <f t="shared" si="1"/>
        <v>63.277740000000001</v>
      </c>
      <c r="E5" s="191"/>
      <c r="F5" s="106">
        <v>2799.9</v>
      </c>
      <c r="G5" s="106">
        <v>2799.9</v>
      </c>
      <c r="H5" s="173"/>
      <c r="I5" s="173"/>
      <c r="J5" s="173"/>
      <c r="K5" s="145">
        <v>291.93</v>
      </c>
      <c r="L5" s="173">
        <v>0</v>
      </c>
      <c r="M5" s="173">
        <f t="shared" ref="M5:M36" si="2">K5-L5</f>
        <v>291.93</v>
      </c>
      <c r="N5" s="173"/>
      <c r="O5" s="173"/>
    </row>
    <row r="6" spans="1:15">
      <c r="A6" s="173" t="s">
        <v>121</v>
      </c>
      <c r="B6" s="106">
        <v>4365.58</v>
      </c>
      <c r="C6" s="191">
        <f t="shared" si="0"/>
        <v>295.98632399999997</v>
      </c>
      <c r="D6" s="191">
        <f t="shared" si="1"/>
        <v>98.662107999999989</v>
      </c>
      <c r="E6" s="191"/>
      <c r="F6" s="106">
        <v>4365.58</v>
      </c>
      <c r="G6" s="106">
        <v>4365.58</v>
      </c>
      <c r="H6" s="173"/>
      <c r="I6" s="173"/>
      <c r="J6" s="173"/>
      <c r="K6" s="143">
        <v>1235.52</v>
      </c>
      <c r="L6" s="145">
        <v>105.1</v>
      </c>
      <c r="M6" s="173">
        <f t="shared" si="2"/>
        <v>1130.42</v>
      </c>
      <c r="N6" s="173"/>
      <c r="O6" s="173"/>
    </row>
    <row r="7" spans="1:15">
      <c r="A7" s="173" t="s">
        <v>122</v>
      </c>
      <c r="B7" s="106">
        <v>4947.29</v>
      </c>
      <c r="C7" s="191">
        <f t="shared" si="0"/>
        <v>335.42626199999995</v>
      </c>
      <c r="D7" s="191">
        <f t="shared" si="1"/>
        <v>111.80875399999999</v>
      </c>
      <c r="E7" s="191"/>
      <c r="F7" s="11"/>
      <c r="G7" s="106">
        <v>4947.29</v>
      </c>
      <c r="H7" s="173"/>
      <c r="I7" s="173"/>
      <c r="J7" s="173"/>
      <c r="K7" s="143">
        <v>1186.6400000000001</v>
      </c>
      <c r="L7" s="145">
        <v>86.8</v>
      </c>
      <c r="M7" s="173">
        <f t="shared" si="2"/>
        <v>1099.8400000000001</v>
      </c>
      <c r="N7" s="173"/>
      <c r="O7" s="173"/>
    </row>
    <row r="8" spans="1:15">
      <c r="A8" s="173" t="s">
        <v>123</v>
      </c>
      <c r="B8" s="106">
        <v>4793.1099999999997</v>
      </c>
      <c r="C8" s="191">
        <f t="shared" si="0"/>
        <v>324.97285799999992</v>
      </c>
      <c r="D8" s="191">
        <f t="shared" si="1"/>
        <v>108.32428599999999</v>
      </c>
      <c r="E8" s="191"/>
      <c r="F8" s="11"/>
      <c r="G8" s="106">
        <v>4793.1099999999997</v>
      </c>
      <c r="H8" s="173"/>
      <c r="I8" s="173"/>
      <c r="J8" s="173"/>
      <c r="K8" s="143">
        <v>1830.45</v>
      </c>
      <c r="L8" s="145">
        <v>70.2</v>
      </c>
      <c r="M8" s="173">
        <f t="shared" si="2"/>
        <v>1760.25</v>
      </c>
      <c r="N8" s="173"/>
      <c r="O8" s="173"/>
    </row>
    <row r="9" spans="1:15">
      <c r="A9" s="173" t="s">
        <v>124</v>
      </c>
      <c r="B9" s="106">
        <v>5624.88</v>
      </c>
      <c r="C9" s="191">
        <f t="shared" si="0"/>
        <v>381.36686399999996</v>
      </c>
      <c r="D9" s="191">
        <f t="shared" si="1"/>
        <v>127.122288</v>
      </c>
      <c r="E9" s="191"/>
      <c r="F9" s="11"/>
      <c r="G9" s="142">
        <v>5624.88</v>
      </c>
      <c r="H9" s="173"/>
      <c r="I9" s="173"/>
      <c r="J9" s="173"/>
      <c r="K9" s="143">
        <v>1263.81</v>
      </c>
      <c r="L9" s="145">
        <v>99.44</v>
      </c>
      <c r="M9" s="173">
        <f t="shared" si="2"/>
        <v>1164.3699999999999</v>
      </c>
      <c r="N9" s="173"/>
      <c r="O9" s="173"/>
    </row>
    <row r="10" spans="1:15">
      <c r="A10" s="173" t="s">
        <v>125</v>
      </c>
      <c r="B10" s="142">
        <v>6403.23</v>
      </c>
      <c r="C10" s="191">
        <f t="shared" si="0"/>
        <v>434.13899399999991</v>
      </c>
      <c r="D10" s="191">
        <f t="shared" si="1"/>
        <v>144.71299799999997</v>
      </c>
      <c r="E10" s="191"/>
      <c r="F10" s="142">
        <v>6403.23</v>
      </c>
      <c r="G10" s="142">
        <v>6403.23</v>
      </c>
      <c r="H10" s="173"/>
      <c r="I10" s="173"/>
      <c r="J10" s="173"/>
      <c r="K10" s="143">
        <v>1556.64</v>
      </c>
      <c r="L10" s="145">
        <v>79.56</v>
      </c>
      <c r="M10" s="173">
        <f t="shared" si="2"/>
        <v>1477.0800000000002</v>
      </c>
      <c r="N10" s="173"/>
      <c r="O10" s="173"/>
    </row>
    <row r="11" spans="1:15">
      <c r="A11" s="187" t="s">
        <v>126</v>
      </c>
      <c r="B11" s="106">
        <v>6338.56</v>
      </c>
      <c r="C11" s="191">
        <f t="shared" si="0"/>
        <v>429.75436799999994</v>
      </c>
      <c r="D11" s="191">
        <f t="shared" si="1"/>
        <v>143.25145599999999</v>
      </c>
      <c r="E11" s="191"/>
      <c r="F11" s="106">
        <v>6338.56</v>
      </c>
      <c r="G11" s="106">
        <v>6338.56</v>
      </c>
      <c r="H11" s="173"/>
      <c r="I11" s="173"/>
      <c r="J11" s="173"/>
      <c r="K11" s="143">
        <v>1515.09</v>
      </c>
      <c r="L11" s="145">
        <v>105.05</v>
      </c>
      <c r="M11" s="173">
        <f t="shared" si="2"/>
        <v>1410.04</v>
      </c>
      <c r="N11" s="173"/>
      <c r="O11" s="173"/>
    </row>
    <row r="12" spans="1:15">
      <c r="A12" s="187" t="s">
        <v>127</v>
      </c>
      <c r="B12" s="106">
        <v>6910.99</v>
      </c>
      <c r="C12" s="191">
        <f t="shared" si="0"/>
        <v>468.56512199999992</v>
      </c>
      <c r="D12" s="191">
        <f t="shared" si="1"/>
        <v>156.18837399999998</v>
      </c>
      <c r="E12" s="11">
        <v>292</v>
      </c>
      <c r="F12" s="106">
        <v>6910.99</v>
      </c>
      <c r="G12" s="106">
        <v>6910.99</v>
      </c>
      <c r="H12" s="173"/>
      <c r="I12" s="173"/>
      <c r="J12" s="173"/>
      <c r="K12" s="143">
        <v>972.39</v>
      </c>
      <c r="L12" s="145">
        <v>132.79</v>
      </c>
      <c r="M12" s="173">
        <f t="shared" si="2"/>
        <v>839.6</v>
      </c>
      <c r="N12" s="173"/>
      <c r="O12" s="173"/>
    </row>
    <row r="13" spans="1:15">
      <c r="A13" s="187" t="s">
        <v>128</v>
      </c>
      <c r="B13" s="11">
        <v>7603.96</v>
      </c>
      <c r="C13" s="191">
        <f t="shared" si="0"/>
        <v>515.54848799999991</v>
      </c>
      <c r="D13" s="191">
        <f t="shared" si="1"/>
        <v>171.84949599999999</v>
      </c>
      <c r="E13" s="11">
        <v>272</v>
      </c>
      <c r="F13" s="142">
        <v>7016.72</v>
      </c>
      <c r="G13" s="106">
        <v>5957.03</v>
      </c>
      <c r="H13" s="173"/>
      <c r="I13" s="173"/>
      <c r="J13" s="106">
        <v>1059.69</v>
      </c>
      <c r="K13" s="143">
        <v>1791.65</v>
      </c>
      <c r="L13" s="145">
        <v>144.72</v>
      </c>
      <c r="M13" s="173">
        <f t="shared" si="2"/>
        <v>1646.93</v>
      </c>
      <c r="N13" s="173">
        <f t="shared" ref="N13:N55" si="3">SUM(G13,H13,I13,M13)</f>
        <v>7603.96</v>
      </c>
      <c r="O13" s="173"/>
    </row>
    <row r="14" spans="1:15">
      <c r="A14" s="187" t="s">
        <v>129</v>
      </c>
      <c r="B14" s="11">
        <v>7021.7199999999993</v>
      </c>
      <c r="C14" s="191">
        <f t="shared" si="0"/>
        <v>476.07261599999987</v>
      </c>
      <c r="D14" s="191">
        <f t="shared" si="1"/>
        <v>158.69087199999996</v>
      </c>
      <c r="E14" s="11">
        <v>295</v>
      </c>
      <c r="F14" s="142">
        <v>7104.35</v>
      </c>
      <c r="G14" s="106">
        <v>5850.61</v>
      </c>
      <c r="H14" s="173"/>
      <c r="I14" s="173"/>
      <c r="J14" s="106">
        <v>1253.74</v>
      </c>
      <c r="K14" s="143">
        <v>1310.71</v>
      </c>
      <c r="L14" s="145">
        <v>139.6</v>
      </c>
      <c r="M14" s="173">
        <f t="shared" si="2"/>
        <v>1171.1100000000001</v>
      </c>
      <c r="N14" s="173">
        <f t="shared" si="3"/>
        <v>7021.7199999999993</v>
      </c>
      <c r="O14" s="173"/>
    </row>
    <row r="15" spans="1:15">
      <c r="A15" s="187" t="s">
        <v>130</v>
      </c>
      <c r="B15" s="11">
        <v>9389.619999999999</v>
      </c>
      <c r="C15" s="191">
        <f t="shared" si="0"/>
        <v>636.61623599999984</v>
      </c>
      <c r="D15" s="191">
        <f t="shared" si="1"/>
        <v>212.20541199999997</v>
      </c>
      <c r="E15" s="11">
        <v>362</v>
      </c>
      <c r="F15" s="142">
        <v>9626.57</v>
      </c>
      <c r="G15" s="106">
        <v>7180.12</v>
      </c>
      <c r="H15" s="173"/>
      <c r="I15" s="106">
        <v>513.74</v>
      </c>
      <c r="J15" s="106">
        <v>1932.71</v>
      </c>
      <c r="K15" s="143">
        <v>1857.15</v>
      </c>
      <c r="L15" s="145">
        <v>161.38999999999999</v>
      </c>
      <c r="M15" s="173">
        <f t="shared" si="2"/>
        <v>1695.7600000000002</v>
      </c>
      <c r="N15" s="173">
        <f t="shared" si="3"/>
        <v>9389.619999999999</v>
      </c>
      <c r="O15" s="173"/>
    </row>
    <row r="16" spans="1:15">
      <c r="A16" s="187" t="s">
        <v>131</v>
      </c>
      <c r="B16" s="11">
        <v>7673.65</v>
      </c>
      <c r="C16" s="191">
        <f t="shared" si="0"/>
        <v>520.27346999999997</v>
      </c>
      <c r="D16" s="191">
        <f t="shared" si="1"/>
        <v>173.42448999999996</v>
      </c>
      <c r="E16" s="11">
        <v>320</v>
      </c>
      <c r="F16" s="142">
        <v>7809.76</v>
      </c>
      <c r="G16" s="106">
        <v>6042.25</v>
      </c>
      <c r="H16" s="173"/>
      <c r="I16" s="106">
        <v>217.4</v>
      </c>
      <c r="J16" s="106">
        <v>1550.11</v>
      </c>
      <c r="K16" s="143">
        <v>1568.7</v>
      </c>
      <c r="L16" s="145">
        <v>154.69999999999999</v>
      </c>
      <c r="M16" s="173">
        <f t="shared" si="2"/>
        <v>1414</v>
      </c>
      <c r="N16" s="173">
        <f t="shared" si="3"/>
        <v>7673.65</v>
      </c>
      <c r="O16" s="173"/>
    </row>
    <row r="17" spans="1:15">
      <c r="A17" s="187" t="s">
        <v>132</v>
      </c>
      <c r="B17" s="11">
        <v>7636.43</v>
      </c>
      <c r="C17" s="191">
        <f t="shared" si="0"/>
        <v>517.749954</v>
      </c>
      <c r="D17" s="191">
        <f t="shared" si="1"/>
        <v>172.58331799999999</v>
      </c>
      <c r="E17" s="11">
        <v>327</v>
      </c>
      <c r="F17" s="142">
        <v>7730.38</v>
      </c>
      <c r="G17" s="106">
        <v>5813.68</v>
      </c>
      <c r="H17" s="173"/>
      <c r="I17" s="106">
        <v>111.05</v>
      </c>
      <c r="J17" s="106">
        <v>1805.65</v>
      </c>
      <c r="K17" s="143">
        <v>1849.11</v>
      </c>
      <c r="L17" s="145">
        <v>137.41</v>
      </c>
      <c r="M17" s="173">
        <f t="shared" si="2"/>
        <v>1711.6999999999998</v>
      </c>
      <c r="N17" s="173">
        <f t="shared" si="3"/>
        <v>7636.43</v>
      </c>
      <c r="O17" s="173"/>
    </row>
    <row r="18" spans="1:15">
      <c r="A18" s="187" t="s">
        <v>133</v>
      </c>
      <c r="B18" s="11">
        <v>9006.58</v>
      </c>
      <c r="C18" s="191">
        <f t="shared" si="0"/>
        <v>610.64612399999999</v>
      </c>
      <c r="D18" s="191">
        <f t="shared" si="1"/>
        <v>203.54870799999998</v>
      </c>
      <c r="E18" s="11">
        <v>355</v>
      </c>
      <c r="F18" s="142">
        <v>9233.7199999999993</v>
      </c>
      <c r="G18" s="106">
        <v>7099.5</v>
      </c>
      <c r="H18" s="173"/>
      <c r="I18" s="106">
        <v>242.59</v>
      </c>
      <c r="J18" s="106">
        <v>1891.63</v>
      </c>
      <c r="K18" s="143">
        <v>1814.57</v>
      </c>
      <c r="L18" s="145">
        <v>150.08000000000001</v>
      </c>
      <c r="M18" s="173">
        <f t="shared" si="2"/>
        <v>1664.49</v>
      </c>
      <c r="N18" s="173">
        <f t="shared" si="3"/>
        <v>9006.58</v>
      </c>
      <c r="O18" s="173"/>
    </row>
    <row r="19" spans="1:15">
      <c r="A19" s="187" t="s">
        <v>134</v>
      </c>
      <c r="B19" s="11">
        <v>8431.4</v>
      </c>
      <c r="C19" s="191">
        <f t="shared" si="0"/>
        <v>571.64891999999986</v>
      </c>
      <c r="D19" s="191">
        <f t="shared" si="1"/>
        <v>190.54963999999995</v>
      </c>
      <c r="E19" s="11">
        <v>334</v>
      </c>
      <c r="F19" s="142">
        <v>8531.43</v>
      </c>
      <c r="G19" s="106">
        <v>6374</v>
      </c>
      <c r="H19" s="173"/>
      <c r="I19" s="106">
        <v>115.78</v>
      </c>
      <c r="J19" s="106">
        <v>2041.65</v>
      </c>
      <c r="K19" s="143">
        <v>2023.36</v>
      </c>
      <c r="L19" s="145">
        <v>81.739999999999995</v>
      </c>
      <c r="M19" s="173">
        <f t="shared" si="2"/>
        <v>1941.62</v>
      </c>
      <c r="N19" s="173">
        <f t="shared" si="3"/>
        <v>8431.4</v>
      </c>
      <c r="O19" s="173"/>
    </row>
    <row r="20" spans="1:15">
      <c r="A20" s="187" t="s">
        <v>135</v>
      </c>
      <c r="B20" s="11">
        <v>7397.4699999999993</v>
      </c>
      <c r="C20" s="191">
        <f t="shared" si="0"/>
        <v>501.54846599999991</v>
      </c>
      <c r="D20" s="191">
        <f t="shared" si="1"/>
        <v>167.18282199999999</v>
      </c>
      <c r="E20" s="11">
        <v>311</v>
      </c>
      <c r="F20" s="142">
        <v>7386.62</v>
      </c>
      <c r="G20" s="106">
        <v>5610.51</v>
      </c>
      <c r="H20" s="173"/>
      <c r="I20" s="106">
        <v>72.900000000000006</v>
      </c>
      <c r="J20" s="106">
        <v>1703.21</v>
      </c>
      <c r="K20" s="294">
        <v>1798.56</v>
      </c>
      <c r="L20" s="295">
        <v>84.5</v>
      </c>
      <c r="M20" s="173">
        <f t="shared" si="2"/>
        <v>1714.06</v>
      </c>
      <c r="N20" s="173">
        <f t="shared" si="3"/>
        <v>7397.4699999999993</v>
      </c>
      <c r="O20" s="173"/>
    </row>
    <row r="21" spans="1:15">
      <c r="A21" s="187" t="s">
        <v>136</v>
      </c>
      <c r="B21" s="11">
        <v>7398.78</v>
      </c>
      <c r="C21" s="191">
        <f t="shared" si="0"/>
        <v>501.63728399999991</v>
      </c>
      <c r="D21" s="191">
        <f t="shared" si="1"/>
        <v>167.21242799999996</v>
      </c>
      <c r="E21" s="56">
        <v>323</v>
      </c>
      <c r="F21" s="142">
        <v>7513.93</v>
      </c>
      <c r="G21" s="106">
        <v>5237.2</v>
      </c>
      <c r="H21" s="173"/>
      <c r="I21" s="106">
        <v>217.16</v>
      </c>
      <c r="J21" s="106">
        <v>2059.5700000000002</v>
      </c>
      <c r="K21" s="143">
        <v>2026.84</v>
      </c>
      <c r="L21" s="145">
        <v>82.42</v>
      </c>
      <c r="M21" s="173">
        <f t="shared" si="2"/>
        <v>1944.4199999999998</v>
      </c>
      <c r="N21" s="173">
        <f t="shared" si="3"/>
        <v>7398.78</v>
      </c>
      <c r="O21" s="173"/>
    </row>
    <row r="22" spans="1:15">
      <c r="A22" s="187" t="s">
        <v>137</v>
      </c>
      <c r="B22" s="11">
        <v>7341.9400000000014</v>
      </c>
      <c r="C22" s="191">
        <f t="shared" si="0"/>
        <v>497.78353200000004</v>
      </c>
      <c r="D22" s="191">
        <f t="shared" si="1"/>
        <v>165.92784399999999</v>
      </c>
      <c r="E22" s="11">
        <v>293</v>
      </c>
      <c r="F22" s="142">
        <v>7334.35</v>
      </c>
      <c r="G22" s="106">
        <v>5453.04</v>
      </c>
      <c r="H22" s="173"/>
      <c r="I22" s="106">
        <v>293.33999999999997</v>
      </c>
      <c r="J22" s="106">
        <v>1587.97</v>
      </c>
      <c r="K22" s="143">
        <v>1680.62</v>
      </c>
      <c r="L22" s="145">
        <v>85.06</v>
      </c>
      <c r="M22" s="173">
        <f t="shared" si="2"/>
        <v>1595.56</v>
      </c>
      <c r="N22" s="173">
        <f t="shared" si="3"/>
        <v>7341.9400000000005</v>
      </c>
      <c r="O22" s="173"/>
    </row>
    <row r="23" spans="1:15">
      <c r="A23" s="187" t="s">
        <v>138</v>
      </c>
      <c r="B23" s="11">
        <v>9463.4</v>
      </c>
      <c r="C23" s="191">
        <f t="shared" si="0"/>
        <v>641.61851999999988</v>
      </c>
      <c r="D23" s="191">
        <f t="shared" si="1"/>
        <v>213.87283999999997</v>
      </c>
      <c r="E23" s="11">
        <v>358</v>
      </c>
      <c r="F23" s="142">
        <v>9546.61</v>
      </c>
      <c r="G23" s="106">
        <v>6246.2</v>
      </c>
      <c r="H23" s="173"/>
      <c r="I23" s="106">
        <v>494.71</v>
      </c>
      <c r="J23" s="106">
        <v>2805.7</v>
      </c>
      <c r="K23" s="143">
        <v>2804.51</v>
      </c>
      <c r="L23" s="145">
        <v>82.02</v>
      </c>
      <c r="M23" s="173">
        <f t="shared" si="2"/>
        <v>2722.4900000000002</v>
      </c>
      <c r="N23" s="173">
        <f t="shared" si="3"/>
        <v>9463.4</v>
      </c>
      <c r="O23" s="173"/>
    </row>
    <row r="24" spans="1:15">
      <c r="A24" s="187" t="s">
        <v>139</v>
      </c>
      <c r="B24" s="11">
        <v>8229.9</v>
      </c>
      <c r="C24" s="191">
        <f t="shared" si="0"/>
        <v>557.98721999999998</v>
      </c>
      <c r="D24" s="191">
        <f t="shared" si="1"/>
        <v>185.99573999999996</v>
      </c>
      <c r="E24" s="11">
        <v>340</v>
      </c>
      <c r="F24" s="142">
        <v>8237.23</v>
      </c>
      <c r="G24" s="106">
        <v>5767.37</v>
      </c>
      <c r="H24" s="173"/>
      <c r="I24" s="106">
        <v>739.57</v>
      </c>
      <c r="J24" s="106">
        <v>1730.29</v>
      </c>
      <c r="K24" s="145">
        <v>1807.58</v>
      </c>
      <c r="L24" s="145">
        <v>84.62</v>
      </c>
      <c r="M24" s="173">
        <f t="shared" si="2"/>
        <v>1722.96</v>
      </c>
      <c r="N24" s="173">
        <f t="shared" si="3"/>
        <v>8229.9</v>
      </c>
      <c r="O24" s="173"/>
    </row>
    <row r="25" spans="1:15">
      <c r="A25" s="187" t="s">
        <v>140</v>
      </c>
      <c r="B25" s="11">
        <v>7408.42</v>
      </c>
      <c r="C25" s="191">
        <f t="shared" si="0"/>
        <v>502.29087599999997</v>
      </c>
      <c r="D25" s="191">
        <f t="shared" si="1"/>
        <v>167.43029199999998</v>
      </c>
      <c r="E25" s="56"/>
      <c r="F25" s="187">
        <v>7456.76</v>
      </c>
      <c r="G25" s="187">
        <v>4598.46</v>
      </c>
      <c r="H25" s="187">
        <v>0</v>
      </c>
      <c r="I25" s="187">
        <v>454.67</v>
      </c>
      <c r="J25" s="187">
        <v>2403.63</v>
      </c>
      <c r="K25" s="298">
        <v>2457.81</v>
      </c>
      <c r="L25" s="298">
        <v>102.52</v>
      </c>
      <c r="M25" s="173">
        <f t="shared" si="2"/>
        <v>2355.29</v>
      </c>
      <c r="N25" s="173">
        <f t="shared" si="3"/>
        <v>7408.42</v>
      </c>
      <c r="O25" s="173"/>
    </row>
    <row r="26" spans="1:15">
      <c r="A26" s="187" t="s">
        <v>141</v>
      </c>
      <c r="B26" s="173">
        <v>9439.5399999999991</v>
      </c>
      <c r="C26" s="191">
        <f t="shared" si="0"/>
        <v>640.00081199999988</v>
      </c>
      <c r="D26" s="191">
        <f t="shared" si="1"/>
        <v>213.33360399999998</v>
      </c>
      <c r="E26" s="56">
        <v>376</v>
      </c>
      <c r="F26" s="187">
        <v>9422.5499999999993</v>
      </c>
      <c r="G26" s="187">
        <v>5553.79</v>
      </c>
      <c r="H26" s="187">
        <v>0</v>
      </c>
      <c r="I26" s="187">
        <v>210.9</v>
      </c>
      <c r="J26" s="187">
        <v>3657.86</v>
      </c>
      <c r="K26" s="145">
        <v>3782.69</v>
      </c>
      <c r="L26" s="145">
        <v>107.84</v>
      </c>
      <c r="M26" s="173">
        <f t="shared" si="2"/>
        <v>3674.85</v>
      </c>
      <c r="N26" s="173">
        <f t="shared" si="3"/>
        <v>9439.5399999999991</v>
      </c>
      <c r="O26" s="173"/>
    </row>
    <row r="27" spans="1:15">
      <c r="A27" s="187" t="s">
        <v>142</v>
      </c>
      <c r="B27" s="11">
        <v>9180.19</v>
      </c>
      <c r="C27" s="191">
        <f t="shared" si="0"/>
        <v>622.41688199999999</v>
      </c>
      <c r="D27" s="191">
        <f t="shared" si="1"/>
        <v>207.47229399999998</v>
      </c>
      <c r="E27" s="300">
        <v>346</v>
      </c>
      <c r="F27" s="187">
        <v>8082.91</v>
      </c>
      <c r="G27" s="187">
        <v>6768.21</v>
      </c>
      <c r="H27" s="187">
        <v>0</v>
      </c>
      <c r="I27" s="187">
        <v>70.760000000000005</v>
      </c>
      <c r="J27" s="187">
        <v>1243.94</v>
      </c>
      <c r="K27" s="145">
        <v>2629.83</v>
      </c>
      <c r="L27" s="145">
        <v>288.61</v>
      </c>
      <c r="M27" s="173">
        <f t="shared" si="2"/>
        <v>2341.2199999999998</v>
      </c>
      <c r="N27" s="173">
        <f t="shared" si="3"/>
        <v>9180.19</v>
      </c>
      <c r="O27" s="173"/>
    </row>
    <row r="28" spans="1:15">
      <c r="A28" s="187" t="s">
        <v>143</v>
      </c>
      <c r="B28" s="11">
        <v>9148.1</v>
      </c>
      <c r="C28" s="191">
        <f t="shared" si="0"/>
        <v>620.24117999999987</v>
      </c>
      <c r="D28" s="191">
        <f t="shared" si="1"/>
        <v>206.74706</v>
      </c>
      <c r="E28" s="187" t="s">
        <v>411</v>
      </c>
      <c r="F28" s="187">
        <v>8885.4500000000007</v>
      </c>
      <c r="G28" s="187">
        <v>5311.78</v>
      </c>
      <c r="H28" s="187">
        <v>0</v>
      </c>
      <c r="I28" s="187">
        <v>242.31</v>
      </c>
      <c r="J28" s="187">
        <v>3331.36</v>
      </c>
      <c r="K28" s="301">
        <v>3914.5</v>
      </c>
      <c r="L28" s="301">
        <v>320.49</v>
      </c>
      <c r="M28" s="173">
        <f t="shared" si="2"/>
        <v>3594.01</v>
      </c>
      <c r="N28" s="173">
        <f t="shared" si="3"/>
        <v>9148.1</v>
      </c>
      <c r="O28" s="173"/>
    </row>
    <row r="29" spans="1:15">
      <c r="A29" s="187" t="s">
        <v>145</v>
      </c>
      <c r="B29" s="11">
        <v>7638.78</v>
      </c>
      <c r="C29" s="191">
        <f t="shared" si="0"/>
        <v>517.90928399999996</v>
      </c>
      <c r="D29" s="191">
        <f t="shared" si="1"/>
        <v>172.63642799999997</v>
      </c>
      <c r="E29" s="187" t="s">
        <v>410</v>
      </c>
      <c r="F29" s="187">
        <v>7967.119999999999</v>
      </c>
      <c r="G29" s="187">
        <v>3847.95</v>
      </c>
      <c r="H29" s="187">
        <v>0</v>
      </c>
      <c r="I29" s="187">
        <v>294.02999999999997</v>
      </c>
      <c r="J29" s="187">
        <v>3825.14</v>
      </c>
      <c r="K29" s="145">
        <v>3827.23</v>
      </c>
      <c r="L29" s="145">
        <v>330.43</v>
      </c>
      <c r="M29" s="173">
        <f t="shared" si="2"/>
        <v>3496.8</v>
      </c>
      <c r="N29" s="173">
        <f t="shared" si="3"/>
        <v>7638.78</v>
      </c>
      <c r="O29" s="173"/>
    </row>
    <row r="30" spans="1:15">
      <c r="A30" s="2" t="s">
        <v>147</v>
      </c>
      <c r="B30" s="11">
        <v>6968.05</v>
      </c>
      <c r="C30" s="191">
        <f t="shared" si="0"/>
        <v>472.43378999999993</v>
      </c>
      <c r="D30" s="191">
        <f t="shared" si="1"/>
        <v>157.47793000000001</v>
      </c>
      <c r="E30" s="187" t="s">
        <v>447</v>
      </c>
      <c r="F30" s="187">
        <v>7318.71</v>
      </c>
      <c r="G30" s="187">
        <v>4338.26</v>
      </c>
      <c r="H30" s="187">
        <v>0</v>
      </c>
      <c r="I30" s="187">
        <v>177.36</v>
      </c>
      <c r="J30" s="187">
        <v>2803.09</v>
      </c>
      <c r="K30" s="145">
        <v>2787.59</v>
      </c>
      <c r="L30" s="145">
        <v>335.16</v>
      </c>
      <c r="M30" s="173">
        <f t="shared" si="2"/>
        <v>2452.4300000000003</v>
      </c>
      <c r="N30" s="173">
        <f t="shared" si="3"/>
        <v>6968.05</v>
      </c>
      <c r="O30" s="173"/>
    </row>
    <row r="31" spans="1:15">
      <c r="A31" s="2" t="s">
        <v>149</v>
      </c>
      <c r="B31" s="11">
        <v>8782.19</v>
      </c>
      <c r="C31" s="191">
        <f t="shared" si="0"/>
        <v>595.43248200000005</v>
      </c>
      <c r="D31" s="191">
        <f t="shared" si="1"/>
        <v>198.47749400000001</v>
      </c>
      <c r="E31" s="300">
        <v>335</v>
      </c>
      <c r="F31" s="187">
        <v>8999.43</v>
      </c>
      <c r="G31" s="187">
        <v>4761.9799999999996</v>
      </c>
      <c r="H31" s="187">
        <v>0</v>
      </c>
      <c r="I31" s="187">
        <v>306.06</v>
      </c>
      <c r="J31" s="187">
        <v>3931.39</v>
      </c>
      <c r="K31" s="145">
        <v>3939.5</v>
      </c>
      <c r="L31" s="145">
        <v>225.35</v>
      </c>
      <c r="M31" s="173">
        <f t="shared" si="2"/>
        <v>3714.15</v>
      </c>
      <c r="N31" s="173">
        <f t="shared" si="3"/>
        <v>8782.19</v>
      </c>
      <c r="O31" s="173"/>
    </row>
    <row r="32" spans="1:15">
      <c r="A32" s="187" t="s">
        <v>150</v>
      </c>
      <c r="B32" s="11">
        <v>7210.28</v>
      </c>
      <c r="C32" s="191">
        <f t="shared" si="0"/>
        <v>488.8569839999999</v>
      </c>
      <c r="D32" s="191">
        <f t="shared" si="1"/>
        <v>162.95232799999999</v>
      </c>
      <c r="E32" s="304">
        <v>282</v>
      </c>
      <c r="F32" s="187">
        <v>7372.0999999999995</v>
      </c>
      <c r="G32" s="300">
        <v>4225.4399999999996</v>
      </c>
      <c r="H32" s="187">
        <v>0</v>
      </c>
      <c r="I32" s="187">
        <v>117.42</v>
      </c>
      <c r="J32" s="187">
        <v>3029.24</v>
      </c>
      <c r="K32" s="145">
        <v>3049.33</v>
      </c>
      <c r="L32" s="145">
        <v>181.91</v>
      </c>
      <c r="M32" s="173">
        <f t="shared" si="2"/>
        <v>2867.42</v>
      </c>
      <c r="N32" s="173">
        <f t="shared" si="3"/>
        <v>7210.28</v>
      </c>
      <c r="O32" s="173"/>
    </row>
    <row r="33" spans="1:15">
      <c r="A33" s="299" t="s">
        <v>151</v>
      </c>
      <c r="B33" s="11">
        <v>6637.3499999999995</v>
      </c>
      <c r="C33" s="191">
        <f t="shared" si="0"/>
        <v>450.01232999999985</v>
      </c>
      <c r="D33" s="191">
        <f t="shared" si="1"/>
        <v>150.00410999999997</v>
      </c>
      <c r="E33" s="300" t="s">
        <v>448</v>
      </c>
      <c r="F33" s="187">
        <v>6771.76</v>
      </c>
      <c r="G33" s="187">
        <v>3568.66</v>
      </c>
      <c r="H33" s="187">
        <v>0</v>
      </c>
      <c r="I33" s="187">
        <v>310.62</v>
      </c>
      <c r="J33" s="187">
        <v>2892.48</v>
      </c>
      <c r="K33" s="145">
        <v>2944.47</v>
      </c>
      <c r="L33" s="145">
        <v>186.4</v>
      </c>
      <c r="M33" s="173">
        <f t="shared" si="2"/>
        <v>2758.0699999999997</v>
      </c>
      <c r="N33" s="173">
        <f t="shared" si="3"/>
        <v>6637.3499999999995</v>
      </c>
      <c r="O33" s="173"/>
    </row>
    <row r="34" spans="1:15">
      <c r="A34" s="2" t="s">
        <v>153</v>
      </c>
      <c r="B34" s="11">
        <v>7902.1200000000008</v>
      </c>
      <c r="C34" s="191">
        <f t="shared" si="0"/>
        <v>535.76373599999999</v>
      </c>
      <c r="D34" s="191">
        <f t="shared" si="1"/>
        <v>178.58791199999999</v>
      </c>
      <c r="E34" s="300" t="s">
        <v>352</v>
      </c>
      <c r="F34" s="187">
        <v>8311.76</v>
      </c>
      <c r="G34" s="187">
        <v>4860.79</v>
      </c>
      <c r="H34" s="187">
        <v>0</v>
      </c>
      <c r="I34" s="187">
        <v>198.22</v>
      </c>
      <c r="J34" s="187">
        <v>3252.75</v>
      </c>
      <c r="K34" s="306">
        <v>3264.29</v>
      </c>
      <c r="L34" s="306">
        <v>421.18</v>
      </c>
      <c r="M34" s="173">
        <f t="shared" si="2"/>
        <v>2843.11</v>
      </c>
      <c r="N34" s="173">
        <f t="shared" si="3"/>
        <v>7902.1200000000008</v>
      </c>
      <c r="O34" s="173"/>
    </row>
    <row r="35" spans="1:15">
      <c r="A35" s="2" t="s">
        <v>154</v>
      </c>
      <c r="B35" s="11">
        <v>8908.59</v>
      </c>
      <c r="C35" s="191">
        <f t="shared" ref="C35:C56" si="4">(B35*0.06)*1.13</f>
        <v>604.00240199999996</v>
      </c>
      <c r="D35" s="191">
        <f t="shared" ref="D35:D55" si="5">(B35*0.02)*1.13</f>
        <v>201.33413400000001</v>
      </c>
      <c r="E35" s="304">
        <v>305</v>
      </c>
      <c r="F35" s="187">
        <v>9493.5300000000007</v>
      </c>
      <c r="G35" s="187">
        <v>5368.84</v>
      </c>
      <c r="H35" s="187">
        <v>0</v>
      </c>
      <c r="I35" s="187">
        <v>765.87</v>
      </c>
      <c r="J35" s="187">
        <v>3358.82</v>
      </c>
      <c r="K35" s="145">
        <v>3446.18</v>
      </c>
      <c r="L35" s="145">
        <v>672.3</v>
      </c>
      <c r="M35" s="173">
        <f t="shared" si="2"/>
        <v>2773.88</v>
      </c>
      <c r="N35" s="173">
        <f t="shared" si="3"/>
        <v>8908.59</v>
      </c>
      <c r="O35" s="173"/>
    </row>
    <row r="36" spans="1:15">
      <c r="A36" s="11" t="s">
        <v>155</v>
      </c>
      <c r="B36" s="11">
        <v>7851.46</v>
      </c>
      <c r="C36" s="191">
        <f t="shared" si="4"/>
        <v>532.32898799999998</v>
      </c>
      <c r="D36" s="191">
        <f t="shared" si="5"/>
        <v>177.44299599999999</v>
      </c>
      <c r="E36" s="300" t="s">
        <v>402</v>
      </c>
      <c r="F36" s="187">
        <v>8472.26</v>
      </c>
      <c r="G36" s="187">
        <v>4894.42</v>
      </c>
      <c r="H36" s="187">
        <v>0</v>
      </c>
      <c r="I36" s="187">
        <v>508.39</v>
      </c>
      <c r="J36" s="56">
        <v>3069.45</v>
      </c>
      <c r="K36" s="145">
        <v>3053.95</v>
      </c>
      <c r="L36" s="145">
        <v>605.29999999999995</v>
      </c>
      <c r="M36" s="173">
        <f t="shared" si="2"/>
        <v>2448.6499999999996</v>
      </c>
      <c r="N36" s="173">
        <f t="shared" si="3"/>
        <v>7851.46</v>
      </c>
      <c r="O36" s="173"/>
    </row>
    <row r="37" spans="1:15">
      <c r="A37" s="11" t="s">
        <v>157</v>
      </c>
      <c r="B37" s="11">
        <v>7141.27</v>
      </c>
      <c r="C37" s="191">
        <f t="shared" si="4"/>
        <v>484.17810599999996</v>
      </c>
      <c r="D37" s="191">
        <f t="shared" si="5"/>
        <v>161.39270199999999</v>
      </c>
      <c r="E37" s="300" t="s">
        <v>351</v>
      </c>
      <c r="F37" s="56">
        <v>7857.99</v>
      </c>
      <c r="G37" s="187">
        <v>3981.81</v>
      </c>
      <c r="H37" s="187">
        <v>0</v>
      </c>
      <c r="I37" s="187">
        <v>253.79</v>
      </c>
      <c r="J37" s="187">
        <v>3622.39</v>
      </c>
      <c r="K37" s="145">
        <v>3568.23</v>
      </c>
      <c r="L37" s="145">
        <v>662.56</v>
      </c>
      <c r="M37" s="173">
        <f t="shared" ref="M37:M55" si="6">K37-L37</f>
        <v>2905.67</v>
      </c>
      <c r="N37" s="173">
        <f t="shared" si="3"/>
        <v>7141.27</v>
      </c>
      <c r="O37" s="173"/>
    </row>
    <row r="38" spans="1:15">
      <c r="A38" s="11" t="s">
        <v>159</v>
      </c>
      <c r="B38" s="11">
        <v>5922.81</v>
      </c>
      <c r="C38" s="191">
        <f t="shared" si="4"/>
        <v>401.56651799999997</v>
      </c>
      <c r="D38" s="191">
        <f t="shared" si="5"/>
        <v>133.85550599999999</v>
      </c>
      <c r="E38" s="300" t="s">
        <v>348</v>
      </c>
      <c r="F38" s="187">
        <v>6428.8</v>
      </c>
      <c r="G38" s="187">
        <v>3249.17</v>
      </c>
      <c r="H38" s="187">
        <v>0</v>
      </c>
      <c r="I38" s="187">
        <v>364.72</v>
      </c>
      <c r="J38" s="187">
        <v>2814.91</v>
      </c>
      <c r="K38" s="145">
        <v>2904.47</v>
      </c>
      <c r="L38" s="145">
        <v>595.54999999999995</v>
      </c>
      <c r="M38" s="173">
        <f t="shared" si="6"/>
        <v>2308.92</v>
      </c>
      <c r="N38" s="173">
        <f t="shared" si="3"/>
        <v>5922.81</v>
      </c>
      <c r="O38" s="173"/>
    </row>
    <row r="39" spans="1:15">
      <c r="A39" s="30" t="s">
        <v>161</v>
      </c>
      <c r="B39" s="11">
        <v>6472.16</v>
      </c>
      <c r="C39" s="191">
        <f t="shared" si="4"/>
        <v>438.8124479999999</v>
      </c>
      <c r="D39" s="191">
        <f t="shared" si="5"/>
        <v>146.27081599999997</v>
      </c>
      <c r="E39" s="300" t="s">
        <v>449</v>
      </c>
      <c r="F39" s="187">
        <v>7110.51</v>
      </c>
      <c r="G39" s="187">
        <v>3635.23</v>
      </c>
      <c r="H39" s="187">
        <v>0</v>
      </c>
      <c r="I39" s="187">
        <v>226.12</v>
      </c>
      <c r="J39" s="187">
        <v>3249.16</v>
      </c>
      <c r="K39" s="145">
        <v>3249.16</v>
      </c>
      <c r="L39" s="145">
        <v>638.35</v>
      </c>
      <c r="M39" s="173">
        <f t="shared" si="6"/>
        <v>2610.81</v>
      </c>
      <c r="N39" s="173">
        <f t="shared" si="3"/>
        <v>6472.16</v>
      </c>
      <c r="O39" s="173"/>
    </row>
    <row r="40" spans="1:15">
      <c r="A40" s="30" t="s">
        <v>163</v>
      </c>
      <c r="B40" s="11">
        <v>6003.9599999999991</v>
      </c>
      <c r="C40" s="191">
        <f t="shared" si="4"/>
        <v>407.06848799999989</v>
      </c>
      <c r="D40" s="191">
        <f t="shared" si="5"/>
        <v>135.68949599999996</v>
      </c>
      <c r="E40" s="300" t="s">
        <v>450</v>
      </c>
      <c r="F40" s="187">
        <v>6460.23</v>
      </c>
      <c r="G40" s="187">
        <v>3315.16</v>
      </c>
      <c r="H40" s="187">
        <v>0</v>
      </c>
      <c r="I40" s="187">
        <v>350.28</v>
      </c>
      <c r="J40" s="187">
        <v>2794.79</v>
      </c>
      <c r="K40" s="145">
        <v>2793.89</v>
      </c>
      <c r="L40" s="145">
        <v>455.37</v>
      </c>
      <c r="M40" s="173">
        <f t="shared" si="6"/>
        <v>2338.52</v>
      </c>
      <c r="N40" s="173">
        <f t="shared" si="3"/>
        <v>6003.9599999999991</v>
      </c>
      <c r="O40" s="173"/>
    </row>
    <row r="41" spans="1:15">
      <c r="A41" s="30" t="s">
        <v>165</v>
      </c>
      <c r="B41" s="11">
        <v>6300.74</v>
      </c>
      <c r="C41" s="191">
        <f t="shared" si="4"/>
        <v>427.19017199999996</v>
      </c>
      <c r="D41" s="191">
        <f t="shared" si="5"/>
        <v>142.39672399999998</v>
      </c>
      <c r="E41" s="300" t="s">
        <v>404</v>
      </c>
      <c r="F41" s="187">
        <v>6764.51</v>
      </c>
      <c r="G41" s="187">
        <v>3123.66</v>
      </c>
      <c r="H41" s="187">
        <v>0</v>
      </c>
      <c r="I41" s="187">
        <v>216.12</v>
      </c>
      <c r="J41" s="187">
        <v>3424.73</v>
      </c>
      <c r="K41" s="145">
        <v>3361.23</v>
      </c>
      <c r="L41" s="145">
        <v>400.27</v>
      </c>
      <c r="M41" s="173">
        <f t="shared" si="6"/>
        <v>2960.96</v>
      </c>
      <c r="N41" s="173">
        <f t="shared" si="3"/>
        <v>6300.74</v>
      </c>
      <c r="O41" s="173"/>
    </row>
    <row r="42" spans="1:15">
      <c r="A42" s="11" t="s">
        <v>166</v>
      </c>
      <c r="B42" s="11">
        <v>7769.29</v>
      </c>
      <c r="C42" s="191">
        <f t="shared" si="4"/>
        <v>526.75786199999993</v>
      </c>
      <c r="D42" s="191">
        <f t="shared" si="5"/>
        <v>175.58595399999996</v>
      </c>
      <c r="E42" s="300" t="s">
        <v>451</v>
      </c>
      <c r="F42" s="187">
        <v>7964.43</v>
      </c>
      <c r="G42" s="187">
        <v>4759.09</v>
      </c>
      <c r="H42" s="187">
        <v>0</v>
      </c>
      <c r="I42" s="187">
        <v>267.83</v>
      </c>
      <c r="J42" s="187">
        <v>2937.51</v>
      </c>
      <c r="K42" s="106">
        <v>3053.12</v>
      </c>
      <c r="L42" s="106">
        <v>310.75</v>
      </c>
      <c r="M42" s="173">
        <f t="shared" si="6"/>
        <v>2742.37</v>
      </c>
      <c r="N42" s="173">
        <f t="shared" si="3"/>
        <v>7769.29</v>
      </c>
      <c r="O42" s="173"/>
    </row>
    <row r="43" spans="1:15">
      <c r="A43" s="11" t="s">
        <v>168</v>
      </c>
      <c r="B43" s="11">
        <v>7537.25</v>
      </c>
      <c r="C43" s="191">
        <f t="shared" si="4"/>
        <v>511.0255499999999</v>
      </c>
      <c r="D43" s="191">
        <f t="shared" si="5"/>
        <v>170.34184999999999</v>
      </c>
      <c r="E43" s="300" t="s">
        <v>351</v>
      </c>
      <c r="F43" s="187">
        <v>7902.25</v>
      </c>
      <c r="G43" s="187">
        <v>4225.49</v>
      </c>
      <c r="H43" s="187">
        <v>0</v>
      </c>
      <c r="I43" s="187">
        <v>191.21</v>
      </c>
      <c r="J43" s="187">
        <v>3485.55</v>
      </c>
      <c r="K43" s="106">
        <v>3683.2</v>
      </c>
      <c r="L43" s="106">
        <v>562.65</v>
      </c>
      <c r="M43" s="173">
        <f t="shared" si="6"/>
        <v>3120.5499999999997</v>
      </c>
      <c r="N43" s="173">
        <f t="shared" si="3"/>
        <v>7537.25</v>
      </c>
      <c r="O43" s="173"/>
    </row>
    <row r="44" spans="1:15">
      <c r="A44" s="11" t="s">
        <v>170</v>
      </c>
      <c r="B44" s="11">
        <v>8615.5600000000013</v>
      </c>
      <c r="C44" s="191">
        <f t="shared" si="4"/>
        <v>584.13496800000007</v>
      </c>
      <c r="D44" s="191">
        <f t="shared" si="5"/>
        <v>194.71165600000003</v>
      </c>
      <c r="E44" s="300" t="s">
        <v>452</v>
      </c>
      <c r="F44" s="187">
        <v>9149.8300000000017</v>
      </c>
      <c r="G44" s="187">
        <v>3829.96</v>
      </c>
      <c r="H44" s="187">
        <v>0</v>
      </c>
      <c r="I44" s="187">
        <v>484.06</v>
      </c>
      <c r="J44" s="187">
        <v>4835.8100000000004</v>
      </c>
      <c r="K44" s="106">
        <v>4853.91</v>
      </c>
      <c r="L44" s="106">
        <v>552.37</v>
      </c>
      <c r="M44" s="173">
        <f t="shared" si="6"/>
        <v>4301.54</v>
      </c>
      <c r="N44" s="173">
        <f t="shared" si="3"/>
        <v>8615.5600000000013</v>
      </c>
      <c r="O44" s="173"/>
    </row>
    <row r="45" spans="1:15">
      <c r="A45" s="11" t="s">
        <v>172</v>
      </c>
      <c r="B45" s="11">
        <v>8023.57</v>
      </c>
      <c r="C45" s="191">
        <f t="shared" si="4"/>
        <v>543.99804599999993</v>
      </c>
      <c r="D45" s="191">
        <f t="shared" si="5"/>
        <v>181.33268199999998</v>
      </c>
      <c r="E45" s="300" t="s">
        <v>402</v>
      </c>
      <c r="F45" s="187">
        <v>8593.11</v>
      </c>
      <c r="G45" s="187">
        <v>3258.45</v>
      </c>
      <c r="H45" s="187">
        <v>0</v>
      </c>
      <c r="I45" s="187">
        <v>562.46</v>
      </c>
      <c r="J45" s="187">
        <v>4772.2</v>
      </c>
      <c r="K45" s="106">
        <v>4808.99</v>
      </c>
      <c r="L45" s="106">
        <v>606.33000000000004</v>
      </c>
      <c r="M45" s="173">
        <f t="shared" si="6"/>
        <v>4202.66</v>
      </c>
      <c r="N45" s="173">
        <f t="shared" si="3"/>
        <v>8023.57</v>
      </c>
      <c r="O45" s="173"/>
    </row>
    <row r="46" spans="1:15">
      <c r="A46" s="11" t="s">
        <v>174</v>
      </c>
      <c r="B46" s="11">
        <v>9469.56</v>
      </c>
      <c r="C46" s="191">
        <f t="shared" si="4"/>
        <v>642.03616799999986</v>
      </c>
      <c r="D46" s="191">
        <f t="shared" si="5"/>
        <v>214.01205599999997</v>
      </c>
      <c r="E46" s="300" t="s">
        <v>409</v>
      </c>
      <c r="F46" s="187">
        <v>10133.17</v>
      </c>
      <c r="G46" s="187">
        <v>4317.25</v>
      </c>
      <c r="H46" s="187">
        <v>0</v>
      </c>
      <c r="I46" s="187">
        <v>481.28</v>
      </c>
      <c r="J46" s="187">
        <v>5334.64</v>
      </c>
      <c r="K46" s="106">
        <v>5467.71</v>
      </c>
      <c r="L46" s="106">
        <v>796.68</v>
      </c>
      <c r="M46" s="173">
        <f t="shared" si="6"/>
        <v>4671.03</v>
      </c>
      <c r="N46" s="173">
        <f t="shared" si="3"/>
        <v>9469.56</v>
      </c>
      <c r="O46" s="173"/>
    </row>
    <row r="47" spans="1:15">
      <c r="A47" s="11" t="s">
        <v>176</v>
      </c>
      <c r="B47" s="11">
        <v>10550.93</v>
      </c>
      <c r="C47" s="191">
        <f t="shared" si="4"/>
        <v>715.35305399999993</v>
      </c>
      <c r="D47" s="191">
        <f t="shared" si="5"/>
        <v>238.451018</v>
      </c>
      <c r="E47" s="300" t="s">
        <v>453</v>
      </c>
      <c r="F47" s="300">
        <v>11116.48</v>
      </c>
      <c r="G47" s="300">
        <v>5451.66</v>
      </c>
      <c r="H47" s="300">
        <v>0</v>
      </c>
      <c r="I47" s="300">
        <v>253.05</v>
      </c>
      <c r="J47" s="300">
        <v>5411.77</v>
      </c>
      <c r="K47" s="312">
        <v>5466.58</v>
      </c>
      <c r="L47" s="118">
        <v>620.36</v>
      </c>
      <c r="M47" s="173">
        <f t="shared" si="6"/>
        <v>4846.22</v>
      </c>
      <c r="N47" s="173">
        <f t="shared" si="3"/>
        <v>10550.93</v>
      </c>
      <c r="O47" s="173"/>
    </row>
    <row r="48" spans="1:15">
      <c r="A48" s="11" t="s">
        <v>178</v>
      </c>
      <c r="B48" s="11">
        <v>8077.93</v>
      </c>
      <c r="C48" s="191">
        <f t="shared" si="4"/>
        <v>547.68365399999993</v>
      </c>
      <c r="D48" s="191">
        <f t="shared" si="5"/>
        <v>182.561218</v>
      </c>
      <c r="E48" s="300" t="s">
        <v>385</v>
      </c>
      <c r="F48" s="300">
        <v>8608.82</v>
      </c>
      <c r="G48" s="300">
        <v>4355.34</v>
      </c>
      <c r="H48" s="300">
        <v>0</v>
      </c>
      <c r="I48" s="300">
        <v>105.25</v>
      </c>
      <c r="J48" s="300">
        <v>4148.2299999999996</v>
      </c>
      <c r="K48" s="312">
        <v>4179.2299999999996</v>
      </c>
      <c r="L48" s="118">
        <v>561.89</v>
      </c>
      <c r="M48" s="173">
        <f t="shared" si="6"/>
        <v>3617.3399999999997</v>
      </c>
      <c r="N48" s="173">
        <f t="shared" si="3"/>
        <v>8077.93</v>
      </c>
      <c r="O48" s="173"/>
    </row>
    <row r="49" spans="1:29">
      <c r="A49" s="11" t="s">
        <v>180</v>
      </c>
      <c r="B49" s="11">
        <v>10135.129999999999</v>
      </c>
      <c r="C49" s="191">
        <f t="shared" si="4"/>
        <v>687.16181399999982</v>
      </c>
      <c r="D49" s="191">
        <f t="shared" si="5"/>
        <v>229.05393799999996</v>
      </c>
      <c r="E49" s="300" t="s">
        <v>454</v>
      </c>
      <c r="F49" s="300">
        <v>10543.33</v>
      </c>
      <c r="G49" s="300">
        <v>6453.52</v>
      </c>
      <c r="H49" s="300">
        <v>0</v>
      </c>
      <c r="I49" s="300">
        <v>246.82</v>
      </c>
      <c r="J49" s="300">
        <v>3842.99</v>
      </c>
      <c r="K49" s="106">
        <v>3737.46</v>
      </c>
      <c r="L49" s="106">
        <v>302.67</v>
      </c>
      <c r="M49" s="173">
        <f t="shared" si="6"/>
        <v>3434.79</v>
      </c>
      <c r="N49" s="173">
        <f t="shared" si="3"/>
        <v>10135.130000000001</v>
      </c>
      <c r="O49" s="173"/>
    </row>
    <row r="50" spans="1:29">
      <c r="A50" s="2" t="s">
        <v>182</v>
      </c>
      <c r="B50" s="11">
        <v>9562.98</v>
      </c>
      <c r="C50" s="191">
        <f t="shared" si="4"/>
        <v>648.37004399999989</v>
      </c>
      <c r="D50" s="191">
        <f t="shared" si="5"/>
        <v>216.12334799999999</v>
      </c>
      <c r="E50" s="319" t="s">
        <v>455</v>
      </c>
      <c r="F50" s="319">
        <v>9594.34</v>
      </c>
      <c r="G50" s="319">
        <v>5524.19</v>
      </c>
      <c r="H50" s="319">
        <v>0</v>
      </c>
      <c r="I50" s="319">
        <v>446.79</v>
      </c>
      <c r="J50" s="319">
        <v>3623.36</v>
      </c>
      <c r="K50" s="106">
        <v>3753.17</v>
      </c>
      <c r="L50" s="106">
        <v>161.16999999999999</v>
      </c>
      <c r="M50" s="173">
        <f t="shared" si="6"/>
        <v>3592</v>
      </c>
      <c r="N50" s="173">
        <f t="shared" si="3"/>
        <v>9562.98</v>
      </c>
      <c r="O50" s="173"/>
    </row>
    <row r="51" spans="1:29">
      <c r="A51" s="11" t="s">
        <v>184</v>
      </c>
      <c r="B51" s="11">
        <v>8161.77</v>
      </c>
      <c r="C51" s="191">
        <f t="shared" si="4"/>
        <v>553.36800599999992</v>
      </c>
      <c r="D51" s="191">
        <f t="shared" si="5"/>
        <v>184.45600199999998</v>
      </c>
      <c r="E51" s="323" t="s">
        <v>456</v>
      </c>
      <c r="F51" s="323">
        <v>8560.2999999999993</v>
      </c>
      <c r="G51" s="323">
        <v>4582.37</v>
      </c>
      <c r="H51" s="323">
        <v>0</v>
      </c>
      <c r="I51" s="323">
        <v>507.78</v>
      </c>
      <c r="J51" s="323">
        <v>3470.15</v>
      </c>
      <c r="K51" s="106">
        <v>3435.89</v>
      </c>
      <c r="L51" s="106">
        <v>364.27</v>
      </c>
      <c r="M51" s="173">
        <f t="shared" si="6"/>
        <v>3071.62</v>
      </c>
      <c r="N51" s="173">
        <f t="shared" si="3"/>
        <v>8161.7699999999995</v>
      </c>
      <c r="O51" s="173"/>
    </row>
    <row r="52" spans="1:29">
      <c r="A52" s="11" t="s">
        <v>186</v>
      </c>
      <c r="B52" s="11">
        <v>9410.119999999999</v>
      </c>
      <c r="C52" s="191">
        <f t="shared" si="4"/>
        <v>638.00613599999986</v>
      </c>
      <c r="D52" s="191">
        <f t="shared" si="5"/>
        <v>212.66871199999997</v>
      </c>
      <c r="E52" s="323" t="s">
        <v>457</v>
      </c>
      <c r="F52" s="323">
        <v>10746.86</v>
      </c>
      <c r="G52" s="323">
        <v>5093.59</v>
      </c>
      <c r="H52" s="323">
        <v>0</v>
      </c>
      <c r="I52" s="323">
        <v>308.13</v>
      </c>
      <c r="J52" s="323">
        <v>5345.14</v>
      </c>
      <c r="K52" s="106">
        <v>5336.49</v>
      </c>
      <c r="L52" s="106">
        <v>1328.09</v>
      </c>
      <c r="M52" s="173">
        <f t="shared" si="6"/>
        <v>4008.3999999999996</v>
      </c>
      <c r="N52" s="173">
        <f t="shared" si="3"/>
        <v>9410.119999999999</v>
      </c>
      <c r="O52" s="173"/>
    </row>
    <row r="53" spans="1:29">
      <c r="A53" s="11" t="s">
        <v>188</v>
      </c>
      <c r="B53" s="11">
        <v>10362.14</v>
      </c>
      <c r="C53" s="191">
        <f t="shared" si="4"/>
        <v>702.55309199999988</v>
      </c>
      <c r="D53" s="191">
        <f t="shared" si="5"/>
        <v>234.18436399999996</v>
      </c>
      <c r="E53" s="323" t="s">
        <v>458</v>
      </c>
      <c r="F53" s="323">
        <v>11626.19</v>
      </c>
      <c r="G53" s="323">
        <v>5978.6</v>
      </c>
      <c r="H53" s="323">
        <v>0</v>
      </c>
      <c r="I53" s="323">
        <v>386.3</v>
      </c>
      <c r="J53" s="323">
        <v>5261.29</v>
      </c>
      <c r="K53" s="339" t="s">
        <v>459</v>
      </c>
      <c r="L53" s="339" t="s">
        <v>460</v>
      </c>
      <c r="M53" s="173">
        <f t="shared" si="6"/>
        <v>3997.2400000000002</v>
      </c>
      <c r="N53" s="173">
        <f t="shared" si="3"/>
        <v>10362.140000000001</v>
      </c>
      <c r="O53" s="323"/>
      <c r="P53" s="323"/>
      <c r="Q53" s="323"/>
      <c r="R53" s="323"/>
      <c r="S53" s="323"/>
      <c r="T53" s="323"/>
      <c r="U53" s="323"/>
      <c r="V53" s="323"/>
      <c r="W53" s="323"/>
      <c r="X53" s="323"/>
      <c r="Y53" s="323"/>
      <c r="Z53" s="323"/>
      <c r="AA53" s="323"/>
      <c r="AB53" s="323"/>
      <c r="AC53" s="323"/>
    </row>
    <row r="54" spans="1:29">
      <c r="A54" s="334" t="s">
        <v>192</v>
      </c>
      <c r="B54" s="334">
        <v>10059.299999999999</v>
      </c>
      <c r="C54" s="191">
        <f t="shared" si="4"/>
        <v>682.02053999999976</v>
      </c>
      <c r="D54" s="191">
        <f t="shared" si="5"/>
        <v>227.34017999999995</v>
      </c>
      <c r="E54" s="323">
        <v>418</v>
      </c>
      <c r="F54" s="323">
        <v>11169.33</v>
      </c>
      <c r="G54" s="323">
        <v>6171.55</v>
      </c>
      <c r="H54" s="323">
        <v>0</v>
      </c>
      <c r="I54" s="323">
        <v>118.96</v>
      </c>
      <c r="J54" s="323">
        <v>4878.82</v>
      </c>
      <c r="K54" s="335">
        <v>4782.4799999999996</v>
      </c>
      <c r="L54" s="335">
        <v>1013.69</v>
      </c>
      <c r="M54" s="173">
        <f t="shared" si="6"/>
        <v>3768.7899999999995</v>
      </c>
      <c r="N54" s="173">
        <f t="shared" si="3"/>
        <v>10059.299999999999</v>
      </c>
      <c r="O54" s="323"/>
      <c r="P54" s="323"/>
      <c r="Q54" s="323"/>
      <c r="R54" s="323"/>
      <c r="S54" s="323"/>
      <c r="T54" s="323"/>
      <c r="U54" s="323"/>
      <c r="V54" s="323"/>
      <c r="W54" s="323"/>
      <c r="X54" s="323"/>
      <c r="Y54" s="323"/>
      <c r="Z54" s="323"/>
      <c r="AA54" s="323"/>
      <c r="AB54" s="323"/>
      <c r="AC54" s="323"/>
    </row>
    <row r="55" spans="1:29">
      <c r="A55" s="353" t="s">
        <v>193</v>
      </c>
      <c r="B55" s="353">
        <v>9437.64</v>
      </c>
      <c r="C55" s="191">
        <f t="shared" si="4"/>
        <v>639.87199199999986</v>
      </c>
      <c r="D55" s="191">
        <f t="shared" si="5"/>
        <v>213.29066399999996</v>
      </c>
      <c r="E55" s="323">
        <v>385</v>
      </c>
      <c r="F55" s="323">
        <v>10353.530000000001</v>
      </c>
      <c r="G55" s="323">
        <v>5487.71</v>
      </c>
      <c r="H55" s="323">
        <v>0</v>
      </c>
      <c r="I55" s="323">
        <v>516.77</v>
      </c>
      <c r="J55" s="323">
        <v>4349.05</v>
      </c>
      <c r="K55" s="335">
        <v>4416.87</v>
      </c>
      <c r="L55" s="335">
        <v>983.71</v>
      </c>
      <c r="M55" s="173">
        <f t="shared" si="6"/>
        <v>3433.16</v>
      </c>
      <c r="N55" s="173">
        <f t="shared" si="3"/>
        <v>9437.64</v>
      </c>
      <c r="O55" s="323"/>
      <c r="P55" s="323"/>
      <c r="Q55" s="323"/>
      <c r="R55" s="323"/>
      <c r="S55" s="323"/>
      <c r="T55" s="323"/>
      <c r="U55" s="323"/>
      <c r="V55" s="323"/>
      <c r="W55" s="323"/>
      <c r="X55" s="323"/>
      <c r="Y55" s="323"/>
      <c r="Z55" s="323"/>
      <c r="AA55" s="323"/>
      <c r="AB55" s="323"/>
      <c r="AC55" s="323"/>
    </row>
    <row r="56" spans="1:29" ht="27.6" customHeight="1">
      <c r="A56" s="353" t="s">
        <v>194</v>
      </c>
      <c r="B56" s="353">
        <v>9840.34</v>
      </c>
      <c r="C56" s="191">
        <f t="shared" si="4"/>
        <v>667.17505199999994</v>
      </c>
      <c r="D56" s="191">
        <f t="shared" ref="D56" si="7">(B56*0.02)*1.13</f>
        <v>222.391684</v>
      </c>
      <c r="E56" s="323">
        <v>385</v>
      </c>
      <c r="F56" s="323">
        <v>10862.45</v>
      </c>
      <c r="G56" s="323">
        <v>5741.77</v>
      </c>
      <c r="H56" s="323">
        <v>0</v>
      </c>
      <c r="I56" s="323">
        <v>248.13</v>
      </c>
      <c r="J56" s="323">
        <v>4872.55</v>
      </c>
      <c r="K56" s="335">
        <v>4773.78</v>
      </c>
      <c r="L56" s="335">
        <v>923.34</v>
      </c>
      <c r="M56" s="173">
        <f t="shared" ref="M56" si="8">K56-L56</f>
        <v>3850.4399999999996</v>
      </c>
      <c r="N56" s="173">
        <f t="shared" ref="N56" si="9">SUM(G56,H56,I56,M56)</f>
        <v>9840.34</v>
      </c>
      <c r="O56" s="323"/>
      <c r="P56" s="323"/>
      <c r="Q56" s="323"/>
      <c r="R56" s="323"/>
      <c r="S56" s="323"/>
      <c r="T56" s="323"/>
      <c r="U56" s="323"/>
      <c r="V56" s="323"/>
      <c r="W56" s="323"/>
      <c r="X56" s="323"/>
      <c r="Y56" s="323"/>
      <c r="Z56" s="323"/>
      <c r="AA56" s="323"/>
      <c r="AB56" s="323"/>
      <c r="AC56" s="323"/>
    </row>
    <row r="57" spans="1:29" ht="27.6" customHeight="1">
      <c r="A57" s="23" t="s">
        <v>482</v>
      </c>
      <c r="B57" s="173">
        <v>12273.470000000001</v>
      </c>
      <c r="C57" s="191">
        <f t="shared" ref="C57" si="10">(B57*0.06)*1.13</f>
        <v>832.14126599999997</v>
      </c>
      <c r="D57" s="191">
        <f t="shared" ref="D57" si="11">(B57*0.02)*1.13</f>
        <v>277.38042200000001</v>
      </c>
      <c r="E57" s="323">
        <v>435</v>
      </c>
      <c r="F57" s="323">
        <v>13171.28</v>
      </c>
      <c r="G57" s="323">
        <v>8276.5400000000009</v>
      </c>
      <c r="H57" s="323">
        <v>0</v>
      </c>
      <c r="I57" s="323">
        <v>221.07</v>
      </c>
      <c r="J57" s="323">
        <v>4673.67</v>
      </c>
      <c r="K57" s="335">
        <v>4818.95</v>
      </c>
      <c r="L57" s="335">
        <v>1043.0899999999999</v>
      </c>
      <c r="M57" s="173">
        <f t="shared" ref="M57" si="12">K57-L57</f>
        <v>3775.8599999999997</v>
      </c>
      <c r="N57" s="173">
        <f t="shared" ref="N57" si="13">SUM(G57,H57,I57,M57)</f>
        <v>12273.470000000001</v>
      </c>
      <c r="O57" s="323"/>
      <c r="P57" s="323"/>
      <c r="Q57" s="323"/>
      <c r="R57" s="323"/>
      <c r="S57" s="323"/>
      <c r="T57" s="323"/>
      <c r="U57" s="323"/>
      <c r="V57" s="323"/>
      <c r="W57" s="323"/>
      <c r="X57" s="323"/>
      <c r="Y57" s="323"/>
      <c r="Z57" s="323"/>
      <c r="AA57" s="323"/>
      <c r="AB57" s="323"/>
      <c r="AC57" s="323"/>
    </row>
    <row r="58" spans="1:29" ht="27.6" customHeight="1">
      <c r="A58" s="353"/>
      <c r="B58" s="353"/>
      <c r="C58" s="191"/>
      <c r="D58" s="191"/>
      <c r="E58" s="323"/>
      <c r="F58" s="323"/>
      <c r="G58" s="323"/>
      <c r="H58" s="323"/>
      <c r="I58" s="323"/>
      <c r="J58" s="323"/>
      <c r="K58" s="335"/>
      <c r="L58" s="335"/>
      <c r="M58" s="173"/>
      <c r="N58" s="173"/>
      <c r="O58" s="323"/>
      <c r="P58" s="323"/>
      <c r="Q58" s="323"/>
      <c r="R58" s="323"/>
      <c r="S58" s="323"/>
      <c r="T58" s="323"/>
      <c r="U58" s="323"/>
      <c r="V58" s="323"/>
      <c r="W58" s="323"/>
      <c r="X58" s="323"/>
      <c r="Y58" s="323"/>
      <c r="Z58" s="323"/>
      <c r="AA58" s="323"/>
      <c r="AB58" s="323"/>
      <c r="AC58" s="323"/>
    </row>
    <row r="59" spans="1:29" ht="27.6" customHeight="1">
      <c r="A59" s="353"/>
      <c r="B59" s="353"/>
      <c r="C59" s="191"/>
      <c r="D59" s="191"/>
      <c r="E59" s="323"/>
      <c r="F59" s="323"/>
      <c r="G59" s="323"/>
      <c r="H59" s="323"/>
      <c r="I59" s="323"/>
      <c r="J59" s="323"/>
      <c r="K59" s="335"/>
      <c r="L59" s="335"/>
      <c r="M59" s="331"/>
      <c r="N59" s="331"/>
      <c r="O59" s="323"/>
      <c r="P59" s="323"/>
      <c r="Q59" s="323"/>
      <c r="R59" s="323"/>
      <c r="S59" s="323"/>
      <c r="T59" s="323"/>
      <c r="U59" s="323"/>
      <c r="V59" s="323"/>
      <c r="W59" s="323"/>
      <c r="X59" s="323"/>
      <c r="Y59" s="323"/>
      <c r="Z59" s="323"/>
      <c r="AA59" s="323"/>
      <c r="AB59" s="323"/>
      <c r="AC59" s="323"/>
    </row>
    <row r="60" spans="1:29" ht="27.6" customHeight="1">
      <c r="A60" s="191" t="s">
        <v>443</v>
      </c>
      <c r="B60" s="327"/>
      <c r="C60" s="327"/>
      <c r="D60" s="326"/>
      <c r="E60" s="191"/>
      <c r="F60" s="191"/>
      <c r="G60" s="173"/>
      <c r="H60" s="173"/>
      <c r="I60" s="173"/>
      <c r="J60" s="173"/>
      <c r="K60" s="173"/>
      <c r="L60" s="173"/>
      <c r="M60" s="173"/>
      <c r="N60" s="173"/>
      <c r="O60" s="173"/>
    </row>
    <row r="61" spans="1:29" ht="27.6">
      <c r="A61" s="313" t="s">
        <v>0</v>
      </c>
      <c r="B61" s="313" t="s">
        <v>337</v>
      </c>
      <c r="C61" s="313" t="s">
        <v>359</v>
      </c>
      <c r="D61" s="313" t="s">
        <v>360</v>
      </c>
      <c r="E61" s="313"/>
      <c r="F61" s="313"/>
      <c r="G61" s="106"/>
      <c r="H61" s="173"/>
      <c r="I61" s="173"/>
      <c r="J61" s="173"/>
      <c r="K61" s="173"/>
      <c r="L61" s="173"/>
      <c r="M61" s="173"/>
      <c r="N61" s="173"/>
      <c r="O61" s="173"/>
    </row>
    <row r="62" spans="1:29">
      <c r="A62" s="11" t="s">
        <v>174</v>
      </c>
      <c r="B62" s="11">
        <v>9469.56</v>
      </c>
      <c r="C62" s="191">
        <f t="shared" ref="C62:C68" si="14">(B59*0.06)*1.13</f>
        <v>0</v>
      </c>
      <c r="D62" s="191">
        <f t="shared" ref="D62:D68" si="15">(B59*0.02)*1.13</f>
        <v>0</v>
      </c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</row>
    <row r="63" spans="1:29">
      <c r="A63" s="11" t="s">
        <v>176</v>
      </c>
      <c r="B63" s="11">
        <v>10550.93</v>
      </c>
      <c r="C63" s="191">
        <f t="shared" si="14"/>
        <v>0</v>
      </c>
      <c r="D63" s="191">
        <f t="shared" si="15"/>
        <v>0</v>
      </c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</row>
    <row r="64" spans="1:29">
      <c r="A64" s="11" t="s">
        <v>178</v>
      </c>
      <c r="B64" s="11">
        <v>8077.93</v>
      </c>
      <c r="C64" s="191" t="e">
        <f t="shared" si="14"/>
        <v>#VALUE!</v>
      </c>
      <c r="D64" s="191" t="e">
        <f t="shared" si="15"/>
        <v>#VALUE!</v>
      </c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</row>
    <row r="65" spans="1:15">
      <c r="A65" s="11" t="s">
        <v>180</v>
      </c>
      <c r="B65" s="11">
        <v>10135.129999999999</v>
      </c>
      <c r="C65" s="191">
        <f t="shared" si="14"/>
        <v>642.03616799999986</v>
      </c>
      <c r="D65" s="191">
        <f t="shared" si="15"/>
        <v>214.01205599999997</v>
      </c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</row>
    <row r="66" spans="1:15">
      <c r="A66" s="2" t="s">
        <v>182</v>
      </c>
      <c r="B66" s="11">
        <v>9562.98</v>
      </c>
      <c r="C66" s="191">
        <f t="shared" si="14"/>
        <v>715.35305399999993</v>
      </c>
      <c r="D66" s="191">
        <f t="shared" si="15"/>
        <v>238.451018</v>
      </c>
    </row>
    <row r="67" spans="1:15">
      <c r="A67" s="11" t="s">
        <v>184</v>
      </c>
      <c r="B67" s="11">
        <v>8161.77</v>
      </c>
      <c r="C67" s="191">
        <f t="shared" si="14"/>
        <v>547.68365399999993</v>
      </c>
      <c r="D67" s="191">
        <f t="shared" si="15"/>
        <v>182.561218</v>
      </c>
    </row>
    <row r="68" spans="1:15">
      <c r="A68" s="11" t="s">
        <v>186</v>
      </c>
      <c r="B68" s="11">
        <v>9410.119999999999</v>
      </c>
      <c r="C68" s="191">
        <f t="shared" si="14"/>
        <v>687.16181399999982</v>
      </c>
      <c r="D68" s="191">
        <f t="shared" si="15"/>
        <v>229.05393799999996</v>
      </c>
    </row>
    <row r="69" spans="1:15">
      <c r="A69" s="11" t="s">
        <v>188</v>
      </c>
      <c r="B69" s="11">
        <v>10362.14</v>
      </c>
      <c r="C69" s="191">
        <f>(B67*0.06)*1.13</f>
        <v>553.36800599999992</v>
      </c>
      <c r="D69" s="191">
        <f>(B67*0.02)*1.13</f>
        <v>184.45600199999998</v>
      </c>
    </row>
    <row r="70" spans="1:15">
      <c r="A70" s="334" t="s">
        <v>192</v>
      </c>
      <c r="B70" s="334">
        <v>10059.299999999999</v>
      </c>
      <c r="C70" s="191">
        <f>(B68*0.06)*1.13</f>
        <v>638.00613599999986</v>
      </c>
      <c r="D70" s="191">
        <f>(B68*0.02)*1.13</f>
        <v>212.66871199999997</v>
      </c>
    </row>
    <row r="71" spans="1:15">
      <c r="A71" s="353" t="s">
        <v>193</v>
      </c>
      <c r="B71" s="353">
        <v>9437.64</v>
      </c>
      <c r="C71" s="191">
        <f>(B70*0.06)*1.13</f>
        <v>682.02053999999976</v>
      </c>
      <c r="D71" s="191">
        <f>(B70*0.02)*1.13</f>
        <v>227.34017999999995</v>
      </c>
    </row>
    <row r="72" spans="1:15">
      <c r="A72" s="353" t="s">
        <v>194</v>
      </c>
      <c r="B72" s="353">
        <v>9840.34</v>
      </c>
      <c r="C72" s="191">
        <f t="shared" ref="C72:C73" si="16">(B72*0.06)*1.13</f>
        <v>667.17505199999994</v>
      </c>
      <c r="D72" s="191">
        <f t="shared" ref="D72:D73" si="17">(B72*0.02)*1.13</f>
        <v>222.391684</v>
      </c>
    </row>
    <row r="73" spans="1:15">
      <c r="A73" s="23" t="s">
        <v>482</v>
      </c>
      <c r="B73" s="173">
        <v>12273.470000000001</v>
      </c>
      <c r="C73" s="191">
        <f t="shared" si="16"/>
        <v>832.14126599999997</v>
      </c>
      <c r="D73" s="191">
        <f t="shared" si="17"/>
        <v>277.38042200000001</v>
      </c>
    </row>
  </sheetData>
  <mergeCells count="1">
    <mergeCell ref="A1:D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84"/>
  <sheetViews>
    <sheetView workbookViewId="0">
      <pane ySplit="2" topLeftCell="A54" activePane="bottomLeft" state="frozen"/>
      <selection pane="bottomLeft" activeCell="E68" sqref="E68"/>
    </sheetView>
  </sheetViews>
  <sheetFormatPr defaultColWidth="9.109375" defaultRowHeight="13.8"/>
  <cols>
    <col min="1" max="1" width="26.44140625" style="199" customWidth="1"/>
    <col min="2" max="2" width="19.88671875" style="199" customWidth="1"/>
    <col min="3" max="3" width="19.109375" style="199" customWidth="1"/>
    <col min="4" max="6" width="17.5546875" style="199" customWidth="1"/>
    <col min="7" max="7" width="19" style="199" customWidth="1"/>
    <col min="8" max="8" width="15.88671875" style="199" customWidth="1"/>
    <col min="9" max="9" width="17.88671875" style="199" customWidth="1"/>
    <col min="10" max="10" width="23.88671875" style="199" customWidth="1"/>
    <col min="11" max="11" width="20.33203125" style="199" customWidth="1"/>
    <col min="12" max="12" width="23.88671875" style="199" customWidth="1"/>
    <col min="13" max="13" width="21" style="199" customWidth="1"/>
    <col min="14" max="14" width="20.33203125" style="199" customWidth="1"/>
    <col min="15" max="16" width="16.6640625" style="199" customWidth="1"/>
    <col min="17" max="19" width="9.109375" style="199" customWidth="1"/>
    <col min="20" max="16384" width="9.109375" style="199"/>
  </cols>
  <sheetData>
    <row r="1" spans="1:17" ht="14.4" customHeight="1">
      <c r="A1" s="363" t="s">
        <v>461</v>
      </c>
      <c r="B1" s="364"/>
      <c r="C1" s="364"/>
      <c r="D1" s="365"/>
      <c r="E1" s="224"/>
      <c r="F1" s="224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</row>
    <row r="2" spans="1:17" ht="41.4" customHeight="1">
      <c r="A2" s="198" t="s">
        <v>0</v>
      </c>
      <c r="B2" s="198" t="s">
        <v>337</v>
      </c>
      <c r="C2" s="198" t="s">
        <v>359</v>
      </c>
      <c r="D2" s="198" t="s">
        <v>360</v>
      </c>
      <c r="E2" s="198" t="s">
        <v>100</v>
      </c>
      <c r="F2" s="198" t="s">
        <v>444</v>
      </c>
      <c r="G2" s="183" t="s">
        <v>80</v>
      </c>
      <c r="H2" s="183" t="s">
        <v>81</v>
      </c>
      <c r="I2" s="183" t="s">
        <v>82</v>
      </c>
      <c r="J2" s="183" t="s">
        <v>83</v>
      </c>
      <c r="K2" s="183" t="s">
        <v>102</v>
      </c>
      <c r="L2" s="183" t="s">
        <v>103</v>
      </c>
      <c r="M2" s="183" t="s">
        <v>421</v>
      </c>
      <c r="N2" s="183" t="s">
        <v>422</v>
      </c>
      <c r="O2" s="183" t="s">
        <v>106</v>
      </c>
      <c r="P2" s="183" t="s">
        <v>107</v>
      </c>
      <c r="Q2" s="173"/>
    </row>
    <row r="3" spans="1:17">
      <c r="A3" s="179" t="s">
        <v>462</v>
      </c>
      <c r="B3" s="173">
        <v>1358.01</v>
      </c>
      <c r="C3" s="191">
        <f t="shared" ref="C3:C34" si="0">(B3*0.06)*1.13</f>
        <v>92.073077999999981</v>
      </c>
      <c r="D3" s="191">
        <f t="shared" ref="D3:D34" si="1">(B3*0.02)*1.13</f>
        <v>30.691025999999997</v>
      </c>
      <c r="E3" s="191"/>
      <c r="F3" s="191"/>
      <c r="G3" s="173">
        <v>1358.01</v>
      </c>
      <c r="H3" s="173"/>
      <c r="I3" s="173"/>
      <c r="J3" s="173"/>
      <c r="K3" s="188">
        <v>138.56</v>
      </c>
      <c r="L3" s="192">
        <v>18.100000000000001</v>
      </c>
      <c r="M3" s="173">
        <v>0</v>
      </c>
      <c r="N3" s="173">
        <v>0</v>
      </c>
      <c r="O3" s="173">
        <f t="shared" ref="O3:O13" si="2">K3-L3</f>
        <v>120.46000000000001</v>
      </c>
      <c r="P3" s="173"/>
      <c r="Q3" s="173"/>
    </row>
    <row r="4" spans="1:17">
      <c r="A4" s="179" t="s">
        <v>109</v>
      </c>
      <c r="B4" s="187">
        <v>6551.2</v>
      </c>
      <c r="C4" s="191">
        <f t="shared" si="0"/>
        <v>444.17135999999994</v>
      </c>
      <c r="D4" s="191">
        <f t="shared" si="1"/>
        <v>148.05712</v>
      </c>
      <c r="E4" s="191"/>
      <c r="F4" s="191"/>
      <c r="G4" s="187"/>
      <c r="H4" s="173"/>
      <c r="I4" s="173"/>
      <c r="J4" s="173"/>
      <c r="K4" s="188">
        <v>1147.55</v>
      </c>
      <c r="L4" s="192">
        <v>174.79</v>
      </c>
      <c r="M4" s="173"/>
      <c r="N4" s="173"/>
      <c r="O4" s="173">
        <f t="shared" si="2"/>
        <v>972.76</v>
      </c>
      <c r="P4" s="173"/>
      <c r="Q4" s="173"/>
    </row>
    <row r="5" spans="1:17">
      <c r="A5" s="179" t="s">
        <v>110</v>
      </c>
      <c r="B5" s="180">
        <v>6541.5400000000009</v>
      </c>
      <c r="C5" s="191">
        <f t="shared" si="0"/>
        <v>443.516412</v>
      </c>
      <c r="D5" s="191">
        <f t="shared" si="1"/>
        <v>147.83880400000001</v>
      </c>
      <c r="E5" s="191"/>
      <c r="F5" s="191"/>
      <c r="G5" s="187">
        <v>5648.64</v>
      </c>
      <c r="H5" s="173">
        <v>0</v>
      </c>
      <c r="I5" s="187">
        <v>378.89</v>
      </c>
      <c r="J5" s="187">
        <v>611.14</v>
      </c>
      <c r="K5" s="188">
        <v>613.95000000000005</v>
      </c>
      <c r="L5" s="188">
        <v>99.94</v>
      </c>
      <c r="M5" s="173"/>
      <c r="N5" s="173"/>
      <c r="O5" s="173">
        <f t="shared" si="2"/>
        <v>514.01</v>
      </c>
      <c r="P5" s="173">
        <f t="shared" ref="P5:P36" si="3">SUM(G5,H5,I5,O5)</f>
        <v>6541.5400000000009</v>
      </c>
      <c r="Q5" s="173"/>
    </row>
    <row r="6" spans="1:17">
      <c r="A6" s="173" t="s">
        <v>111</v>
      </c>
      <c r="B6" s="173">
        <v>11256.19</v>
      </c>
      <c r="C6" s="191">
        <f t="shared" si="0"/>
        <v>763.16968199999997</v>
      </c>
      <c r="D6" s="191">
        <f t="shared" si="1"/>
        <v>254.389894</v>
      </c>
      <c r="E6" s="191"/>
      <c r="F6" s="191"/>
      <c r="G6" s="106">
        <v>9146.42</v>
      </c>
      <c r="H6" s="106">
        <v>45.58</v>
      </c>
      <c r="I6" s="106">
        <v>643.79999999999995</v>
      </c>
      <c r="J6" s="106">
        <v>1507.24</v>
      </c>
      <c r="K6" s="143">
        <v>1428.04</v>
      </c>
      <c r="L6" s="143">
        <v>7.65</v>
      </c>
      <c r="M6" s="173"/>
      <c r="N6" s="173"/>
      <c r="O6" s="173">
        <f t="shared" si="2"/>
        <v>1420.3899999999999</v>
      </c>
      <c r="P6" s="173">
        <f t="shared" si="3"/>
        <v>11256.189999999999</v>
      </c>
      <c r="Q6" s="223"/>
    </row>
    <row r="7" spans="1:17">
      <c r="A7" s="173" t="s">
        <v>112</v>
      </c>
      <c r="B7" s="173">
        <v>12830.78</v>
      </c>
      <c r="C7" s="191">
        <f t="shared" si="0"/>
        <v>869.92688399999997</v>
      </c>
      <c r="D7" s="191">
        <f t="shared" si="1"/>
        <v>289.97562800000003</v>
      </c>
      <c r="E7" s="191"/>
      <c r="F7" s="191"/>
      <c r="G7" s="141">
        <v>10209.73</v>
      </c>
      <c r="H7" s="140">
        <v>57.89</v>
      </c>
      <c r="I7" s="140">
        <v>678.18</v>
      </c>
      <c r="J7" s="140">
        <v>1871.77</v>
      </c>
      <c r="K7" s="143">
        <v>1884.98</v>
      </c>
      <c r="L7" s="173">
        <v>0</v>
      </c>
      <c r="M7" s="173"/>
      <c r="N7" s="173"/>
      <c r="O7" s="173">
        <f t="shared" si="2"/>
        <v>1884.98</v>
      </c>
      <c r="P7" s="173">
        <f t="shared" si="3"/>
        <v>12830.779999999999</v>
      </c>
      <c r="Q7" s="223"/>
    </row>
    <row r="8" spans="1:17">
      <c r="A8" s="173" t="s">
        <v>113</v>
      </c>
      <c r="B8" s="173">
        <v>11068.59</v>
      </c>
      <c r="C8" s="191">
        <f t="shared" si="0"/>
        <v>750.45040199999994</v>
      </c>
      <c r="D8" s="191">
        <f t="shared" si="1"/>
        <v>250.15013399999998</v>
      </c>
      <c r="E8" s="191"/>
      <c r="F8" s="191"/>
      <c r="G8" s="106">
        <v>8238.2099999999991</v>
      </c>
      <c r="H8" s="106">
        <v>147.88</v>
      </c>
      <c r="I8" s="106">
        <v>550.39</v>
      </c>
      <c r="J8" s="106">
        <v>2079.4299999999998</v>
      </c>
      <c r="K8" s="143">
        <v>2311.9</v>
      </c>
      <c r="L8" s="145">
        <v>179.79</v>
      </c>
      <c r="M8" s="173"/>
      <c r="N8" s="173"/>
      <c r="O8" s="173">
        <f t="shared" si="2"/>
        <v>2132.11</v>
      </c>
      <c r="P8" s="173">
        <f t="shared" si="3"/>
        <v>11068.589999999998</v>
      </c>
      <c r="Q8" s="173"/>
    </row>
    <row r="9" spans="1:17">
      <c r="A9" s="173" t="s">
        <v>114</v>
      </c>
      <c r="B9" s="173">
        <v>12721.55</v>
      </c>
      <c r="C9" s="191">
        <f t="shared" si="0"/>
        <v>862.52108999999984</v>
      </c>
      <c r="D9" s="191">
        <f t="shared" si="1"/>
        <v>287.50702999999993</v>
      </c>
      <c r="E9" s="191"/>
      <c r="F9" s="191"/>
      <c r="G9" s="106">
        <v>10280.08</v>
      </c>
      <c r="H9" s="106">
        <v>189.09</v>
      </c>
      <c r="I9" s="106">
        <v>341.64</v>
      </c>
      <c r="J9" s="106">
        <v>2100.59</v>
      </c>
      <c r="K9" s="145">
        <v>2061</v>
      </c>
      <c r="L9" s="145">
        <v>150.26</v>
      </c>
      <c r="M9" s="173"/>
      <c r="N9" s="173"/>
      <c r="O9" s="173">
        <f t="shared" si="2"/>
        <v>1910.74</v>
      </c>
      <c r="P9" s="173">
        <f t="shared" si="3"/>
        <v>12721.55</v>
      </c>
      <c r="Q9" s="173"/>
    </row>
    <row r="10" spans="1:17">
      <c r="A10" s="173" t="s">
        <v>115</v>
      </c>
      <c r="B10" s="173">
        <v>12290.19</v>
      </c>
      <c r="C10" s="191">
        <f t="shared" si="0"/>
        <v>833.27488199999982</v>
      </c>
      <c r="D10" s="191">
        <f t="shared" si="1"/>
        <v>277.75829399999998</v>
      </c>
      <c r="E10" s="191"/>
      <c r="F10" s="191"/>
      <c r="G10" s="106">
        <v>9891.1200000000008</v>
      </c>
      <c r="H10" s="106">
        <v>275.94</v>
      </c>
      <c r="I10" s="106">
        <v>356.63</v>
      </c>
      <c r="J10" s="106">
        <v>1881.72</v>
      </c>
      <c r="K10" s="143">
        <v>1921.31</v>
      </c>
      <c r="L10" s="145">
        <v>154.81</v>
      </c>
      <c r="M10" s="173"/>
      <c r="N10" s="173"/>
      <c r="O10" s="173">
        <f t="shared" si="2"/>
        <v>1766.5</v>
      </c>
      <c r="P10" s="173">
        <f t="shared" si="3"/>
        <v>12290.19</v>
      </c>
      <c r="Q10" s="173"/>
    </row>
    <row r="11" spans="1:17">
      <c r="A11" s="173" t="s">
        <v>116</v>
      </c>
      <c r="B11" s="173">
        <v>11476.5</v>
      </c>
      <c r="C11" s="191">
        <f t="shared" si="0"/>
        <v>778.10669999999982</v>
      </c>
      <c r="D11" s="191">
        <f t="shared" si="1"/>
        <v>259.3689</v>
      </c>
      <c r="E11" s="191"/>
      <c r="F11" s="191"/>
      <c r="G11" s="106">
        <v>9723.35</v>
      </c>
      <c r="H11" s="118">
        <v>0</v>
      </c>
      <c r="I11" s="106">
        <v>429</v>
      </c>
      <c r="J11" s="106">
        <v>1464.57</v>
      </c>
      <c r="K11" s="143">
        <v>1414.63</v>
      </c>
      <c r="L11" s="145">
        <v>90.48</v>
      </c>
      <c r="M11" s="173">
        <v>0</v>
      </c>
      <c r="N11" s="173">
        <v>0</v>
      </c>
      <c r="O11" s="173">
        <f t="shared" si="2"/>
        <v>1324.15</v>
      </c>
      <c r="P11" s="173">
        <f t="shared" si="3"/>
        <v>11476.5</v>
      </c>
      <c r="Q11" s="173"/>
    </row>
    <row r="12" spans="1:17">
      <c r="A12" s="173" t="s">
        <v>117</v>
      </c>
      <c r="B12" s="173">
        <v>11751.38</v>
      </c>
      <c r="C12" s="191">
        <f t="shared" si="0"/>
        <v>796.74356399999976</v>
      </c>
      <c r="D12" s="191">
        <f t="shared" si="1"/>
        <v>265.58118799999994</v>
      </c>
      <c r="E12" s="191"/>
      <c r="F12" s="142">
        <v>11836.23</v>
      </c>
      <c r="G12" s="106">
        <v>9769.66</v>
      </c>
      <c r="H12" s="106">
        <v>142.18</v>
      </c>
      <c r="I12" s="106">
        <v>508.31</v>
      </c>
      <c r="J12" s="106">
        <v>1416.08</v>
      </c>
      <c r="K12" s="145">
        <v>1417.03</v>
      </c>
      <c r="L12" s="145">
        <v>85.8</v>
      </c>
      <c r="M12" s="173">
        <v>0</v>
      </c>
      <c r="N12" s="173">
        <v>0</v>
      </c>
      <c r="O12" s="173">
        <f t="shared" si="2"/>
        <v>1331.23</v>
      </c>
      <c r="P12" s="173">
        <f t="shared" si="3"/>
        <v>11751.38</v>
      </c>
      <c r="Q12" s="173"/>
    </row>
    <row r="13" spans="1:17">
      <c r="A13" s="173" t="s">
        <v>118</v>
      </c>
      <c r="B13" s="173">
        <v>10854.11</v>
      </c>
      <c r="C13" s="191">
        <f t="shared" si="0"/>
        <v>735.90865799999995</v>
      </c>
      <c r="D13" s="191">
        <f t="shared" si="1"/>
        <v>245.302886</v>
      </c>
      <c r="E13" s="191"/>
      <c r="F13" s="142">
        <v>11010.2</v>
      </c>
      <c r="G13" s="106">
        <v>8491.0400000000009</v>
      </c>
      <c r="H13" s="106">
        <v>121.8</v>
      </c>
      <c r="I13" s="106">
        <v>523.69000000000005</v>
      </c>
      <c r="J13" s="106">
        <v>1873.67</v>
      </c>
      <c r="K13" s="145">
        <v>1851.46</v>
      </c>
      <c r="L13" s="145">
        <v>133.88</v>
      </c>
      <c r="M13" s="173">
        <v>0</v>
      </c>
      <c r="N13" s="173">
        <v>0</v>
      </c>
      <c r="O13" s="173">
        <f t="shared" si="2"/>
        <v>1717.58</v>
      </c>
      <c r="P13" s="173">
        <f t="shared" si="3"/>
        <v>10854.11</v>
      </c>
      <c r="Q13" s="173"/>
    </row>
    <row r="14" spans="1:17">
      <c r="A14" s="173" t="s">
        <v>119</v>
      </c>
      <c r="B14" s="173">
        <v>13336.76</v>
      </c>
      <c r="C14" s="191">
        <f t="shared" si="0"/>
        <v>904.23232799999994</v>
      </c>
      <c r="D14" s="191">
        <f t="shared" si="1"/>
        <v>301.410776</v>
      </c>
      <c r="E14" s="191"/>
      <c r="F14" s="142">
        <v>13507.97</v>
      </c>
      <c r="G14" s="106">
        <v>9697.44</v>
      </c>
      <c r="H14" s="106">
        <v>217.18</v>
      </c>
      <c r="I14" s="106">
        <v>712.54</v>
      </c>
      <c r="J14" s="106">
        <v>2880.81</v>
      </c>
      <c r="K14" s="143">
        <v>2884.87</v>
      </c>
      <c r="L14" s="145">
        <v>192.05</v>
      </c>
      <c r="M14" s="143">
        <v>16.78</v>
      </c>
      <c r="N14" s="173">
        <v>0</v>
      </c>
      <c r="O14" s="173">
        <f t="shared" ref="O14:O45" si="4">(K14-L14)+(M14-N14)</f>
        <v>2709.6</v>
      </c>
      <c r="P14" s="173">
        <f t="shared" si="3"/>
        <v>13336.76</v>
      </c>
      <c r="Q14" s="173"/>
    </row>
    <row r="15" spans="1:17">
      <c r="A15" s="173" t="s">
        <v>120</v>
      </c>
      <c r="B15" s="173">
        <v>11398.24</v>
      </c>
      <c r="C15" s="191">
        <f t="shared" si="0"/>
        <v>772.80067199999985</v>
      </c>
      <c r="D15" s="191">
        <f t="shared" si="1"/>
        <v>257.60022399999997</v>
      </c>
      <c r="E15" s="191"/>
      <c r="F15" s="142">
        <v>11545.8</v>
      </c>
      <c r="G15" s="106">
        <v>8647.5300000000007</v>
      </c>
      <c r="H15" s="106">
        <v>141.69999999999999</v>
      </c>
      <c r="I15" s="106">
        <v>466.14</v>
      </c>
      <c r="J15" s="106">
        <v>2290.4299999999998</v>
      </c>
      <c r="K15" s="145">
        <v>2310.5700000000002</v>
      </c>
      <c r="L15" s="145">
        <v>183.9</v>
      </c>
      <c r="M15" s="145">
        <v>16.2</v>
      </c>
      <c r="N15" s="173">
        <v>0</v>
      </c>
      <c r="O15" s="173">
        <f t="shared" si="4"/>
        <v>2142.87</v>
      </c>
      <c r="P15" s="173">
        <f t="shared" si="3"/>
        <v>11398.240000000002</v>
      </c>
      <c r="Q15" s="173"/>
    </row>
    <row r="16" spans="1:17">
      <c r="A16" s="173" t="s">
        <v>121</v>
      </c>
      <c r="B16" s="173">
        <v>12039.09</v>
      </c>
      <c r="C16" s="191">
        <f t="shared" si="0"/>
        <v>816.25030199999981</v>
      </c>
      <c r="D16" s="191">
        <f t="shared" si="1"/>
        <v>272.08343399999995</v>
      </c>
      <c r="E16" s="191"/>
      <c r="F16" s="142">
        <v>12047.67</v>
      </c>
      <c r="G16" s="106">
        <v>9433.31</v>
      </c>
      <c r="H16" s="106">
        <v>158.94</v>
      </c>
      <c r="I16" s="106">
        <v>590.33000000000004</v>
      </c>
      <c r="J16" s="106">
        <v>1865.09</v>
      </c>
      <c r="K16" s="143">
        <v>1978.48</v>
      </c>
      <c r="L16" s="145">
        <v>138.16999999999999</v>
      </c>
      <c r="M16" s="143">
        <v>16.2</v>
      </c>
      <c r="N16" s="173">
        <v>0</v>
      </c>
      <c r="O16" s="173">
        <f t="shared" si="4"/>
        <v>1856.51</v>
      </c>
      <c r="P16" s="173">
        <f t="shared" si="3"/>
        <v>12039.09</v>
      </c>
      <c r="Q16" s="173"/>
    </row>
    <row r="17" spans="1:17">
      <c r="A17" s="187" t="s">
        <v>122</v>
      </c>
      <c r="B17" s="187">
        <v>13055.04</v>
      </c>
      <c r="C17" s="191">
        <f t="shared" si="0"/>
        <v>885.13171199999999</v>
      </c>
      <c r="D17" s="191">
        <f t="shared" si="1"/>
        <v>295.04390400000005</v>
      </c>
      <c r="E17" s="191"/>
      <c r="F17" s="142">
        <v>13288.84</v>
      </c>
      <c r="G17" s="106">
        <v>9385.52</v>
      </c>
      <c r="H17" s="106">
        <v>185.69</v>
      </c>
      <c r="I17" s="106">
        <v>549.69000000000005</v>
      </c>
      <c r="J17" s="106">
        <v>3167.94</v>
      </c>
      <c r="K17" s="143">
        <v>3141.24</v>
      </c>
      <c r="L17" s="221">
        <v>237.08</v>
      </c>
      <c r="M17" s="221">
        <v>29.98</v>
      </c>
      <c r="N17" s="187">
        <v>0</v>
      </c>
      <c r="O17" s="187">
        <f t="shared" si="4"/>
        <v>2934.14</v>
      </c>
      <c r="P17" s="187">
        <f t="shared" si="3"/>
        <v>13055.04</v>
      </c>
      <c r="Q17" s="187"/>
    </row>
    <row r="18" spans="1:17">
      <c r="A18" s="187" t="s">
        <v>123</v>
      </c>
      <c r="B18" s="187">
        <v>12983.72</v>
      </c>
      <c r="C18" s="191">
        <f t="shared" si="0"/>
        <v>880.29621599999984</v>
      </c>
      <c r="D18" s="191">
        <f t="shared" si="1"/>
        <v>293.43207199999995</v>
      </c>
      <c r="E18" s="191"/>
      <c r="F18" s="142">
        <v>13103.48</v>
      </c>
      <c r="G18" s="106">
        <v>10064.450000000001</v>
      </c>
      <c r="H18" s="106">
        <v>65.2</v>
      </c>
      <c r="I18" s="106">
        <v>625.54</v>
      </c>
      <c r="J18" s="106">
        <v>2348.29</v>
      </c>
      <c r="K18" s="143">
        <v>2347.39</v>
      </c>
      <c r="L18" s="221">
        <v>168.32</v>
      </c>
      <c r="M18" s="143">
        <v>49.46</v>
      </c>
      <c r="N18" s="187">
        <v>0</v>
      </c>
      <c r="O18" s="187">
        <f t="shared" si="4"/>
        <v>2228.5299999999997</v>
      </c>
      <c r="P18" s="187">
        <f t="shared" si="3"/>
        <v>12983.720000000001</v>
      </c>
      <c r="Q18" s="187"/>
    </row>
    <row r="19" spans="1:17">
      <c r="A19" s="187" t="s">
        <v>124</v>
      </c>
      <c r="B19" s="187">
        <v>13364.94</v>
      </c>
      <c r="C19" s="191">
        <f t="shared" si="0"/>
        <v>906.14293199999986</v>
      </c>
      <c r="D19" s="191">
        <f t="shared" si="1"/>
        <v>302.04764399999999</v>
      </c>
      <c r="E19" s="191"/>
      <c r="F19" s="142">
        <v>13603.33</v>
      </c>
      <c r="G19" s="106">
        <v>10254.469999999999</v>
      </c>
      <c r="H19" s="106">
        <v>167.99</v>
      </c>
      <c r="I19" s="106">
        <v>515.75</v>
      </c>
      <c r="J19" s="106">
        <v>2665.12</v>
      </c>
      <c r="K19" s="221">
        <v>2541.8200000000002</v>
      </c>
      <c r="L19" s="221">
        <v>133.99</v>
      </c>
      <c r="M19" s="143">
        <v>18.899999999999999</v>
      </c>
      <c r="N19" s="187">
        <v>0</v>
      </c>
      <c r="O19" s="187">
        <f t="shared" si="4"/>
        <v>2426.73</v>
      </c>
      <c r="P19" s="187">
        <f t="shared" si="3"/>
        <v>13364.939999999999</v>
      </c>
      <c r="Q19" s="187"/>
    </row>
    <row r="20" spans="1:17">
      <c r="A20" s="187" t="s">
        <v>125</v>
      </c>
      <c r="B20" s="187">
        <v>14314.06</v>
      </c>
      <c r="C20" s="191">
        <f t="shared" si="0"/>
        <v>970.49326799999983</v>
      </c>
      <c r="D20" s="191">
        <f t="shared" si="1"/>
        <v>323.49775599999998</v>
      </c>
      <c r="E20" s="191"/>
      <c r="F20" s="142">
        <v>14252.5</v>
      </c>
      <c r="G20" s="106">
        <v>11199.44</v>
      </c>
      <c r="H20" s="106">
        <v>135.29</v>
      </c>
      <c r="I20" s="106">
        <v>839.42</v>
      </c>
      <c r="J20" s="106">
        <v>2078.35</v>
      </c>
      <c r="K20" s="143">
        <v>2147.79</v>
      </c>
      <c r="L20" s="221">
        <v>44.14</v>
      </c>
      <c r="M20" s="143">
        <v>36.26</v>
      </c>
      <c r="N20" s="187">
        <v>0</v>
      </c>
      <c r="O20" s="187">
        <f t="shared" si="4"/>
        <v>2139.9100000000003</v>
      </c>
      <c r="P20" s="187">
        <f t="shared" si="3"/>
        <v>14314.060000000001</v>
      </c>
      <c r="Q20" s="187"/>
    </row>
    <row r="21" spans="1:17">
      <c r="A21" s="187" t="s">
        <v>126</v>
      </c>
      <c r="B21" s="187">
        <v>11942.82</v>
      </c>
      <c r="C21" s="191">
        <f t="shared" si="0"/>
        <v>809.7231959999998</v>
      </c>
      <c r="D21" s="191">
        <f t="shared" si="1"/>
        <v>269.90773200000001</v>
      </c>
      <c r="E21" s="191"/>
      <c r="F21" s="142">
        <v>11966.52</v>
      </c>
      <c r="G21" s="106">
        <v>9037.18</v>
      </c>
      <c r="H21" s="106">
        <v>148.94999999999999</v>
      </c>
      <c r="I21" s="106">
        <v>490.59</v>
      </c>
      <c r="J21" s="106">
        <v>2289.8000000000002</v>
      </c>
      <c r="K21" s="143">
        <v>2371.2600000000002</v>
      </c>
      <c r="L21" s="145">
        <v>105.16</v>
      </c>
      <c r="M21" s="221">
        <v>0</v>
      </c>
      <c r="N21" s="187">
        <v>0</v>
      </c>
      <c r="O21" s="187">
        <f t="shared" si="4"/>
        <v>2266.1000000000004</v>
      </c>
      <c r="P21" s="187">
        <f t="shared" si="3"/>
        <v>11942.820000000002</v>
      </c>
      <c r="Q21" s="187"/>
    </row>
    <row r="22" spans="1:17">
      <c r="A22" s="187" t="s">
        <v>127</v>
      </c>
      <c r="B22" s="187">
        <v>10989.53</v>
      </c>
      <c r="C22" s="191">
        <f t="shared" si="0"/>
        <v>745.09013399999992</v>
      </c>
      <c r="D22" s="191">
        <f t="shared" si="1"/>
        <v>248.36337799999998</v>
      </c>
      <c r="E22" s="11">
        <v>425</v>
      </c>
      <c r="F22" s="142">
        <v>11211.55</v>
      </c>
      <c r="G22" s="106">
        <v>8389.0499999999993</v>
      </c>
      <c r="H22" s="106">
        <v>108.08</v>
      </c>
      <c r="I22" s="106">
        <v>194.95</v>
      </c>
      <c r="J22" s="106">
        <v>2519.4699999999998</v>
      </c>
      <c r="K22" s="143">
        <v>2443.4</v>
      </c>
      <c r="L22" s="145">
        <v>162.15</v>
      </c>
      <c r="M22" s="143">
        <v>16.2</v>
      </c>
      <c r="N22" s="187">
        <v>0</v>
      </c>
      <c r="O22" s="187">
        <f t="shared" si="4"/>
        <v>2297.4499999999998</v>
      </c>
      <c r="P22" s="187">
        <f t="shared" si="3"/>
        <v>10989.529999999999</v>
      </c>
      <c r="Q22" s="187"/>
    </row>
    <row r="23" spans="1:17">
      <c r="A23" s="187" t="s">
        <v>128</v>
      </c>
      <c r="B23" s="187">
        <v>11974.6</v>
      </c>
      <c r="C23" s="191">
        <f t="shared" si="0"/>
        <v>811.87787999999989</v>
      </c>
      <c r="D23" s="191">
        <f t="shared" si="1"/>
        <v>270.62596000000002</v>
      </c>
      <c r="E23" s="56">
        <v>478</v>
      </c>
      <c r="F23" s="142">
        <v>12054.1</v>
      </c>
      <c r="G23" s="106">
        <v>9404.5400000000009</v>
      </c>
      <c r="H23" s="106">
        <v>76.19</v>
      </c>
      <c r="I23" s="106">
        <v>266.44</v>
      </c>
      <c r="J23" s="106">
        <v>2306.9299999999998</v>
      </c>
      <c r="K23" s="143">
        <v>2377.42</v>
      </c>
      <c r="L23" s="145">
        <v>166.78</v>
      </c>
      <c r="M23" s="143">
        <v>16.79</v>
      </c>
      <c r="N23" s="187">
        <v>0</v>
      </c>
      <c r="O23" s="187">
        <f t="shared" si="4"/>
        <v>2227.4299999999998</v>
      </c>
      <c r="P23" s="187">
        <f t="shared" si="3"/>
        <v>11974.600000000002</v>
      </c>
      <c r="Q23" s="187"/>
    </row>
    <row r="24" spans="1:17">
      <c r="A24" s="187" t="s">
        <v>129</v>
      </c>
      <c r="B24" s="187">
        <v>12947.61</v>
      </c>
      <c r="C24" s="191">
        <f t="shared" si="0"/>
        <v>877.84795799999984</v>
      </c>
      <c r="D24" s="191">
        <f t="shared" si="1"/>
        <v>292.61598599999996</v>
      </c>
      <c r="E24" s="11">
        <v>494</v>
      </c>
      <c r="F24" s="142">
        <v>13150.05</v>
      </c>
      <c r="G24" s="106">
        <v>10118.94</v>
      </c>
      <c r="H24" s="106">
        <v>137.13</v>
      </c>
      <c r="I24" s="106">
        <v>308.57</v>
      </c>
      <c r="J24" s="106">
        <v>2585.41</v>
      </c>
      <c r="K24" s="143">
        <v>2486.67</v>
      </c>
      <c r="L24" s="145">
        <v>123.19</v>
      </c>
      <c r="M24" s="143">
        <v>19.489999999999998</v>
      </c>
      <c r="N24" s="187">
        <v>0</v>
      </c>
      <c r="O24" s="187">
        <f t="shared" si="4"/>
        <v>2382.9699999999998</v>
      </c>
      <c r="P24" s="187">
        <f t="shared" si="3"/>
        <v>12947.609999999999</v>
      </c>
      <c r="Q24" s="187"/>
    </row>
    <row r="25" spans="1:17">
      <c r="A25" s="187" t="s">
        <v>130</v>
      </c>
      <c r="B25" s="187">
        <v>12241.33</v>
      </c>
      <c r="C25" s="191">
        <f t="shared" si="0"/>
        <v>829.96217399999989</v>
      </c>
      <c r="D25" s="191">
        <f t="shared" si="1"/>
        <v>276.65405799999996</v>
      </c>
      <c r="E25" s="11">
        <v>499</v>
      </c>
      <c r="F25" s="142">
        <v>12343</v>
      </c>
      <c r="G25" s="106">
        <v>8964.0300000000007</v>
      </c>
      <c r="H25" s="106">
        <v>80.790000000000006</v>
      </c>
      <c r="I25" s="106">
        <v>472.79</v>
      </c>
      <c r="J25" s="106">
        <v>2825.39</v>
      </c>
      <c r="K25" s="143">
        <v>2938.83</v>
      </c>
      <c r="L25" s="145">
        <v>215.11</v>
      </c>
      <c r="M25" s="143">
        <v>0</v>
      </c>
      <c r="N25" s="187">
        <v>0</v>
      </c>
      <c r="O25" s="187">
        <f t="shared" si="4"/>
        <v>2723.72</v>
      </c>
      <c r="P25" s="187">
        <f t="shared" si="3"/>
        <v>12241.330000000002</v>
      </c>
      <c r="Q25" s="187"/>
    </row>
    <row r="26" spans="1:17">
      <c r="A26" s="187" t="s">
        <v>131</v>
      </c>
      <c r="B26" s="187">
        <v>11820.22</v>
      </c>
      <c r="C26" s="191">
        <f t="shared" si="0"/>
        <v>801.41091599999982</v>
      </c>
      <c r="D26" s="191">
        <f t="shared" si="1"/>
        <v>267.13697199999996</v>
      </c>
      <c r="E26" s="11">
        <v>487</v>
      </c>
      <c r="F26" s="142">
        <v>12114.39</v>
      </c>
      <c r="G26" s="106">
        <v>9038.7900000000009</v>
      </c>
      <c r="H26" s="106">
        <v>78.180000000000007</v>
      </c>
      <c r="I26" s="106">
        <v>515.1</v>
      </c>
      <c r="J26" s="106">
        <v>2482.3200000000002</v>
      </c>
      <c r="K26" s="143">
        <v>2403.12</v>
      </c>
      <c r="L26" s="145">
        <v>214.97</v>
      </c>
      <c r="M26" s="143">
        <v>0</v>
      </c>
      <c r="N26" s="187">
        <v>0</v>
      </c>
      <c r="O26" s="187">
        <f t="shared" si="4"/>
        <v>2188.15</v>
      </c>
      <c r="P26" s="187">
        <f t="shared" si="3"/>
        <v>11820.220000000001</v>
      </c>
      <c r="Q26" s="187"/>
    </row>
    <row r="27" spans="1:17">
      <c r="A27" s="187" t="s">
        <v>132</v>
      </c>
      <c r="B27" s="187">
        <v>10592.17</v>
      </c>
      <c r="C27" s="191">
        <f t="shared" si="0"/>
        <v>718.14912600000002</v>
      </c>
      <c r="D27" s="191">
        <f t="shared" si="1"/>
        <v>239.38304199999999</v>
      </c>
      <c r="E27" s="11">
        <v>406</v>
      </c>
      <c r="F27" s="142">
        <v>10627.64</v>
      </c>
      <c r="G27" s="106">
        <v>7569.74</v>
      </c>
      <c r="H27" s="106">
        <v>240.1</v>
      </c>
      <c r="I27" s="106">
        <v>548.85</v>
      </c>
      <c r="J27" s="106">
        <v>2268.9499999999998</v>
      </c>
      <c r="K27" s="143">
        <v>2321.4899999999998</v>
      </c>
      <c r="L27" s="145">
        <v>169.27</v>
      </c>
      <c r="M27" s="145">
        <v>81.260000000000005</v>
      </c>
      <c r="N27" s="187">
        <v>0</v>
      </c>
      <c r="O27" s="187">
        <f t="shared" si="4"/>
        <v>2233.48</v>
      </c>
      <c r="P27" s="187">
        <f t="shared" si="3"/>
        <v>10592.17</v>
      </c>
      <c r="Q27" s="187"/>
    </row>
    <row r="28" spans="1:17">
      <c r="A28" s="187" t="s">
        <v>133</v>
      </c>
      <c r="B28" s="187">
        <v>13732.56</v>
      </c>
      <c r="C28" s="191">
        <f t="shared" si="0"/>
        <v>931.06756799999982</v>
      </c>
      <c r="D28" s="191">
        <f t="shared" si="1"/>
        <v>310.35585600000002</v>
      </c>
      <c r="E28" s="11">
        <v>521</v>
      </c>
      <c r="F28" s="142">
        <v>14046.06</v>
      </c>
      <c r="G28" s="106">
        <v>10729.44</v>
      </c>
      <c r="H28" s="106">
        <v>102.3</v>
      </c>
      <c r="I28" s="106">
        <v>396.59</v>
      </c>
      <c r="J28" s="106">
        <v>2817.73</v>
      </c>
      <c r="K28" s="143">
        <v>2724.14</v>
      </c>
      <c r="L28" s="145">
        <v>219.91</v>
      </c>
      <c r="M28" s="143">
        <v>0</v>
      </c>
      <c r="N28" s="187">
        <v>0</v>
      </c>
      <c r="O28" s="187">
        <f t="shared" si="4"/>
        <v>2504.23</v>
      </c>
      <c r="P28" s="187">
        <f t="shared" si="3"/>
        <v>13732.56</v>
      </c>
      <c r="Q28" s="187"/>
    </row>
    <row r="29" spans="1:17">
      <c r="A29" s="187" t="s">
        <v>134</v>
      </c>
      <c r="B29" s="187">
        <v>10690.28</v>
      </c>
      <c r="C29" s="191">
        <f t="shared" si="0"/>
        <v>724.80098399999986</v>
      </c>
      <c r="D29" s="191">
        <f t="shared" si="1"/>
        <v>241.60032800000002</v>
      </c>
      <c r="E29" s="11">
        <v>407</v>
      </c>
      <c r="F29" s="142">
        <v>10806.05</v>
      </c>
      <c r="G29" s="106">
        <v>7596.4</v>
      </c>
      <c r="H29" s="106">
        <v>83.2</v>
      </c>
      <c r="I29" s="106">
        <v>364.3</v>
      </c>
      <c r="J29" s="106">
        <v>2762.15</v>
      </c>
      <c r="K29" s="143">
        <v>2850.94</v>
      </c>
      <c r="L29" s="145">
        <v>204.56</v>
      </c>
      <c r="M29" s="143">
        <v>0</v>
      </c>
      <c r="N29" s="187">
        <v>0</v>
      </c>
      <c r="O29" s="187">
        <f t="shared" si="4"/>
        <v>2646.38</v>
      </c>
      <c r="P29" s="187">
        <f t="shared" si="3"/>
        <v>10690.279999999999</v>
      </c>
      <c r="Q29" s="187"/>
    </row>
    <row r="30" spans="1:17">
      <c r="A30" s="187" t="s">
        <v>135</v>
      </c>
      <c r="B30" s="187">
        <v>10419.98</v>
      </c>
      <c r="C30" s="191">
        <f t="shared" si="0"/>
        <v>706.4746439999999</v>
      </c>
      <c r="D30" s="191">
        <f t="shared" si="1"/>
        <v>235.49154799999997</v>
      </c>
      <c r="E30" s="11">
        <v>384</v>
      </c>
      <c r="F30" s="142">
        <v>10568.22</v>
      </c>
      <c r="G30" s="106">
        <v>7718.52</v>
      </c>
      <c r="H30" s="106">
        <v>96.7</v>
      </c>
      <c r="I30" s="106">
        <v>389.75</v>
      </c>
      <c r="J30" s="106">
        <v>2363.25</v>
      </c>
      <c r="K30" s="295">
        <v>2398.06</v>
      </c>
      <c r="L30" s="295">
        <v>183.05</v>
      </c>
      <c r="M30" s="143">
        <v>0</v>
      </c>
      <c r="N30" s="187">
        <v>0</v>
      </c>
      <c r="O30" s="187">
        <f t="shared" si="4"/>
        <v>2215.0099999999998</v>
      </c>
      <c r="P30" s="187">
        <f t="shared" si="3"/>
        <v>10419.980000000001</v>
      </c>
      <c r="Q30" s="187"/>
    </row>
    <row r="31" spans="1:17">
      <c r="A31" s="187" t="s">
        <v>136</v>
      </c>
      <c r="B31" s="187">
        <v>10981.98</v>
      </c>
      <c r="C31" s="191">
        <f t="shared" si="0"/>
        <v>744.57824399999981</v>
      </c>
      <c r="D31" s="191">
        <f t="shared" si="1"/>
        <v>248.19274799999997</v>
      </c>
      <c r="E31" s="11">
        <v>414</v>
      </c>
      <c r="F31" s="142">
        <v>11221.66</v>
      </c>
      <c r="G31" s="106">
        <v>8565.7199999999993</v>
      </c>
      <c r="H31" s="106">
        <v>27.47</v>
      </c>
      <c r="I31" s="106">
        <v>377.71</v>
      </c>
      <c r="J31" s="106">
        <v>2250.7600000000002</v>
      </c>
      <c r="K31" s="143">
        <v>2175.16</v>
      </c>
      <c r="L31" s="145">
        <v>164.08</v>
      </c>
      <c r="M31" s="143">
        <v>0</v>
      </c>
      <c r="N31" s="187">
        <v>0</v>
      </c>
      <c r="O31" s="187">
        <f t="shared" si="4"/>
        <v>2011.08</v>
      </c>
      <c r="P31" s="187">
        <f t="shared" si="3"/>
        <v>10981.979999999998</v>
      </c>
      <c r="Q31" s="187"/>
    </row>
    <row r="32" spans="1:17">
      <c r="A32" s="187" t="s">
        <v>137</v>
      </c>
      <c r="B32" s="187">
        <v>13592.58</v>
      </c>
      <c r="C32" s="191">
        <f t="shared" si="0"/>
        <v>921.57692399999996</v>
      </c>
      <c r="D32" s="191">
        <f t="shared" si="1"/>
        <v>307.19230799999997</v>
      </c>
      <c r="E32" s="11">
        <v>474</v>
      </c>
      <c r="F32" s="142">
        <v>13726.19</v>
      </c>
      <c r="G32" s="106">
        <v>10686.02</v>
      </c>
      <c r="H32" s="106">
        <v>50.4</v>
      </c>
      <c r="I32" s="106">
        <v>524.32000000000005</v>
      </c>
      <c r="J32" s="106">
        <v>2465.4499999999998</v>
      </c>
      <c r="K32" s="143">
        <v>2511.84</v>
      </c>
      <c r="L32" s="145">
        <v>180</v>
      </c>
      <c r="M32" s="143">
        <v>0</v>
      </c>
      <c r="N32" s="187">
        <v>0</v>
      </c>
      <c r="O32" s="187">
        <f t="shared" si="4"/>
        <v>2331.84</v>
      </c>
      <c r="P32" s="187">
        <f t="shared" si="3"/>
        <v>13592.58</v>
      </c>
      <c r="Q32" s="187"/>
    </row>
    <row r="33" spans="1:17">
      <c r="A33" s="187" t="s">
        <v>138</v>
      </c>
      <c r="B33" s="187">
        <v>12630.49</v>
      </c>
      <c r="C33" s="191">
        <f t="shared" si="0"/>
        <v>856.34722199999987</v>
      </c>
      <c r="D33" s="191">
        <f t="shared" si="1"/>
        <v>285.449074</v>
      </c>
      <c r="E33" s="11">
        <v>465</v>
      </c>
      <c r="F33" s="142">
        <v>12502</v>
      </c>
      <c r="G33" s="106">
        <v>10063.39</v>
      </c>
      <c r="H33" s="106">
        <v>78.39</v>
      </c>
      <c r="I33" s="106">
        <v>369.19</v>
      </c>
      <c r="J33" s="106">
        <v>1991.03</v>
      </c>
      <c r="K33" s="145">
        <v>2150.13</v>
      </c>
      <c r="L33" s="145">
        <v>47.4</v>
      </c>
      <c r="M33" s="143">
        <v>16.79</v>
      </c>
      <c r="N33" s="187">
        <v>0</v>
      </c>
      <c r="O33" s="187">
        <f t="shared" si="4"/>
        <v>2119.52</v>
      </c>
      <c r="P33" s="187">
        <f t="shared" si="3"/>
        <v>12630.49</v>
      </c>
      <c r="Q33" s="187"/>
    </row>
    <row r="34" spans="1:17">
      <c r="A34" s="187" t="s">
        <v>139</v>
      </c>
      <c r="B34" s="187">
        <v>11585.27</v>
      </c>
      <c r="C34" s="191">
        <f t="shared" si="0"/>
        <v>785.48130600000002</v>
      </c>
      <c r="D34" s="191">
        <f t="shared" si="1"/>
        <v>261.82710200000002</v>
      </c>
      <c r="E34" s="56">
        <v>422</v>
      </c>
      <c r="F34" s="142">
        <v>11585.27</v>
      </c>
      <c r="G34" s="106">
        <v>9743.01</v>
      </c>
      <c r="H34" s="106">
        <v>78</v>
      </c>
      <c r="I34" s="106">
        <v>261.58999999999997</v>
      </c>
      <c r="J34" s="106">
        <v>1502.67</v>
      </c>
      <c r="K34" s="145">
        <v>1461.3</v>
      </c>
      <c r="L34" s="145">
        <v>0</v>
      </c>
      <c r="M34" s="145">
        <v>41.37</v>
      </c>
      <c r="N34" s="187">
        <v>0</v>
      </c>
      <c r="O34" s="187">
        <f t="shared" si="4"/>
        <v>1502.6699999999998</v>
      </c>
      <c r="P34" s="187">
        <f t="shared" si="3"/>
        <v>11585.27</v>
      </c>
      <c r="Q34" s="187"/>
    </row>
    <row r="35" spans="1:17">
      <c r="A35" s="187" t="s">
        <v>140</v>
      </c>
      <c r="B35" s="187">
        <v>12293.93</v>
      </c>
      <c r="C35" s="191">
        <f t="shared" ref="C35:C66" si="5">(B35*0.06)*1.13</f>
        <v>833.5284539999999</v>
      </c>
      <c r="D35" s="191">
        <f t="shared" ref="D35:D65" si="6">(B35*0.02)*1.13</f>
        <v>277.84281799999997</v>
      </c>
      <c r="E35" s="11"/>
      <c r="F35" s="187">
        <v>12267.53</v>
      </c>
      <c r="G35" s="187">
        <v>9529.43</v>
      </c>
      <c r="H35" s="187">
        <v>69.67</v>
      </c>
      <c r="I35" s="187">
        <v>408.22</v>
      </c>
      <c r="J35" s="187">
        <v>2260.21</v>
      </c>
      <c r="K35" s="298">
        <v>2210.85</v>
      </c>
      <c r="L35" s="145">
        <v>0</v>
      </c>
      <c r="M35" s="298">
        <v>75.760000000000005</v>
      </c>
      <c r="N35" s="187">
        <v>0</v>
      </c>
      <c r="O35" s="187">
        <f t="shared" si="4"/>
        <v>2286.61</v>
      </c>
      <c r="P35" s="187">
        <f t="shared" si="3"/>
        <v>12293.93</v>
      </c>
      <c r="Q35" s="187"/>
    </row>
    <row r="36" spans="1:17">
      <c r="A36" s="187" t="s">
        <v>141</v>
      </c>
      <c r="B36" s="187">
        <v>11555.06</v>
      </c>
      <c r="C36" s="191">
        <f t="shared" si="5"/>
        <v>783.43306799999993</v>
      </c>
      <c r="D36" s="191">
        <f t="shared" si="6"/>
        <v>261.14435599999996</v>
      </c>
      <c r="E36" s="11"/>
      <c r="F36" s="187">
        <v>11353.63</v>
      </c>
      <c r="G36" s="187">
        <v>8658.4</v>
      </c>
      <c r="H36" s="187">
        <v>85.19</v>
      </c>
      <c r="I36" s="187">
        <v>495.24</v>
      </c>
      <c r="J36" s="187">
        <v>2114.8000000000002</v>
      </c>
      <c r="K36" s="145">
        <v>2215.48</v>
      </c>
      <c r="L36" s="145">
        <v>0</v>
      </c>
      <c r="M36" s="145">
        <v>100.75</v>
      </c>
      <c r="N36" s="187">
        <v>0</v>
      </c>
      <c r="O36" s="187">
        <f t="shared" si="4"/>
        <v>2316.23</v>
      </c>
      <c r="P36" s="187">
        <f t="shared" si="3"/>
        <v>11555.06</v>
      </c>
      <c r="Q36" s="187"/>
    </row>
    <row r="37" spans="1:17">
      <c r="A37" s="187" t="s">
        <v>142</v>
      </c>
      <c r="B37" s="187">
        <v>10863.69</v>
      </c>
      <c r="C37" s="191">
        <f t="shared" si="5"/>
        <v>736.55818199999999</v>
      </c>
      <c r="D37" s="191">
        <f t="shared" si="6"/>
        <v>245.51939400000001</v>
      </c>
      <c r="E37" s="300">
        <v>387</v>
      </c>
      <c r="F37" s="187">
        <v>10660.12</v>
      </c>
      <c r="G37" s="187">
        <v>8633.73</v>
      </c>
      <c r="H37" s="187">
        <v>53.79</v>
      </c>
      <c r="I37" s="187">
        <v>283.42</v>
      </c>
      <c r="J37" s="187">
        <v>1689.18</v>
      </c>
      <c r="K37" s="145">
        <v>1892.75</v>
      </c>
      <c r="L37" s="145">
        <v>0</v>
      </c>
      <c r="M37" s="143">
        <v>0</v>
      </c>
      <c r="N37" s="187">
        <v>0</v>
      </c>
      <c r="O37" s="187">
        <f t="shared" si="4"/>
        <v>1892.75</v>
      </c>
      <c r="P37" s="187">
        <f t="shared" ref="P37:P65" si="7">SUM(G37,H37,I37,O37)</f>
        <v>10863.69</v>
      </c>
      <c r="Q37" s="187"/>
    </row>
    <row r="38" spans="1:17">
      <c r="A38" s="187" t="s">
        <v>143</v>
      </c>
      <c r="B38" s="187">
        <v>11237.21</v>
      </c>
      <c r="C38" s="191">
        <f t="shared" si="5"/>
        <v>761.88283799999988</v>
      </c>
      <c r="D38" s="191">
        <f t="shared" si="6"/>
        <v>253.96094599999995</v>
      </c>
      <c r="E38" s="187" t="s">
        <v>463</v>
      </c>
      <c r="F38" s="187">
        <v>10213.17</v>
      </c>
      <c r="G38" s="187">
        <v>8370.76</v>
      </c>
      <c r="H38" s="187">
        <v>22.8</v>
      </c>
      <c r="I38" s="187">
        <v>346.46</v>
      </c>
      <c r="J38" s="187">
        <v>1473.15</v>
      </c>
      <c r="K38" s="301">
        <v>2469.8000000000002</v>
      </c>
      <c r="L38" s="145">
        <v>0</v>
      </c>
      <c r="M38" s="301">
        <v>27.39</v>
      </c>
      <c r="N38" s="187">
        <v>0</v>
      </c>
      <c r="O38" s="187">
        <f t="shared" si="4"/>
        <v>2497.19</v>
      </c>
      <c r="P38" s="187">
        <f t="shared" si="7"/>
        <v>11237.21</v>
      </c>
      <c r="Q38" s="187"/>
    </row>
    <row r="39" spans="1:17">
      <c r="A39" s="187" t="s">
        <v>145</v>
      </c>
      <c r="B39" s="187">
        <v>12513.72</v>
      </c>
      <c r="C39" s="191">
        <f t="shared" si="5"/>
        <v>848.43021599999986</v>
      </c>
      <c r="D39" s="191">
        <f t="shared" si="6"/>
        <v>282.81007199999993</v>
      </c>
      <c r="E39" s="187" t="s">
        <v>464</v>
      </c>
      <c r="F39" s="187">
        <v>12210.21</v>
      </c>
      <c r="G39" s="187">
        <v>9605.41</v>
      </c>
      <c r="H39" s="187">
        <v>37.49</v>
      </c>
      <c r="I39" s="187">
        <v>283.32</v>
      </c>
      <c r="J39" s="187">
        <v>2283.9899999999998</v>
      </c>
      <c r="K39" s="145">
        <v>2574.91</v>
      </c>
      <c r="L39" s="145">
        <v>0</v>
      </c>
      <c r="M39" s="145">
        <v>12.59</v>
      </c>
      <c r="N39" s="187">
        <v>0</v>
      </c>
      <c r="O39" s="187">
        <f t="shared" si="4"/>
        <v>2587.5</v>
      </c>
      <c r="P39" s="187">
        <f t="shared" si="7"/>
        <v>12513.72</v>
      </c>
      <c r="Q39" s="187"/>
    </row>
    <row r="40" spans="1:17">
      <c r="A40" s="2" t="s">
        <v>147</v>
      </c>
      <c r="B40" s="187">
        <v>10494.8</v>
      </c>
      <c r="C40" s="191">
        <f t="shared" si="5"/>
        <v>711.54743999999994</v>
      </c>
      <c r="D40" s="191">
        <f t="shared" si="6"/>
        <v>237.18247999999997</v>
      </c>
      <c r="E40" s="187" t="s">
        <v>209</v>
      </c>
      <c r="F40" s="187">
        <v>10311.41</v>
      </c>
      <c r="G40" s="187">
        <v>8293.94</v>
      </c>
      <c r="H40" s="187">
        <v>95.2</v>
      </c>
      <c r="I40" s="187">
        <v>505.32</v>
      </c>
      <c r="J40" s="187">
        <v>1416.95</v>
      </c>
      <c r="K40" s="145">
        <v>1559.16</v>
      </c>
      <c r="L40" s="145">
        <v>0</v>
      </c>
      <c r="M40" s="145">
        <v>41.18</v>
      </c>
      <c r="N40" s="187">
        <v>0</v>
      </c>
      <c r="O40" s="187">
        <f t="shared" si="4"/>
        <v>1600.3400000000001</v>
      </c>
      <c r="P40" s="187">
        <f t="shared" si="7"/>
        <v>10494.800000000001</v>
      </c>
      <c r="Q40" s="187"/>
    </row>
    <row r="41" spans="1:17">
      <c r="A41" s="2" t="s">
        <v>149</v>
      </c>
      <c r="B41" s="187">
        <v>10884.24</v>
      </c>
      <c r="C41" s="191">
        <f t="shared" si="5"/>
        <v>737.95147199999997</v>
      </c>
      <c r="D41" s="191">
        <f t="shared" si="6"/>
        <v>245.98382399999997</v>
      </c>
      <c r="E41" s="304">
        <v>397</v>
      </c>
      <c r="F41" s="187">
        <v>10409.25</v>
      </c>
      <c r="G41" s="187">
        <v>8316.5400000000009</v>
      </c>
      <c r="H41" s="187">
        <v>145.22999999999999</v>
      </c>
      <c r="I41" s="187">
        <v>528.82000000000005</v>
      </c>
      <c r="J41" s="187">
        <v>1418.66</v>
      </c>
      <c r="K41" s="145">
        <v>1805.9</v>
      </c>
      <c r="L41" s="145">
        <v>0</v>
      </c>
      <c r="M41" s="145">
        <v>87.75</v>
      </c>
      <c r="N41" s="187">
        <v>0</v>
      </c>
      <c r="O41" s="187">
        <f t="shared" si="4"/>
        <v>1893.65</v>
      </c>
      <c r="P41" s="187">
        <f t="shared" si="7"/>
        <v>10884.24</v>
      </c>
      <c r="Q41" s="187"/>
    </row>
    <row r="42" spans="1:17">
      <c r="A42" s="11" t="s">
        <v>150</v>
      </c>
      <c r="B42" s="187">
        <v>10675.93</v>
      </c>
      <c r="C42" s="187">
        <f t="shared" si="5"/>
        <v>723.82805399999995</v>
      </c>
      <c r="D42" s="187">
        <f t="shared" si="6"/>
        <v>241.27601799999999</v>
      </c>
      <c r="E42" s="304">
        <v>412</v>
      </c>
      <c r="F42" s="187">
        <v>10493.36</v>
      </c>
      <c r="G42" s="187">
        <v>8005.99</v>
      </c>
      <c r="H42" s="56">
        <v>102.89</v>
      </c>
      <c r="I42" s="187">
        <v>625.30999999999995</v>
      </c>
      <c r="J42" s="187">
        <v>1759.17</v>
      </c>
      <c r="K42" s="140">
        <v>1865.98</v>
      </c>
      <c r="L42" s="140">
        <v>0</v>
      </c>
      <c r="M42" s="140">
        <v>75.760000000000005</v>
      </c>
      <c r="N42" s="187">
        <v>0</v>
      </c>
      <c r="O42" s="187">
        <f t="shared" si="4"/>
        <v>1941.74</v>
      </c>
      <c r="P42" s="187">
        <f t="shared" si="7"/>
        <v>10675.93</v>
      </c>
      <c r="Q42" s="187"/>
    </row>
    <row r="43" spans="1:17">
      <c r="A43" s="118" t="s">
        <v>151</v>
      </c>
      <c r="B43" s="187">
        <v>9869.4699999999993</v>
      </c>
      <c r="C43" s="187">
        <f t="shared" si="5"/>
        <v>669.15006599999992</v>
      </c>
      <c r="D43" s="187">
        <f t="shared" si="6"/>
        <v>223.05002199999998</v>
      </c>
      <c r="E43" s="187" t="s">
        <v>465</v>
      </c>
      <c r="F43" s="187">
        <v>9574.7000000000007</v>
      </c>
      <c r="G43" s="187">
        <v>6988.28</v>
      </c>
      <c r="H43" s="187">
        <v>35.979999999999997</v>
      </c>
      <c r="I43" s="187">
        <v>411.48</v>
      </c>
      <c r="J43" s="187">
        <v>2138.96</v>
      </c>
      <c r="K43" s="140">
        <v>2401.35</v>
      </c>
      <c r="L43" s="140">
        <v>0</v>
      </c>
      <c r="M43" s="140">
        <v>32.380000000000003</v>
      </c>
      <c r="N43" s="187">
        <v>0</v>
      </c>
      <c r="O43" s="187">
        <f t="shared" si="4"/>
        <v>2433.73</v>
      </c>
      <c r="P43" s="187">
        <f t="shared" si="7"/>
        <v>9869.4699999999993</v>
      </c>
      <c r="Q43" s="187"/>
    </row>
    <row r="44" spans="1:17">
      <c r="A44" s="11" t="s">
        <v>153</v>
      </c>
      <c r="B44" s="187">
        <v>11180.16</v>
      </c>
      <c r="C44" s="187">
        <f t="shared" si="5"/>
        <v>758.0148479999998</v>
      </c>
      <c r="D44" s="187">
        <f t="shared" si="6"/>
        <v>252.671616</v>
      </c>
      <c r="E44" s="187" t="s">
        <v>208</v>
      </c>
      <c r="F44" s="187">
        <v>11100.22</v>
      </c>
      <c r="G44" s="187">
        <v>7883.06</v>
      </c>
      <c r="H44" s="187">
        <v>44.4</v>
      </c>
      <c r="I44" s="187">
        <v>280.92</v>
      </c>
      <c r="J44" s="187">
        <v>2891.84</v>
      </c>
      <c r="K44" s="140">
        <v>2949.92</v>
      </c>
      <c r="L44" s="140">
        <v>34.31</v>
      </c>
      <c r="M44" s="140">
        <v>56.17</v>
      </c>
      <c r="N44" s="187">
        <v>0</v>
      </c>
      <c r="O44" s="187">
        <f t="shared" si="4"/>
        <v>2971.78</v>
      </c>
      <c r="P44" s="187">
        <f t="shared" si="7"/>
        <v>11180.16</v>
      </c>
      <c r="Q44" s="187"/>
    </row>
    <row r="45" spans="1:17">
      <c r="A45" s="11" t="s">
        <v>154</v>
      </c>
      <c r="B45" s="187">
        <v>13373.91</v>
      </c>
      <c r="C45" s="187">
        <f t="shared" si="5"/>
        <v>906.75109799999984</v>
      </c>
      <c r="D45" s="187">
        <f t="shared" si="6"/>
        <v>302.25036599999999</v>
      </c>
      <c r="E45" s="304">
        <v>470</v>
      </c>
      <c r="F45" s="187">
        <v>13348.99</v>
      </c>
      <c r="G45" s="187">
        <v>9816.2000000000007</v>
      </c>
      <c r="H45" s="187">
        <v>233.78</v>
      </c>
      <c r="I45" s="187">
        <v>544.38</v>
      </c>
      <c r="J45" s="187">
        <v>2754.63</v>
      </c>
      <c r="K45" s="140">
        <v>2747.15</v>
      </c>
      <c r="L45" s="140">
        <v>25.57</v>
      </c>
      <c r="M45" s="140">
        <v>57.97</v>
      </c>
      <c r="N45" s="187">
        <v>0</v>
      </c>
      <c r="O45" s="187">
        <f t="shared" si="4"/>
        <v>2779.5499999999997</v>
      </c>
      <c r="P45" s="187">
        <f t="shared" si="7"/>
        <v>13373.91</v>
      </c>
      <c r="Q45" s="187"/>
    </row>
    <row r="46" spans="1:17">
      <c r="A46" s="11" t="s">
        <v>155</v>
      </c>
      <c r="B46" s="187">
        <v>14273.33</v>
      </c>
      <c r="C46" s="187">
        <f t="shared" si="5"/>
        <v>967.73177399999986</v>
      </c>
      <c r="D46" s="187">
        <f t="shared" si="6"/>
        <v>322.57725800000003</v>
      </c>
      <c r="E46" s="187" t="s">
        <v>466</v>
      </c>
      <c r="F46" s="187">
        <v>14174.79</v>
      </c>
      <c r="G46" s="187">
        <v>10161.11</v>
      </c>
      <c r="H46" s="187">
        <v>123.47</v>
      </c>
      <c r="I46" s="187">
        <v>844.95</v>
      </c>
      <c r="J46" s="187">
        <v>3045.26</v>
      </c>
      <c r="K46" s="145">
        <v>3118.58</v>
      </c>
      <c r="L46" s="145">
        <v>18.36</v>
      </c>
      <c r="M46" s="145">
        <v>43.58</v>
      </c>
      <c r="N46" s="187">
        <v>0</v>
      </c>
      <c r="O46" s="187">
        <f t="shared" ref="O46:O67" si="8">(K46-L46)+(M46-N46)</f>
        <v>3143.7999999999997</v>
      </c>
      <c r="P46" s="187">
        <f t="shared" si="7"/>
        <v>14273.33</v>
      </c>
      <c r="Q46" s="187"/>
    </row>
    <row r="47" spans="1:17">
      <c r="A47" s="11" t="s">
        <v>157</v>
      </c>
      <c r="B47" s="187">
        <v>9363.5300000000007</v>
      </c>
      <c r="C47" s="187">
        <f t="shared" si="5"/>
        <v>634.84733400000005</v>
      </c>
      <c r="D47" s="187">
        <f t="shared" si="6"/>
        <v>211.61577800000001</v>
      </c>
      <c r="E47" s="187" t="s">
        <v>467</v>
      </c>
      <c r="F47" s="187">
        <v>9132.32</v>
      </c>
      <c r="G47" s="187">
        <v>6961.69</v>
      </c>
      <c r="H47" s="187">
        <v>132.38999999999999</v>
      </c>
      <c r="I47" s="187">
        <v>268.76</v>
      </c>
      <c r="J47" s="187">
        <v>1769.48</v>
      </c>
      <c r="K47" s="145">
        <v>2014.66</v>
      </c>
      <c r="L47" s="145">
        <v>30.16</v>
      </c>
      <c r="M47" s="145">
        <v>16.190000000000001</v>
      </c>
      <c r="N47" s="187">
        <v>0</v>
      </c>
      <c r="O47" s="187">
        <f t="shared" si="8"/>
        <v>2000.69</v>
      </c>
      <c r="P47" s="187">
        <f t="shared" si="7"/>
        <v>9363.5300000000007</v>
      </c>
      <c r="Q47" s="187"/>
    </row>
    <row r="48" spans="1:17">
      <c r="A48" s="11" t="s">
        <v>159</v>
      </c>
      <c r="B48" s="187">
        <v>10271.64</v>
      </c>
      <c r="C48" s="187">
        <f t="shared" si="5"/>
        <v>696.41719199999977</v>
      </c>
      <c r="D48" s="187">
        <f t="shared" si="6"/>
        <v>232.13906399999996</v>
      </c>
      <c r="E48" s="187" t="s">
        <v>468</v>
      </c>
      <c r="F48" s="187">
        <v>10109.780000000001</v>
      </c>
      <c r="G48" s="187">
        <v>7388.68</v>
      </c>
      <c r="H48" s="187">
        <v>211.98</v>
      </c>
      <c r="I48" s="187">
        <v>470.29</v>
      </c>
      <c r="J48" s="187">
        <v>2038.83</v>
      </c>
      <c r="K48" s="145">
        <v>2196.2600000000002</v>
      </c>
      <c r="L48" s="145">
        <v>51.14</v>
      </c>
      <c r="M48" s="145">
        <v>55.57</v>
      </c>
      <c r="N48" s="187">
        <v>0</v>
      </c>
      <c r="O48" s="187">
        <f t="shared" si="8"/>
        <v>2200.6900000000005</v>
      </c>
      <c r="P48" s="187">
        <f t="shared" si="7"/>
        <v>10271.64</v>
      </c>
      <c r="Q48" s="187"/>
    </row>
    <row r="49" spans="1:30">
      <c r="A49" s="30" t="s">
        <v>161</v>
      </c>
      <c r="B49" s="187">
        <v>9224.26</v>
      </c>
      <c r="C49" s="187">
        <f t="shared" si="5"/>
        <v>625.40482799999995</v>
      </c>
      <c r="D49" s="187">
        <f t="shared" si="6"/>
        <v>208.468276</v>
      </c>
      <c r="E49" s="187" t="s">
        <v>373</v>
      </c>
      <c r="F49" s="187">
        <v>8631.5400000000009</v>
      </c>
      <c r="G49" s="187">
        <v>6645.18</v>
      </c>
      <c r="H49" s="187">
        <v>253.76</v>
      </c>
      <c r="I49" s="187">
        <v>302.54000000000002</v>
      </c>
      <c r="J49" s="187">
        <v>1430.06</v>
      </c>
      <c r="K49" s="145">
        <v>2051.9499999999998</v>
      </c>
      <c r="L49" s="145">
        <v>29.17</v>
      </c>
      <c r="M49" s="145">
        <v>0</v>
      </c>
      <c r="N49" s="187">
        <v>0</v>
      </c>
      <c r="O49" s="187">
        <f t="shared" si="8"/>
        <v>2022.7799999999997</v>
      </c>
      <c r="P49" s="187">
        <f t="shared" si="7"/>
        <v>9224.26</v>
      </c>
      <c r="Q49" s="187"/>
    </row>
    <row r="50" spans="1:30">
      <c r="A50" s="30" t="s">
        <v>163</v>
      </c>
      <c r="B50" s="187">
        <v>10390.4</v>
      </c>
      <c r="C50" s="187">
        <f t="shared" si="5"/>
        <v>704.46911999999986</v>
      </c>
      <c r="D50" s="187">
        <f t="shared" si="6"/>
        <v>234.82303999999996</v>
      </c>
      <c r="E50" s="187" t="s">
        <v>216</v>
      </c>
      <c r="F50" s="187">
        <v>9920.48</v>
      </c>
      <c r="G50" s="187">
        <v>7232.29</v>
      </c>
      <c r="H50" s="187">
        <v>38.799999999999997</v>
      </c>
      <c r="I50" s="187">
        <v>364.06</v>
      </c>
      <c r="J50" s="187">
        <v>2285.33</v>
      </c>
      <c r="K50" s="145">
        <v>2808.6</v>
      </c>
      <c r="L50" s="145">
        <v>66.540000000000006</v>
      </c>
      <c r="M50" s="145">
        <v>13.19</v>
      </c>
      <c r="N50" s="187">
        <v>0</v>
      </c>
      <c r="O50" s="187">
        <f t="shared" si="8"/>
        <v>2755.25</v>
      </c>
      <c r="P50" s="187">
        <f t="shared" si="7"/>
        <v>10390.400000000001</v>
      </c>
      <c r="Q50" s="187"/>
    </row>
    <row r="51" spans="1:30">
      <c r="A51" s="30" t="s">
        <v>165</v>
      </c>
      <c r="B51" s="187">
        <v>10700.15</v>
      </c>
      <c r="C51" s="187">
        <f t="shared" si="5"/>
        <v>725.47016999999983</v>
      </c>
      <c r="D51" s="187">
        <f t="shared" si="6"/>
        <v>241.82338999999996</v>
      </c>
      <c r="E51" s="187" t="s">
        <v>217</v>
      </c>
      <c r="F51" s="187">
        <v>10298.02</v>
      </c>
      <c r="G51" s="187">
        <v>7671.6</v>
      </c>
      <c r="H51" s="187">
        <v>38.799999999999997</v>
      </c>
      <c r="I51" s="187">
        <v>580.20000000000005</v>
      </c>
      <c r="J51" s="187">
        <v>2007.42</v>
      </c>
      <c r="K51" s="145">
        <v>2442.52</v>
      </c>
      <c r="L51" s="145">
        <v>32.97</v>
      </c>
      <c r="M51" s="145">
        <v>0</v>
      </c>
      <c r="N51" s="187">
        <v>0</v>
      </c>
      <c r="O51" s="187">
        <f t="shared" si="8"/>
        <v>2409.5500000000002</v>
      </c>
      <c r="P51" s="187">
        <f t="shared" si="7"/>
        <v>10700.150000000001</v>
      </c>
      <c r="Q51" s="187"/>
    </row>
    <row r="52" spans="1:30">
      <c r="A52" s="11" t="s">
        <v>166</v>
      </c>
      <c r="B52" s="187">
        <v>13932.22</v>
      </c>
      <c r="C52" s="187">
        <f t="shared" si="5"/>
        <v>944.60451599999988</v>
      </c>
      <c r="D52" s="187">
        <f t="shared" si="6"/>
        <v>314.86817200000002</v>
      </c>
      <c r="E52" s="187" t="s">
        <v>214</v>
      </c>
      <c r="F52" s="187">
        <v>13203.56</v>
      </c>
      <c r="G52" s="187">
        <v>10525.45</v>
      </c>
      <c r="H52" s="187">
        <v>38.5</v>
      </c>
      <c r="I52" s="187">
        <v>386.83</v>
      </c>
      <c r="J52" s="187">
        <v>2252.7800000000002</v>
      </c>
      <c r="K52" s="106">
        <v>3015.4</v>
      </c>
      <c r="L52" s="106">
        <v>33.96</v>
      </c>
      <c r="M52" s="145">
        <v>0</v>
      </c>
      <c r="N52" s="187">
        <v>0</v>
      </c>
      <c r="O52" s="187">
        <f t="shared" si="8"/>
        <v>2981.44</v>
      </c>
      <c r="P52" s="187">
        <f t="shared" si="7"/>
        <v>13932.220000000001</v>
      </c>
      <c r="Q52" s="187"/>
    </row>
    <row r="53" spans="1:30">
      <c r="A53" s="11" t="s">
        <v>168</v>
      </c>
      <c r="B53" s="187">
        <v>8532.68</v>
      </c>
      <c r="C53" s="187">
        <f t="shared" si="5"/>
        <v>578.51570399999991</v>
      </c>
      <c r="D53" s="187">
        <f t="shared" si="6"/>
        <v>192.83856799999998</v>
      </c>
      <c r="E53" s="187" t="s">
        <v>469</v>
      </c>
      <c r="F53" s="187">
        <v>8212.1</v>
      </c>
      <c r="G53" s="187">
        <v>6364.25</v>
      </c>
      <c r="H53" s="187">
        <v>86.96</v>
      </c>
      <c r="I53" s="187">
        <v>409.04</v>
      </c>
      <c r="J53" s="187">
        <v>1351.85</v>
      </c>
      <c r="K53" s="106">
        <v>1672.43</v>
      </c>
      <c r="L53" s="145">
        <v>0</v>
      </c>
      <c r="M53" s="145">
        <v>0</v>
      </c>
      <c r="N53" s="187">
        <v>0</v>
      </c>
      <c r="O53" s="187">
        <f t="shared" si="8"/>
        <v>1672.43</v>
      </c>
      <c r="P53" s="187">
        <f t="shared" si="7"/>
        <v>8532.68</v>
      </c>
      <c r="Q53" s="187"/>
    </row>
    <row r="54" spans="1:30">
      <c r="A54" s="11" t="s">
        <v>170</v>
      </c>
      <c r="B54" s="187">
        <v>9735.9100000000017</v>
      </c>
      <c r="C54" s="187">
        <f t="shared" si="5"/>
        <v>660.09469799999999</v>
      </c>
      <c r="D54" s="187">
        <f t="shared" si="6"/>
        <v>220.031566</v>
      </c>
      <c r="E54" s="187" t="s">
        <v>354</v>
      </c>
      <c r="F54" s="187">
        <v>9428.010000000002</v>
      </c>
      <c r="G54" s="187">
        <v>7184.93</v>
      </c>
      <c r="H54" s="187">
        <v>186.27</v>
      </c>
      <c r="I54" s="187">
        <v>590.69000000000005</v>
      </c>
      <c r="J54" s="187">
        <v>1466.12</v>
      </c>
      <c r="K54" s="106">
        <v>1774.02</v>
      </c>
      <c r="L54" s="145">
        <v>0</v>
      </c>
      <c r="M54" s="145">
        <v>0</v>
      </c>
      <c r="N54" s="187">
        <v>0</v>
      </c>
      <c r="O54" s="187">
        <f t="shared" si="8"/>
        <v>1774.02</v>
      </c>
      <c r="P54" s="187">
        <f t="shared" si="7"/>
        <v>9735.9100000000017</v>
      </c>
      <c r="Q54" s="187"/>
    </row>
    <row r="55" spans="1:30">
      <c r="A55" s="11" t="s">
        <v>172</v>
      </c>
      <c r="B55" s="187">
        <v>8111.74</v>
      </c>
      <c r="C55" s="187">
        <f t="shared" si="5"/>
        <v>549.97597199999996</v>
      </c>
      <c r="D55" s="187">
        <f t="shared" si="6"/>
        <v>183.32532399999999</v>
      </c>
      <c r="E55" s="187" t="s">
        <v>375</v>
      </c>
      <c r="F55" s="187">
        <v>8102.06</v>
      </c>
      <c r="G55" s="187">
        <v>6102.38</v>
      </c>
      <c r="H55" s="187">
        <v>65</v>
      </c>
      <c r="I55" s="187">
        <v>315.67</v>
      </c>
      <c r="J55" s="187">
        <v>1619.01</v>
      </c>
      <c r="K55" s="106">
        <v>1628.69</v>
      </c>
      <c r="L55" s="145">
        <v>0</v>
      </c>
      <c r="M55" s="145">
        <v>0</v>
      </c>
      <c r="N55" s="187">
        <v>0</v>
      </c>
      <c r="O55" s="187">
        <f t="shared" si="8"/>
        <v>1628.69</v>
      </c>
      <c r="P55" s="187">
        <f t="shared" si="7"/>
        <v>8111.74</v>
      </c>
      <c r="Q55" s="187"/>
    </row>
    <row r="56" spans="1:30">
      <c r="A56" s="11" t="s">
        <v>174</v>
      </c>
      <c r="B56" s="187">
        <v>10028.44</v>
      </c>
      <c r="C56" s="187">
        <f t="shared" si="5"/>
        <v>679.92823199999998</v>
      </c>
      <c r="D56" s="187">
        <f t="shared" si="6"/>
        <v>226.64274399999999</v>
      </c>
      <c r="E56" s="187" t="s">
        <v>470</v>
      </c>
      <c r="F56" s="187">
        <v>10044.129999999999</v>
      </c>
      <c r="G56" s="187">
        <v>6942.44</v>
      </c>
      <c r="H56" s="187">
        <v>30.3</v>
      </c>
      <c r="I56" s="187">
        <v>391.9</v>
      </c>
      <c r="J56" s="187">
        <v>2679.49</v>
      </c>
      <c r="K56" s="145">
        <v>2680.78</v>
      </c>
      <c r="L56" s="145">
        <v>16.98</v>
      </c>
      <c r="M56" s="145">
        <v>0</v>
      </c>
      <c r="N56" s="187">
        <v>0</v>
      </c>
      <c r="O56" s="187">
        <f t="shared" si="8"/>
        <v>2663.8</v>
      </c>
      <c r="P56" s="187">
        <f t="shared" si="7"/>
        <v>10028.439999999999</v>
      </c>
      <c r="Q56" s="187"/>
    </row>
    <row r="57" spans="1:30">
      <c r="A57" s="11" t="s">
        <v>176</v>
      </c>
      <c r="B57" s="187">
        <v>14607.41</v>
      </c>
      <c r="C57" s="187">
        <f t="shared" si="5"/>
        <v>990.38239799999985</v>
      </c>
      <c r="D57" s="187">
        <f t="shared" si="6"/>
        <v>330.12746600000003</v>
      </c>
      <c r="E57" s="187" t="s">
        <v>434</v>
      </c>
      <c r="F57" s="187">
        <v>14580.6</v>
      </c>
      <c r="G57" s="187">
        <v>10611.56</v>
      </c>
      <c r="H57" s="187">
        <v>106.77</v>
      </c>
      <c r="I57" s="187">
        <v>486.22</v>
      </c>
      <c r="J57" s="187">
        <v>3376.05</v>
      </c>
      <c r="K57" s="312">
        <v>3403.65</v>
      </c>
      <c r="L57" s="118">
        <v>16.98</v>
      </c>
      <c r="M57" s="106">
        <v>16.190000000000001</v>
      </c>
      <c r="N57" s="187">
        <v>0</v>
      </c>
      <c r="O57" s="187">
        <f t="shared" si="8"/>
        <v>3402.86</v>
      </c>
      <c r="P57" s="187">
        <f t="shared" si="7"/>
        <v>14607.41</v>
      </c>
      <c r="Q57" s="187"/>
    </row>
    <row r="58" spans="1:30">
      <c r="A58" s="11" t="s">
        <v>178</v>
      </c>
      <c r="B58" s="187">
        <v>11031.85</v>
      </c>
      <c r="C58" s="187">
        <f t="shared" si="5"/>
        <v>747.95942999999988</v>
      </c>
      <c r="D58" s="187">
        <f t="shared" si="6"/>
        <v>249.31980999999999</v>
      </c>
      <c r="E58" s="187" t="s">
        <v>471</v>
      </c>
      <c r="F58" s="187">
        <v>11057.11</v>
      </c>
      <c r="G58" s="187">
        <v>8209.61</v>
      </c>
      <c r="H58" s="187">
        <v>91.2</v>
      </c>
      <c r="I58" s="187">
        <v>511.17</v>
      </c>
      <c r="J58" s="187">
        <v>2245.13</v>
      </c>
      <c r="K58" s="106">
        <v>2237.64</v>
      </c>
      <c r="L58" s="106">
        <v>33.96</v>
      </c>
      <c r="M58" s="106">
        <v>16.190000000000001</v>
      </c>
      <c r="N58" s="187">
        <v>0</v>
      </c>
      <c r="O58" s="187">
        <f t="shared" si="8"/>
        <v>2219.87</v>
      </c>
      <c r="P58" s="187">
        <f t="shared" si="7"/>
        <v>11031.850000000002</v>
      </c>
      <c r="Q58" s="187"/>
    </row>
    <row r="59" spans="1:30">
      <c r="A59" s="11" t="s">
        <v>180</v>
      </c>
      <c r="B59" s="187">
        <v>12357.04</v>
      </c>
      <c r="C59" s="187">
        <f t="shared" si="5"/>
        <v>837.80731199999991</v>
      </c>
      <c r="D59" s="187">
        <f t="shared" si="6"/>
        <v>279.26910399999997</v>
      </c>
      <c r="E59" s="187" t="s">
        <v>472</v>
      </c>
      <c r="F59" s="187">
        <v>12363.61</v>
      </c>
      <c r="G59" s="187">
        <v>9235.58</v>
      </c>
      <c r="H59" s="187">
        <v>35.090000000000003</v>
      </c>
      <c r="I59" s="187">
        <v>432.28</v>
      </c>
      <c r="J59" s="187">
        <v>2660.66</v>
      </c>
      <c r="K59" s="317">
        <v>2671.86</v>
      </c>
      <c r="L59" s="317">
        <v>33.96</v>
      </c>
      <c r="M59" s="317">
        <v>16.190000000000001</v>
      </c>
      <c r="N59" s="187">
        <v>0</v>
      </c>
      <c r="O59" s="187">
        <f t="shared" si="8"/>
        <v>2654.09</v>
      </c>
      <c r="P59" s="187">
        <f t="shared" si="7"/>
        <v>12357.04</v>
      </c>
      <c r="Q59" s="187"/>
    </row>
    <row r="60" spans="1:30">
      <c r="A60" s="2" t="s">
        <v>182</v>
      </c>
      <c r="B60" s="187">
        <v>11773.82</v>
      </c>
      <c r="C60" s="187">
        <f t="shared" si="5"/>
        <v>798.26499599999988</v>
      </c>
      <c r="D60" s="187">
        <f t="shared" si="6"/>
        <v>266.08833199999998</v>
      </c>
      <c r="E60" s="318" t="s">
        <v>473</v>
      </c>
      <c r="F60" s="318">
        <v>11556.72</v>
      </c>
      <c r="G60" s="318">
        <v>8700.6</v>
      </c>
      <c r="H60" s="318">
        <v>88.79</v>
      </c>
      <c r="I60" s="318">
        <v>497.3</v>
      </c>
      <c r="J60" s="318">
        <v>2270.0300000000002</v>
      </c>
      <c r="K60" s="145">
        <v>2492.31</v>
      </c>
      <c r="L60" s="145">
        <v>33.96</v>
      </c>
      <c r="M60" s="145">
        <v>28.78</v>
      </c>
      <c r="N60" s="187">
        <v>0</v>
      </c>
      <c r="O60" s="187">
        <f t="shared" si="8"/>
        <v>2487.13</v>
      </c>
      <c r="P60" s="187">
        <f t="shared" si="7"/>
        <v>11773.82</v>
      </c>
      <c r="Q60" s="187"/>
    </row>
    <row r="61" spans="1:30">
      <c r="A61" s="11" t="s">
        <v>184</v>
      </c>
      <c r="B61" s="187">
        <v>11156.76</v>
      </c>
      <c r="C61" s="187">
        <f t="shared" si="5"/>
        <v>756.42832799999985</v>
      </c>
      <c r="D61" s="187">
        <f t="shared" si="6"/>
        <v>252.14277599999997</v>
      </c>
      <c r="E61" s="324" t="s">
        <v>220</v>
      </c>
      <c r="F61" s="324">
        <v>11242.53</v>
      </c>
      <c r="G61" s="324">
        <v>8349.5</v>
      </c>
      <c r="H61" s="324">
        <v>96.6</v>
      </c>
      <c r="I61" s="324">
        <v>326.85000000000002</v>
      </c>
      <c r="J61" s="324">
        <v>2469.58</v>
      </c>
      <c r="K61" s="145" t="s">
        <v>474</v>
      </c>
      <c r="L61" s="145" t="s">
        <v>475</v>
      </c>
      <c r="M61" s="145">
        <v>13.19</v>
      </c>
      <c r="N61" s="187">
        <v>0</v>
      </c>
      <c r="O61" s="187">
        <f t="shared" si="8"/>
        <v>2383.8100000000004</v>
      </c>
      <c r="P61" s="187">
        <f t="shared" si="7"/>
        <v>11156.760000000002</v>
      </c>
      <c r="Q61" s="187"/>
    </row>
    <row r="62" spans="1:30">
      <c r="A62" s="11" t="s">
        <v>186</v>
      </c>
      <c r="B62" s="187">
        <v>11058.33</v>
      </c>
      <c r="C62" s="187">
        <f t="shared" si="5"/>
        <v>749.75477399999988</v>
      </c>
      <c r="D62" s="187">
        <f t="shared" si="6"/>
        <v>249.91825800000001</v>
      </c>
      <c r="E62" s="324" t="s">
        <v>203</v>
      </c>
      <c r="F62" s="324">
        <v>11044.28</v>
      </c>
      <c r="G62" s="324">
        <v>7584.8</v>
      </c>
      <c r="H62" s="324">
        <v>133.78</v>
      </c>
      <c r="I62" s="324">
        <v>564.26</v>
      </c>
      <c r="J62" s="324">
        <v>2761.44</v>
      </c>
      <c r="K62" s="145">
        <v>2739.3</v>
      </c>
      <c r="L62" s="145">
        <v>0</v>
      </c>
      <c r="M62" s="145">
        <v>53.17</v>
      </c>
      <c r="N62" s="187">
        <v>16.98</v>
      </c>
      <c r="O62" s="187">
        <f t="shared" si="8"/>
        <v>2775.4900000000002</v>
      </c>
      <c r="P62" s="187">
        <f t="shared" si="7"/>
        <v>11058.33</v>
      </c>
      <c r="Q62" s="187"/>
    </row>
    <row r="63" spans="1:30" ht="14.4" customHeight="1">
      <c r="A63" s="11" t="s">
        <v>188</v>
      </c>
      <c r="B63" s="187">
        <v>10850.57</v>
      </c>
      <c r="C63" s="187">
        <f t="shared" si="5"/>
        <v>735.66864599999985</v>
      </c>
      <c r="D63" s="187">
        <f t="shared" si="6"/>
        <v>245.222882</v>
      </c>
      <c r="E63" s="324" t="s">
        <v>476</v>
      </c>
      <c r="F63" s="324">
        <v>10803.26</v>
      </c>
      <c r="G63" s="324">
        <v>8249.3799999999992</v>
      </c>
      <c r="H63" s="324">
        <v>81.39</v>
      </c>
      <c r="I63" s="324">
        <v>308.26</v>
      </c>
      <c r="J63" s="324">
        <v>2164.23</v>
      </c>
      <c r="K63" s="338" t="s">
        <v>477</v>
      </c>
      <c r="L63" s="324">
        <v>0</v>
      </c>
      <c r="M63" s="324">
        <v>0</v>
      </c>
      <c r="N63" s="324">
        <v>0</v>
      </c>
      <c r="O63" s="187">
        <f t="shared" si="8"/>
        <v>2211.54</v>
      </c>
      <c r="P63" s="187">
        <f t="shared" si="7"/>
        <v>10850.57</v>
      </c>
      <c r="Q63" s="324"/>
      <c r="R63" s="324"/>
      <c r="S63" s="324"/>
      <c r="T63" s="324"/>
      <c r="U63" s="324"/>
      <c r="V63" s="324"/>
      <c r="W63" s="324"/>
      <c r="X63" s="324"/>
      <c r="Y63" s="324">
        <v>10803.26</v>
      </c>
      <c r="Z63" s="324">
        <v>0</v>
      </c>
      <c r="AA63" s="324">
        <v>895.61</v>
      </c>
      <c r="AB63" s="324">
        <v>1709.93</v>
      </c>
      <c r="AC63" s="324">
        <v>6575.71</v>
      </c>
      <c r="AD63" s="324">
        <v>1622.01</v>
      </c>
    </row>
    <row r="64" spans="1:30" ht="14.4" customHeight="1">
      <c r="A64" s="334" t="s">
        <v>192</v>
      </c>
      <c r="B64" s="328">
        <v>10497.02</v>
      </c>
      <c r="C64" s="187">
        <f t="shared" si="5"/>
        <v>711.69795599999986</v>
      </c>
      <c r="D64" s="187">
        <f t="shared" si="6"/>
        <v>237.232652</v>
      </c>
      <c r="E64" s="324">
        <v>394</v>
      </c>
      <c r="F64" s="324">
        <v>10497.02</v>
      </c>
      <c r="G64" s="324">
        <v>7772.05</v>
      </c>
      <c r="H64" s="324">
        <v>119.09</v>
      </c>
      <c r="I64" s="324">
        <v>476.99</v>
      </c>
      <c r="J64" s="324">
        <v>2128.89</v>
      </c>
      <c r="K64" s="336">
        <v>2128.89</v>
      </c>
      <c r="L64" s="324">
        <v>0</v>
      </c>
      <c r="M64" s="324">
        <v>0</v>
      </c>
      <c r="N64" s="324">
        <v>0</v>
      </c>
      <c r="O64" s="187">
        <f t="shared" si="8"/>
        <v>2128.89</v>
      </c>
      <c r="P64" s="187">
        <f t="shared" si="7"/>
        <v>10497.02</v>
      </c>
      <c r="Q64" s="324"/>
      <c r="R64" s="324"/>
      <c r="S64" s="324"/>
      <c r="T64" s="324"/>
      <c r="U64" s="324"/>
      <c r="V64" s="324"/>
      <c r="W64" s="324"/>
      <c r="X64" s="324"/>
      <c r="Y64" s="324"/>
      <c r="Z64" s="324"/>
      <c r="AA64" s="324"/>
      <c r="AB64" s="324"/>
      <c r="AC64" s="324"/>
      <c r="AD64" s="324"/>
    </row>
    <row r="65" spans="1:30" ht="14.4" customHeight="1">
      <c r="A65" s="353" t="s">
        <v>193</v>
      </c>
      <c r="B65" s="328">
        <v>11914.85</v>
      </c>
      <c r="C65" s="187">
        <f t="shared" si="5"/>
        <v>807.82682999999986</v>
      </c>
      <c r="D65" s="187">
        <f t="shared" si="6"/>
        <v>269.27561000000003</v>
      </c>
      <c r="E65" s="324">
        <v>390</v>
      </c>
      <c r="F65" s="324">
        <v>11973.59</v>
      </c>
      <c r="G65" s="324">
        <v>8866.52</v>
      </c>
      <c r="H65" s="324">
        <v>149.06</v>
      </c>
      <c r="I65" s="324">
        <v>226.85</v>
      </c>
      <c r="J65" s="324">
        <v>2731.16</v>
      </c>
      <c r="K65" s="336">
        <v>2597.4499999999998</v>
      </c>
      <c r="L65" s="324">
        <v>0</v>
      </c>
      <c r="M65" s="324">
        <v>74.97</v>
      </c>
      <c r="N65" s="324">
        <v>0</v>
      </c>
      <c r="O65" s="328">
        <f t="shared" si="8"/>
        <v>2672.4199999999996</v>
      </c>
      <c r="P65" s="328">
        <f t="shared" si="7"/>
        <v>11914.85</v>
      </c>
      <c r="Q65" s="324"/>
      <c r="R65" s="324"/>
      <c r="S65" s="324"/>
      <c r="T65" s="324"/>
      <c r="U65" s="324"/>
      <c r="V65" s="324"/>
      <c r="W65" s="324"/>
      <c r="X65" s="324"/>
      <c r="Y65" s="324"/>
      <c r="Z65" s="324"/>
      <c r="AA65" s="324"/>
      <c r="AB65" s="324"/>
      <c r="AC65" s="324"/>
      <c r="AD65" s="324"/>
    </row>
    <row r="66" spans="1:30" ht="27.6" customHeight="1">
      <c r="A66" s="353" t="s">
        <v>194</v>
      </c>
      <c r="B66" s="328">
        <v>9788.68</v>
      </c>
      <c r="C66" s="187">
        <f t="shared" si="5"/>
        <v>663.67250399999989</v>
      </c>
      <c r="D66" s="187">
        <f t="shared" ref="D66" si="9">(B66*0.02)*1.13</f>
        <v>221.22416799999999</v>
      </c>
      <c r="E66" s="324">
        <v>353</v>
      </c>
      <c r="F66" s="324">
        <v>9828.8700000000008</v>
      </c>
      <c r="G66" s="324">
        <v>7591.52</v>
      </c>
      <c r="H66" s="324">
        <v>43.18</v>
      </c>
      <c r="I66" s="324">
        <v>269.68</v>
      </c>
      <c r="J66" s="324">
        <v>1924.49</v>
      </c>
      <c r="K66" s="336">
        <v>1884.3</v>
      </c>
      <c r="L66" s="324">
        <v>0</v>
      </c>
      <c r="M66" s="324">
        <v>0</v>
      </c>
      <c r="N66" s="324">
        <v>0</v>
      </c>
      <c r="O66" s="328">
        <f t="shared" si="8"/>
        <v>1884.3</v>
      </c>
      <c r="P66" s="328">
        <f>SUM(G66,H66,I66,O66)</f>
        <v>9788.68</v>
      </c>
      <c r="Q66" s="324"/>
      <c r="R66" s="324"/>
      <c r="S66" s="324"/>
      <c r="T66" s="324"/>
      <c r="U66" s="324"/>
      <c r="V66" s="324"/>
      <c r="W66" s="324"/>
      <c r="X66" s="324"/>
      <c r="Y66" s="324"/>
      <c r="Z66" s="324"/>
      <c r="AA66" s="324"/>
      <c r="AB66" s="324"/>
      <c r="AC66" s="324"/>
      <c r="AD66" s="324"/>
    </row>
    <row r="67" spans="1:30" ht="27.6" customHeight="1">
      <c r="A67" s="23" t="s">
        <v>482</v>
      </c>
      <c r="B67" s="187">
        <v>12929.260000000002</v>
      </c>
      <c r="C67" s="187">
        <f t="shared" ref="C67" si="10">(B67*0.06)*1.13</f>
        <v>876.60382800000002</v>
      </c>
      <c r="D67" s="187">
        <f t="shared" ref="D67" si="11">(B67*0.02)*1.13</f>
        <v>292.20127600000001</v>
      </c>
      <c r="E67" s="324">
        <v>428</v>
      </c>
      <c r="F67" s="324">
        <v>12986.95</v>
      </c>
      <c r="G67" s="324">
        <v>9346.61</v>
      </c>
      <c r="H67" s="324">
        <v>118.77</v>
      </c>
      <c r="I67" s="324">
        <v>401.43</v>
      </c>
      <c r="J67" s="324">
        <v>3120.14</v>
      </c>
      <c r="K67" s="336">
        <v>3037.27</v>
      </c>
      <c r="L67" s="324">
        <v>0</v>
      </c>
      <c r="M67" s="324">
        <v>25.18</v>
      </c>
      <c r="N67" s="324">
        <v>0</v>
      </c>
      <c r="O67" s="328">
        <f t="shared" si="8"/>
        <v>3062.45</v>
      </c>
      <c r="P67" s="328">
        <f>SUM(G67,H67,I67,O67)</f>
        <v>12929.260000000002</v>
      </c>
      <c r="Q67" s="324"/>
      <c r="R67" s="324"/>
      <c r="S67" s="324"/>
      <c r="T67" s="324"/>
      <c r="U67" s="324"/>
      <c r="V67" s="324"/>
      <c r="W67" s="324"/>
      <c r="X67" s="324"/>
      <c r="Y67" s="324"/>
      <c r="Z67" s="324"/>
      <c r="AA67" s="324"/>
      <c r="AB67" s="324"/>
      <c r="AC67" s="324"/>
      <c r="AD67" s="324"/>
    </row>
    <row r="68" spans="1:30" ht="27.6" customHeight="1">
      <c r="A68" s="353"/>
      <c r="B68" s="328"/>
      <c r="C68" s="187"/>
      <c r="D68" s="187"/>
      <c r="E68" s="324"/>
      <c r="F68" s="324"/>
      <c r="G68" s="324"/>
      <c r="H68" s="324"/>
      <c r="I68" s="324"/>
      <c r="J68" s="324"/>
      <c r="K68" s="336"/>
      <c r="L68" s="324"/>
      <c r="M68" s="324"/>
      <c r="N68" s="324"/>
      <c r="O68" s="328"/>
      <c r="P68" s="328"/>
      <c r="Q68" s="324"/>
      <c r="R68" s="324"/>
      <c r="S68" s="324"/>
      <c r="T68" s="324"/>
      <c r="U68" s="324"/>
      <c r="V68" s="324"/>
      <c r="W68" s="324"/>
      <c r="X68" s="324"/>
      <c r="Y68" s="324"/>
      <c r="Z68" s="324"/>
      <c r="AA68" s="324"/>
      <c r="AB68" s="324"/>
      <c r="AC68" s="324"/>
      <c r="AD68" s="324"/>
    </row>
    <row r="69" spans="1:30" ht="27.6" customHeight="1">
      <c r="A69" s="353"/>
      <c r="B69" s="328"/>
      <c r="C69" s="187"/>
      <c r="D69" s="187"/>
      <c r="E69" s="324"/>
      <c r="F69" s="324"/>
      <c r="G69" s="324"/>
      <c r="H69" s="324"/>
      <c r="I69" s="324"/>
      <c r="J69" s="324"/>
      <c r="K69" s="336"/>
      <c r="L69" s="324"/>
      <c r="M69" s="324"/>
      <c r="N69" s="324"/>
      <c r="O69" s="328"/>
      <c r="P69" s="328"/>
      <c r="Q69" s="324"/>
      <c r="R69" s="324"/>
      <c r="S69" s="324"/>
      <c r="T69" s="324"/>
      <c r="U69" s="324"/>
      <c r="V69" s="324"/>
      <c r="W69" s="324"/>
      <c r="X69" s="324"/>
      <c r="Y69" s="324"/>
      <c r="Z69" s="324"/>
      <c r="AA69" s="324"/>
      <c r="AB69" s="324"/>
      <c r="AC69" s="324"/>
      <c r="AD69" s="324"/>
    </row>
    <row r="70" spans="1:30" ht="27.6" customHeight="1">
      <c r="A70" s="353"/>
      <c r="B70" s="328"/>
      <c r="C70" s="328"/>
      <c r="D70" s="328"/>
      <c r="E70" s="324"/>
      <c r="F70" s="324"/>
      <c r="G70" s="324"/>
      <c r="H70" s="324"/>
      <c r="I70" s="324"/>
      <c r="J70" s="324"/>
      <c r="K70" s="336"/>
      <c r="L70" s="324"/>
      <c r="M70" s="324"/>
      <c r="N70" s="324"/>
      <c r="O70" s="328"/>
      <c r="P70" s="328"/>
      <c r="Q70" s="324"/>
      <c r="R70" s="324"/>
      <c r="S70" s="324"/>
      <c r="T70" s="324"/>
      <c r="U70" s="324"/>
      <c r="V70" s="324"/>
      <c r="W70" s="324"/>
      <c r="X70" s="324"/>
      <c r="Y70" s="324"/>
      <c r="Z70" s="324"/>
      <c r="AA70" s="324"/>
      <c r="AB70" s="324"/>
      <c r="AC70" s="324"/>
      <c r="AD70" s="324"/>
    </row>
    <row r="71" spans="1:30" ht="27.6" customHeight="1">
      <c r="A71" s="194" t="s">
        <v>461</v>
      </c>
      <c r="B71" s="327"/>
      <c r="C71" s="327"/>
      <c r="D71" s="326"/>
      <c r="E71" s="194"/>
      <c r="F71" s="194"/>
      <c r="G71" s="187"/>
      <c r="H71" s="187"/>
      <c r="I71" s="187"/>
      <c r="J71" s="187"/>
      <c r="K71" s="187"/>
      <c r="L71" s="187"/>
      <c r="M71" s="187"/>
      <c r="N71" s="187"/>
      <c r="O71" s="187"/>
      <c r="P71" s="187"/>
      <c r="Q71" s="187"/>
    </row>
    <row r="72" spans="1:30" ht="27.6">
      <c r="A72" s="196" t="s">
        <v>0</v>
      </c>
      <c r="B72" s="196" t="s">
        <v>337</v>
      </c>
      <c r="C72" s="196" t="s">
        <v>359</v>
      </c>
      <c r="D72" s="196" t="s">
        <v>360</v>
      </c>
      <c r="E72" s="196"/>
      <c r="F72" s="196"/>
      <c r="G72" s="187"/>
      <c r="H72" s="187"/>
      <c r="I72" s="187"/>
      <c r="J72" s="187"/>
      <c r="K72" s="187"/>
      <c r="L72" s="187"/>
      <c r="M72" s="187"/>
      <c r="N72" s="187"/>
      <c r="O72" s="187"/>
      <c r="P72" s="187"/>
      <c r="Q72" s="187"/>
    </row>
    <row r="73" spans="1:30">
      <c r="A73" s="11" t="s">
        <v>174</v>
      </c>
      <c r="B73" s="187">
        <v>10028.44</v>
      </c>
      <c r="C73" s="187">
        <f t="shared" ref="C73:C79" si="12">(B70*0.06)*1.13</f>
        <v>0</v>
      </c>
      <c r="D73" s="187">
        <f t="shared" ref="D73:D79" si="13">(B70*0.02)*1.13</f>
        <v>0</v>
      </c>
      <c r="E73" s="173"/>
      <c r="F73" s="173"/>
      <c r="G73" s="173"/>
      <c r="H73" s="173"/>
      <c r="I73" s="173"/>
      <c r="J73" s="173"/>
      <c r="K73" s="173"/>
      <c r="L73" s="173"/>
      <c r="M73" s="173"/>
      <c r="N73" s="173"/>
      <c r="O73" s="173"/>
      <c r="P73" s="173"/>
      <c r="Q73" s="173"/>
    </row>
    <row r="74" spans="1:30">
      <c r="A74" s="11" t="s">
        <v>176</v>
      </c>
      <c r="B74" s="187">
        <v>14607.41</v>
      </c>
      <c r="C74" s="187">
        <f t="shared" si="12"/>
        <v>0</v>
      </c>
      <c r="D74" s="187">
        <f t="shared" si="13"/>
        <v>0</v>
      </c>
      <c r="E74" s="173"/>
      <c r="F74" s="173"/>
      <c r="G74" s="173"/>
      <c r="H74" s="173"/>
      <c r="I74" s="173"/>
      <c r="J74" s="173"/>
      <c r="K74" s="173"/>
      <c r="L74" s="173"/>
      <c r="M74" s="173"/>
      <c r="N74" s="173"/>
      <c r="O74" s="173"/>
      <c r="P74" s="173"/>
      <c r="Q74" s="173"/>
    </row>
    <row r="75" spans="1:30">
      <c r="A75" s="11" t="s">
        <v>178</v>
      </c>
      <c r="B75" s="187">
        <v>11031.85</v>
      </c>
      <c r="C75" s="187" t="e">
        <f t="shared" si="12"/>
        <v>#VALUE!</v>
      </c>
      <c r="D75" s="187" t="e">
        <f t="shared" si="13"/>
        <v>#VALUE!</v>
      </c>
      <c r="E75" s="173"/>
      <c r="F75" s="173"/>
      <c r="G75" s="173"/>
      <c r="H75" s="173"/>
      <c r="I75" s="173"/>
      <c r="J75" s="173"/>
      <c r="K75" s="173"/>
      <c r="L75" s="173"/>
      <c r="M75" s="173"/>
      <c r="N75" s="173"/>
      <c r="O75" s="173"/>
      <c r="P75" s="173"/>
      <c r="Q75" s="173"/>
    </row>
    <row r="76" spans="1:30">
      <c r="A76" s="11" t="s">
        <v>180</v>
      </c>
      <c r="B76" s="187">
        <v>12357.04</v>
      </c>
      <c r="C76" s="187">
        <f t="shared" si="12"/>
        <v>679.92823199999998</v>
      </c>
      <c r="D76" s="187">
        <f t="shared" si="13"/>
        <v>226.64274399999999</v>
      </c>
    </row>
    <row r="77" spans="1:30">
      <c r="A77" s="2" t="s">
        <v>182</v>
      </c>
      <c r="B77" s="187">
        <v>11773.82</v>
      </c>
      <c r="C77" s="187">
        <f t="shared" si="12"/>
        <v>990.38239799999985</v>
      </c>
      <c r="D77" s="187">
        <f t="shared" si="13"/>
        <v>330.12746600000003</v>
      </c>
    </row>
    <row r="78" spans="1:30">
      <c r="A78" s="11" t="s">
        <v>184</v>
      </c>
      <c r="B78" s="187">
        <v>11156.76</v>
      </c>
      <c r="C78" s="187">
        <f t="shared" si="12"/>
        <v>747.95942999999988</v>
      </c>
      <c r="D78" s="187">
        <f t="shared" si="13"/>
        <v>249.31980999999999</v>
      </c>
    </row>
    <row r="79" spans="1:30">
      <c r="A79" s="11" t="s">
        <v>186</v>
      </c>
      <c r="B79" s="187">
        <v>11058.33</v>
      </c>
      <c r="C79" s="187">
        <f t="shared" si="12"/>
        <v>837.80731199999991</v>
      </c>
      <c r="D79" s="187">
        <f t="shared" si="13"/>
        <v>279.26910399999997</v>
      </c>
    </row>
    <row r="80" spans="1:30">
      <c r="A80" s="11" t="s">
        <v>188</v>
      </c>
      <c r="B80" s="187">
        <v>10850.57</v>
      </c>
      <c r="C80" s="187">
        <f>(B78*0.06)*1.13</f>
        <v>756.42832799999985</v>
      </c>
      <c r="D80" s="187">
        <f>(B78*0.02)*1.13</f>
        <v>252.14277599999997</v>
      </c>
    </row>
    <row r="81" spans="1:4">
      <c r="A81" s="334" t="s">
        <v>192</v>
      </c>
      <c r="B81" s="328">
        <v>10497.02</v>
      </c>
      <c r="C81" s="187">
        <f>(B79*0.06)*1.13</f>
        <v>749.75477399999988</v>
      </c>
      <c r="D81" s="187">
        <f>(B79*0.02)*1.13</f>
        <v>249.91825800000001</v>
      </c>
    </row>
    <row r="82" spans="1:4">
      <c r="A82" s="353" t="s">
        <v>193</v>
      </c>
      <c r="B82" s="328">
        <v>11914.85</v>
      </c>
      <c r="C82" s="187">
        <f>(B81*0.06)*1.13</f>
        <v>711.69795599999986</v>
      </c>
      <c r="D82" s="187">
        <f>(B81*0.02)*1.13</f>
        <v>237.232652</v>
      </c>
    </row>
    <row r="83" spans="1:4">
      <c r="A83" s="353" t="s">
        <v>194</v>
      </c>
      <c r="B83" s="328">
        <v>9788.68</v>
      </c>
      <c r="C83" s="187">
        <f t="shared" ref="C83:C84" si="14">(B83*0.06)*1.13</f>
        <v>663.67250399999989</v>
      </c>
      <c r="D83" s="187">
        <f t="shared" ref="D83:D84" si="15">(B83*0.02)*1.13</f>
        <v>221.22416799999999</v>
      </c>
    </row>
    <row r="84" spans="1:4">
      <c r="A84" s="23" t="s">
        <v>482</v>
      </c>
      <c r="B84" s="187">
        <v>12929.260000000002</v>
      </c>
      <c r="C84" s="187">
        <f t="shared" si="14"/>
        <v>876.60382800000002</v>
      </c>
      <c r="D84" s="187">
        <f t="shared" si="15"/>
        <v>292.20127600000001</v>
      </c>
    </row>
  </sheetData>
  <mergeCells count="1">
    <mergeCell ref="A1:D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99"/>
  <sheetViews>
    <sheetView topLeftCell="A76" zoomScale="91" workbookViewId="0">
      <selection activeCell="A85" sqref="A85"/>
    </sheetView>
  </sheetViews>
  <sheetFormatPr defaultRowHeight="14.4"/>
  <cols>
    <col min="1" max="1" width="29.5546875" customWidth="1"/>
    <col min="3" max="3" width="45.44140625" style="68" customWidth="1"/>
    <col min="7" max="7" width="19.6640625" customWidth="1"/>
    <col min="8" max="8" width="14.109375" bestFit="1" customWidth="1"/>
    <col min="9" max="9" width="16.109375" customWidth="1"/>
  </cols>
  <sheetData>
    <row r="1" spans="1:12" ht="32.4" customHeight="1">
      <c r="A1" s="7" t="s">
        <v>0</v>
      </c>
      <c r="B1" s="1"/>
      <c r="C1" s="8" t="s">
        <v>1</v>
      </c>
      <c r="G1" s="370">
        <v>2021</v>
      </c>
      <c r="H1" s="365"/>
      <c r="I1" s="370">
        <v>2022</v>
      </c>
      <c r="J1" s="365"/>
      <c r="K1" s="371">
        <v>2023</v>
      </c>
      <c r="L1" s="365"/>
    </row>
    <row r="2" spans="1:12" ht="27.6" customHeight="1">
      <c r="A2" s="2" t="s">
        <v>2</v>
      </c>
      <c r="B2" s="1"/>
      <c r="C2" s="57">
        <v>4166.7</v>
      </c>
      <c r="G2" s="2" t="s">
        <v>3</v>
      </c>
      <c r="H2" s="1"/>
      <c r="I2" s="2" t="s">
        <v>3</v>
      </c>
      <c r="J2" s="4"/>
      <c r="K2" s="2" t="s">
        <v>3</v>
      </c>
      <c r="L2" s="4"/>
    </row>
    <row r="3" spans="1:12" ht="27.6" customHeight="1">
      <c r="A3" s="2" t="s">
        <v>4</v>
      </c>
      <c r="B3" s="23"/>
      <c r="C3" s="57">
        <v>3219.13</v>
      </c>
      <c r="G3" s="2" t="s">
        <v>5</v>
      </c>
      <c r="H3" s="1"/>
      <c r="I3" s="2" t="s">
        <v>5</v>
      </c>
      <c r="J3" s="4"/>
      <c r="K3" s="2" t="s">
        <v>5</v>
      </c>
      <c r="L3" s="4"/>
    </row>
    <row r="4" spans="1:12" ht="27.6" customHeight="1">
      <c r="A4" s="2" t="s">
        <v>6</v>
      </c>
      <c r="B4" s="1"/>
      <c r="C4" s="57">
        <v>2599.21</v>
      </c>
      <c r="G4" s="2" t="s">
        <v>7</v>
      </c>
      <c r="H4" s="1"/>
      <c r="I4" s="2" t="s">
        <v>7</v>
      </c>
      <c r="J4" s="4"/>
      <c r="K4" s="2" t="s">
        <v>7</v>
      </c>
      <c r="L4" s="4"/>
    </row>
    <row r="5" spans="1:12" ht="27.6" customHeight="1">
      <c r="A5" s="2" t="s">
        <v>8</v>
      </c>
      <c r="B5" s="1"/>
      <c r="C5" s="57">
        <v>2651.56</v>
      </c>
      <c r="G5" s="2" t="s">
        <v>9</v>
      </c>
      <c r="H5" s="1"/>
      <c r="I5" s="2" t="s">
        <v>9</v>
      </c>
      <c r="J5" s="4"/>
      <c r="K5" s="2" t="s">
        <v>9</v>
      </c>
      <c r="L5" s="4"/>
    </row>
    <row r="6" spans="1:12" ht="27.6" customHeight="1">
      <c r="A6" s="2" t="s">
        <v>10</v>
      </c>
      <c r="B6" s="1"/>
      <c r="C6" s="57">
        <v>2789.88</v>
      </c>
      <c r="G6" s="2" t="s">
        <v>11</v>
      </c>
      <c r="H6" s="1"/>
      <c r="I6" s="2" t="s">
        <v>11</v>
      </c>
      <c r="J6" s="4"/>
      <c r="K6" s="2" t="s">
        <v>11</v>
      </c>
      <c r="L6" s="4"/>
    </row>
    <row r="7" spans="1:12" ht="27.6" customHeight="1">
      <c r="A7" s="2" t="s">
        <v>12</v>
      </c>
      <c r="B7" s="1"/>
      <c r="C7" s="57">
        <v>2574.14</v>
      </c>
      <c r="G7" s="2" t="s">
        <v>13</v>
      </c>
      <c r="H7" s="1"/>
      <c r="I7" s="2" t="s">
        <v>13</v>
      </c>
      <c r="J7" s="4"/>
      <c r="K7" s="2" t="s">
        <v>13</v>
      </c>
      <c r="L7" s="4"/>
    </row>
    <row r="8" spans="1:12" ht="27.6" customHeight="1">
      <c r="A8" s="2" t="s">
        <v>14</v>
      </c>
      <c r="B8" s="1"/>
      <c r="C8" s="57">
        <v>1082.1199999999999</v>
      </c>
      <c r="G8" s="2" t="s">
        <v>15</v>
      </c>
      <c r="H8" s="4"/>
      <c r="I8" s="2" t="s">
        <v>15</v>
      </c>
      <c r="J8" s="4"/>
      <c r="K8" s="2" t="s">
        <v>15</v>
      </c>
      <c r="L8" s="4"/>
    </row>
    <row r="9" spans="1:12" ht="27.6" customHeight="1">
      <c r="A9" s="2" t="s">
        <v>16</v>
      </c>
      <c r="B9" s="1"/>
      <c r="C9" s="57">
        <v>1958.96</v>
      </c>
      <c r="G9" s="2" t="s">
        <v>17</v>
      </c>
      <c r="H9" s="4"/>
      <c r="I9" s="2" t="s">
        <v>17</v>
      </c>
      <c r="J9" s="4"/>
      <c r="K9" s="2" t="s">
        <v>17</v>
      </c>
      <c r="L9" s="4"/>
    </row>
    <row r="10" spans="1:12" ht="27.6" customHeight="1">
      <c r="A10" s="2" t="s">
        <v>18</v>
      </c>
      <c r="B10" s="1"/>
      <c r="C10" s="57">
        <v>2578.65</v>
      </c>
      <c r="G10" s="2" t="s">
        <v>19</v>
      </c>
      <c r="H10" s="4"/>
      <c r="I10" s="2" t="s">
        <v>19</v>
      </c>
      <c r="J10" s="4"/>
      <c r="K10" s="2" t="s">
        <v>19</v>
      </c>
      <c r="L10" s="4"/>
    </row>
    <row r="11" spans="1:12" ht="27.6" customHeight="1">
      <c r="A11" s="2" t="s">
        <v>20</v>
      </c>
      <c r="B11" s="1"/>
      <c r="C11" s="57">
        <v>1982.42</v>
      </c>
      <c r="G11" s="2" t="s">
        <v>21</v>
      </c>
      <c r="H11" s="4"/>
      <c r="I11" s="2" t="s">
        <v>21</v>
      </c>
      <c r="J11" s="4"/>
      <c r="K11" s="2" t="s">
        <v>21</v>
      </c>
      <c r="L11" s="4"/>
    </row>
    <row r="12" spans="1:12" ht="27.6" customHeight="1">
      <c r="A12" s="2" t="s">
        <v>22</v>
      </c>
      <c r="B12" s="1"/>
      <c r="C12" s="66">
        <v>2017.05</v>
      </c>
      <c r="G12" s="2" t="s">
        <v>23</v>
      </c>
      <c r="H12" s="4"/>
      <c r="I12" s="2" t="s">
        <v>23</v>
      </c>
      <c r="J12" s="4"/>
      <c r="K12" s="2" t="s">
        <v>23</v>
      </c>
      <c r="L12" s="1"/>
    </row>
    <row r="13" spans="1:12" ht="27.6" customHeight="1">
      <c r="A13" s="2" t="s">
        <v>24</v>
      </c>
      <c r="B13" s="1"/>
      <c r="C13" s="57">
        <v>1739.75</v>
      </c>
      <c r="G13" s="2" t="s">
        <v>25</v>
      </c>
      <c r="H13" s="4"/>
      <c r="I13" s="2" t="s">
        <v>25</v>
      </c>
      <c r="J13" s="4"/>
      <c r="K13" s="2" t="s">
        <v>25</v>
      </c>
      <c r="L13" s="1"/>
    </row>
    <row r="14" spans="1:12" ht="27.6" customHeight="1">
      <c r="A14" s="2" t="s">
        <v>26</v>
      </c>
      <c r="B14" s="1"/>
      <c r="C14" s="57">
        <v>2268.0700000000002</v>
      </c>
      <c r="G14" s="5"/>
      <c r="H14" s="6"/>
      <c r="I14" s="5"/>
      <c r="J14" s="6"/>
      <c r="K14" s="5"/>
    </row>
    <row r="15" spans="1:12" ht="27.6" customHeight="1">
      <c r="A15" s="2" t="s">
        <v>27</v>
      </c>
      <c r="B15" s="1"/>
      <c r="C15" s="57">
        <v>1215.9000000000001</v>
      </c>
      <c r="G15" s="5"/>
      <c r="H15" s="6"/>
      <c r="I15" s="5"/>
      <c r="J15" s="6"/>
      <c r="K15" s="5"/>
    </row>
    <row r="16" spans="1:12" ht="27.6" customHeight="1">
      <c r="A16" s="2" t="s">
        <v>28</v>
      </c>
      <c r="B16" s="1"/>
      <c r="C16" s="57">
        <v>1745.73</v>
      </c>
      <c r="G16" s="5"/>
      <c r="H16" s="6"/>
      <c r="I16" s="5"/>
      <c r="J16" s="6"/>
      <c r="K16" s="5"/>
    </row>
    <row r="17" spans="1:11" ht="27.6" customHeight="1">
      <c r="A17" s="2" t="s">
        <v>29</v>
      </c>
      <c r="B17" s="1"/>
      <c r="C17" s="57">
        <v>1417.9</v>
      </c>
      <c r="G17" s="5"/>
      <c r="H17" s="6"/>
      <c r="I17" s="5"/>
      <c r="J17" s="6"/>
      <c r="K17" s="5"/>
    </row>
    <row r="18" spans="1:11" ht="27.6" customHeight="1">
      <c r="A18" s="2" t="s">
        <v>30</v>
      </c>
      <c r="B18" s="1"/>
      <c r="C18" s="57">
        <v>1543.85</v>
      </c>
      <c r="G18" s="5"/>
      <c r="H18" s="6"/>
      <c r="I18" s="5"/>
      <c r="J18" s="6"/>
      <c r="K18" s="5"/>
    </row>
    <row r="19" spans="1:11" ht="27.6" customHeight="1">
      <c r="A19" s="2" t="s">
        <v>31</v>
      </c>
      <c r="B19" s="1"/>
      <c r="C19" s="57">
        <v>3540.79</v>
      </c>
      <c r="G19" s="5"/>
      <c r="H19" s="6"/>
      <c r="I19" s="5"/>
      <c r="J19" s="6"/>
      <c r="K19" s="5"/>
    </row>
    <row r="20" spans="1:11">
      <c r="A20" s="2" t="s">
        <v>32</v>
      </c>
      <c r="B20" s="1"/>
      <c r="C20" s="57">
        <v>2103.1799999999998</v>
      </c>
      <c r="G20" s="5"/>
      <c r="H20" s="6"/>
      <c r="I20" s="5"/>
      <c r="J20" s="6"/>
      <c r="K20" s="5"/>
    </row>
    <row r="21" spans="1:11">
      <c r="A21" s="2" t="s">
        <v>33</v>
      </c>
      <c r="B21" s="1"/>
      <c r="C21" s="57">
        <v>946.48</v>
      </c>
      <c r="G21" s="5"/>
      <c r="H21" s="6"/>
      <c r="I21" s="5"/>
      <c r="J21" s="6"/>
      <c r="K21" s="5"/>
    </row>
    <row r="22" spans="1:11">
      <c r="A22" s="2" t="s">
        <v>34</v>
      </c>
      <c r="B22" s="1"/>
      <c r="C22" s="57">
        <v>1127.92</v>
      </c>
      <c r="G22" s="5"/>
      <c r="H22" s="6"/>
      <c r="I22" s="5"/>
      <c r="J22" s="6"/>
      <c r="K22" s="5"/>
    </row>
    <row r="23" spans="1:11">
      <c r="A23" s="2" t="s">
        <v>35</v>
      </c>
      <c r="B23" s="1"/>
      <c r="C23" s="57">
        <v>1638.32</v>
      </c>
      <c r="G23" s="5"/>
      <c r="H23" s="6"/>
      <c r="I23" s="5"/>
      <c r="J23" s="6"/>
      <c r="K23" s="5"/>
    </row>
    <row r="24" spans="1:11">
      <c r="A24" s="27" t="s">
        <v>36</v>
      </c>
      <c r="B24" s="29"/>
      <c r="C24" s="38">
        <v>1504.01</v>
      </c>
      <c r="G24" s="5"/>
      <c r="H24" s="6"/>
      <c r="I24" s="5"/>
      <c r="J24" s="6"/>
      <c r="K24" s="5"/>
    </row>
    <row r="25" spans="1:11">
      <c r="A25" s="30" t="s">
        <v>37</v>
      </c>
      <c r="B25" s="31"/>
      <c r="C25" s="67">
        <v>946.48</v>
      </c>
      <c r="G25" s="5"/>
      <c r="H25" s="6"/>
      <c r="I25" s="5"/>
      <c r="J25" s="6"/>
      <c r="K25" s="5"/>
    </row>
    <row r="26" spans="1:11">
      <c r="A26" s="2" t="s">
        <v>38</v>
      </c>
      <c r="B26" s="1"/>
      <c r="C26" s="57">
        <v>1906.72</v>
      </c>
      <c r="G26" s="5"/>
      <c r="H26" s="6"/>
      <c r="I26" s="5"/>
      <c r="J26" s="6"/>
      <c r="K26" s="5"/>
    </row>
    <row r="27" spans="1:11">
      <c r="A27" s="2" t="s">
        <v>39</v>
      </c>
      <c r="B27" s="1"/>
      <c r="C27" s="57">
        <v>1683.29</v>
      </c>
      <c r="G27" s="5"/>
      <c r="H27" s="6"/>
      <c r="I27" s="5"/>
      <c r="J27" s="6"/>
      <c r="K27" s="5"/>
    </row>
    <row r="28" spans="1:11">
      <c r="A28" s="45" t="s">
        <v>40</v>
      </c>
      <c r="B28" s="1"/>
      <c r="C28" s="57">
        <v>1708.23</v>
      </c>
    </row>
    <row r="29" spans="1:11">
      <c r="A29" s="45" t="s">
        <v>41</v>
      </c>
      <c r="B29" s="9"/>
      <c r="C29" s="57">
        <v>1699.57</v>
      </c>
    </row>
    <row r="30" spans="1:11">
      <c r="A30" s="45" t="s">
        <v>42</v>
      </c>
      <c r="B30" s="9"/>
      <c r="C30" s="57">
        <v>1841.59</v>
      </c>
    </row>
    <row r="31" spans="1:11">
      <c r="A31" s="45" t="s">
        <v>43</v>
      </c>
      <c r="B31" s="9"/>
      <c r="C31" s="57">
        <v>1236.4100000000001</v>
      </c>
    </row>
    <row r="32" spans="1:11">
      <c r="A32" s="45" t="s">
        <v>44</v>
      </c>
      <c r="B32" s="9"/>
      <c r="C32" s="57">
        <v>2701.96</v>
      </c>
    </row>
    <row r="33" spans="1:3">
      <c r="A33" s="2" t="s">
        <v>45</v>
      </c>
      <c r="B33" s="9"/>
      <c r="C33" s="57">
        <v>1756.68</v>
      </c>
    </row>
    <row r="34" spans="1:3">
      <c r="A34" s="2" t="s">
        <v>46</v>
      </c>
      <c r="B34" s="9"/>
      <c r="C34" s="57">
        <v>2877.74</v>
      </c>
    </row>
    <row r="35" spans="1:3">
      <c r="A35" s="27" t="s">
        <v>47</v>
      </c>
      <c r="B35" s="42"/>
      <c r="C35" s="38">
        <v>1594.93</v>
      </c>
    </row>
    <row r="36" spans="1:3">
      <c r="A36" s="2" t="s">
        <v>48</v>
      </c>
      <c r="B36" s="9"/>
      <c r="C36" s="57">
        <v>1965.42</v>
      </c>
    </row>
    <row r="37" spans="1:3">
      <c r="A37" s="2" t="s">
        <v>49</v>
      </c>
      <c r="B37" s="9"/>
      <c r="C37" s="57">
        <v>2139.13</v>
      </c>
    </row>
    <row r="38" spans="1:3">
      <c r="A38" s="2" t="s">
        <v>50</v>
      </c>
      <c r="B38" s="9"/>
      <c r="C38" s="57">
        <v>2377.91</v>
      </c>
    </row>
    <row r="39" spans="1:3">
      <c r="A39" s="2" t="s">
        <v>51</v>
      </c>
      <c r="B39" s="9"/>
      <c r="C39" s="57">
        <v>2787.09</v>
      </c>
    </row>
    <row r="40" spans="1:3">
      <c r="A40" s="27" t="s">
        <v>52</v>
      </c>
      <c r="B40" s="42"/>
      <c r="C40" s="38">
        <v>3499.68</v>
      </c>
    </row>
    <row r="41" spans="1:3">
      <c r="A41" s="2" t="s">
        <v>53</v>
      </c>
      <c r="B41" s="9"/>
      <c r="C41" s="57">
        <v>2455.04</v>
      </c>
    </row>
    <row r="42" spans="1:3">
      <c r="A42" s="2" t="s">
        <v>54</v>
      </c>
      <c r="B42" s="1"/>
      <c r="C42" s="57">
        <v>2708.26</v>
      </c>
    </row>
    <row r="43" spans="1:3">
      <c r="A43" s="2" t="s">
        <v>55</v>
      </c>
      <c r="B43" s="1"/>
      <c r="C43" s="57">
        <v>3023.76</v>
      </c>
    </row>
    <row r="44" spans="1:3">
      <c r="A44" s="27" t="s">
        <v>56</v>
      </c>
      <c r="B44" s="29"/>
      <c r="C44" s="38">
        <v>3690.22</v>
      </c>
    </row>
    <row r="45" spans="1:3">
      <c r="A45" s="2" t="s">
        <v>57</v>
      </c>
      <c r="B45" s="9"/>
      <c r="C45" s="57">
        <v>3265.25</v>
      </c>
    </row>
    <row r="46" spans="1:3">
      <c r="A46" s="2" t="s">
        <v>58</v>
      </c>
      <c r="B46" s="9"/>
      <c r="C46" s="57">
        <v>4064.59</v>
      </c>
    </row>
    <row r="47" spans="1:3">
      <c r="A47" s="27" t="s">
        <v>59</v>
      </c>
      <c r="B47" s="42"/>
      <c r="C47" s="38">
        <v>3310.09</v>
      </c>
    </row>
    <row r="48" spans="1:3">
      <c r="A48" s="2" t="s">
        <v>60</v>
      </c>
      <c r="B48" s="9"/>
      <c r="C48" s="38">
        <v>3214.73</v>
      </c>
    </row>
    <row r="49" spans="1:3">
      <c r="A49" s="2" t="s">
        <v>61</v>
      </c>
      <c r="B49" s="9"/>
      <c r="C49" s="57">
        <v>3248.67</v>
      </c>
    </row>
    <row r="50" spans="1:3">
      <c r="A50" s="2" t="s">
        <v>62</v>
      </c>
      <c r="B50" s="9"/>
      <c r="C50" s="57">
        <v>3503.39</v>
      </c>
    </row>
    <row r="51" spans="1:3">
      <c r="A51" s="2" t="s">
        <v>63</v>
      </c>
      <c r="B51" s="9"/>
      <c r="C51" s="57">
        <v>2592.09</v>
      </c>
    </row>
    <row r="52" spans="1:3">
      <c r="A52" s="2" t="s">
        <v>64</v>
      </c>
      <c r="B52" s="9"/>
      <c r="C52" s="57">
        <v>2452.0100000000002</v>
      </c>
    </row>
    <row r="53" spans="1:3">
      <c r="A53" s="27" t="s">
        <v>65</v>
      </c>
      <c r="B53" s="42"/>
      <c r="C53" s="38">
        <v>3152.84</v>
      </c>
    </row>
    <row r="54" spans="1:3">
      <c r="A54" s="27" t="s">
        <v>66</v>
      </c>
      <c r="B54" s="42"/>
      <c r="C54" s="38">
        <v>3014.01</v>
      </c>
    </row>
    <row r="55" spans="1:3">
      <c r="A55" s="2" t="s">
        <v>67</v>
      </c>
      <c r="B55" s="9"/>
      <c r="C55" s="57">
        <v>2136.4299999999998</v>
      </c>
    </row>
    <row r="56" spans="1:3">
      <c r="A56" s="2" t="s">
        <v>68</v>
      </c>
      <c r="B56" s="56"/>
      <c r="C56" s="57">
        <v>2650.5</v>
      </c>
    </row>
    <row r="57" spans="1:3">
      <c r="A57" s="2" t="s">
        <v>69</v>
      </c>
      <c r="B57" s="56"/>
      <c r="C57" s="57">
        <v>2465.7600000000002</v>
      </c>
    </row>
    <row r="58" spans="1:3">
      <c r="A58" s="2" t="s">
        <v>70</v>
      </c>
      <c r="B58" s="56"/>
      <c r="C58" s="57">
        <v>1858.01</v>
      </c>
    </row>
    <row r="59" spans="1:3">
      <c r="A59" s="2" t="s">
        <v>71</v>
      </c>
      <c r="B59" s="56"/>
      <c r="C59" s="57">
        <v>1659.65</v>
      </c>
    </row>
    <row r="60" spans="1:3">
      <c r="A60" s="2" t="s">
        <v>72</v>
      </c>
      <c r="B60" s="56"/>
      <c r="C60" s="57">
        <v>1748.13</v>
      </c>
    </row>
    <row r="61" spans="1:3">
      <c r="A61" s="2" t="s">
        <v>73</v>
      </c>
      <c r="B61" s="56"/>
      <c r="C61" s="57">
        <v>1997.88</v>
      </c>
    </row>
    <row r="62" spans="1:3">
      <c r="A62" s="2" t="s">
        <v>74</v>
      </c>
      <c r="B62" s="56"/>
      <c r="C62" s="57">
        <v>1220.27</v>
      </c>
    </row>
    <row r="63" spans="1:3">
      <c r="A63" s="2" t="s">
        <v>75</v>
      </c>
      <c r="B63" s="56"/>
      <c r="C63" s="57">
        <v>1532.7</v>
      </c>
    </row>
    <row r="64" spans="1:3">
      <c r="A64" s="2" t="s">
        <v>76</v>
      </c>
      <c r="B64" s="56"/>
      <c r="C64" s="57">
        <v>1557.8</v>
      </c>
    </row>
    <row r="65" spans="1:3">
      <c r="A65" s="2" t="s">
        <v>77</v>
      </c>
      <c r="B65" s="56"/>
      <c r="C65" s="57">
        <v>1359.94</v>
      </c>
    </row>
    <row r="66" spans="1:3">
      <c r="A66" s="2" t="s">
        <v>78</v>
      </c>
      <c r="B66" s="56"/>
      <c r="C66" s="57">
        <v>1143.1400000000001</v>
      </c>
    </row>
    <row r="67" spans="1:3">
      <c r="A67" s="2" t="s">
        <v>79</v>
      </c>
      <c r="B67" s="56"/>
      <c r="C67" s="57">
        <v>1477.97</v>
      </c>
    </row>
    <row r="68" spans="1:3">
      <c r="A68" s="2" t="s">
        <v>85</v>
      </c>
      <c r="B68" s="56"/>
      <c r="C68" s="57">
        <v>678.57</v>
      </c>
    </row>
    <row r="69" spans="1:3">
      <c r="A69" s="2" t="s">
        <v>86</v>
      </c>
      <c r="B69" s="56"/>
      <c r="C69" s="57">
        <v>1129.92</v>
      </c>
    </row>
    <row r="70" spans="1:3">
      <c r="A70" s="2" t="s">
        <v>87</v>
      </c>
      <c r="B70" s="56"/>
      <c r="C70" s="57">
        <v>235.21</v>
      </c>
    </row>
    <row r="71" spans="1:3">
      <c r="A71" s="2" t="s">
        <v>88</v>
      </c>
      <c r="B71" s="56"/>
      <c r="C71" s="57">
        <v>2535.4299999999998</v>
      </c>
    </row>
    <row r="72" spans="1:3">
      <c r="A72" s="2" t="s">
        <v>89</v>
      </c>
      <c r="B72" s="56"/>
      <c r="C72" s="57">
        <v>1753.36</v>
      </c>
    </row>
    <row r="73" spans="1:3">
      <c r="A73" s="2" t="s">
        <v>90</v>
      </c>
      <c r="B73" s="118"/>
      <c r="C73" s="149">
        <v>906.35</v>
      </c>
    </row>
    <row r="74" spans="1:3">
      <c r="A74" s="2" t="s">
        <v>93</v>
      </c>
      <c r="B74" s="118"/>
      <c r="C74" s="149">
        <v>928.38</v>
      </c>
    </row>
    <row r="75" spans="1:3">
      <c r="A75" s="2" t="s">
        <v>94</v>
      </c>
      <c r="B75" s="118"/>
      <c r="C75" s="150">
        <v>1272.2</v>
      </c>
    </row>
    <row r="76" spans="1:3">
      <c r="A76" s="2" t="s">
        <v>95</v>
      </c>
      <c r="B76" s="118"/>
      <c r="C76" s="57">
        <v>1080.17</v>
      </c>
    </row>
    <row r="77" spans="1:3">
      <c r="A77" s="2" t="s">
        <v>96</v>
      </c>
      <c r="B77" s="118"/>
      <c r="C77" s="57">
        <v>790.01</v>
      </c>
    </row>
    <row r="78" spans="1:3">
      <c r="A78" s="2" t="s">
        <v>97</v>
      </c>
      <c r="B78" s="118"/>
      <c r="C78" s="57">
        <v>653.69000000000005</v>
      </c>
    </row>
    <row r="79" spans="1:3">
      <c r="A79" s="2" t="s">
        <v>98</v>
      </c>
      <c r="B79" s="118"/>
      <c r="C79" s="149"/>
    </row>
    <row r="80" spans="1:3">
      <c r="A80" s="2" t="s">
        <v>99</v>
      </c>
      <c r="B80" s="118"/>
      <c r="C80" s="149"/>
    </row>
    <row r="81" spans="1:3">
      <c r="A81" s="2" t="s">
        <v>108</v>
      </c>
      <c r="B81" s="118"/>
      <c r="C81" s="149"/>
    </row>
    <row r="82" spans="1:3">
      <c r="A82" s="2" t="s">
        <v>109</v>
      </c>
      <c r="B82" s="118"/>
      <c r="C82" s="149"/>
    </row>
    <row r="83" spans="1:3">
      <c r="A83" s="2" t="s">
        <v>110</v>
      </c>
      <c r="B83" s="118"/>
      <c r="C83" s="149"/>
    </row>
    <row r="84" spans="1:3">
      <c r="A84" s="173" t="s">
        <v>111</v>
      </c>
      <c r="B84" s="118"/>
      <c r="C84" s="149"/>
    </row>
    <row r="85" spans="1:3">
      <c r="A85" s="2"/>
      <c r="B85" s="118"/>
      <c r="C85" s="149"/>
    </row>
    <row r="86" spans="1:3">
      <c r="A86" s="2"/>
      <c r="B86" s="118"/>
      <c r="C86" s="149"/>
    </row>
    <row r="87" spans="1:3">
      <c r="A87" s="2"/>
      <c r="B87" s="118"/>
      <c r="C87" s="149"/>
    </row>
    <row r="88" spans="1:3">
      <c r="A88" s="2"/>
      <c r="B88" s="118"/>
      <c r="C88" s="149"/>
    </row>
    <row r="89" spans="1:3">
      <c r="A89" s="374" t="s">
        <v>478</v>
      </c>
      <c r="B89" s="364"/>
      <c r="C89" s="365"/>
    </row>
    <row r="90" spans="1:3" ht="27.6" customHeight="1">
      <c r="A90" s="103" t="s">
        <v>0</v>
      </c>
      <c r="B90" s="118"/>
      <c r="C90" s="8" t="s">
        <v>1</v>
      </c>
    </row>
    <row r="91" spans="1:3">
      <c r="A91" s="2" t="s">
        <v>95</v>
      </c>
      <c r="B91" s="56"/>
      <c r="C91" s="57">
        <v>1080.17</v>
      </c>
    </row>
    <row r="92" spans="1:3">
      <c r="A92" s="2" t="s">
        <v>96</v>
      </c>
      <c r="B92" s="56"/>
      <c r="C92" s="57">
        <v>790.01</v>
      </c>
    </row>
    <row r="93" spans="1:3">
      <c r="A93" s="2" t="s">
        <v>97</v>
      </c>
      <c r="B93" s="56"/>
      <c r="C93" s="57">
        <v>653.69000000000005</v>
      </c>
    </row>
    <row r="94" spans="1:3">
      <c r="A94" s="2" t="s">
        <v>98</v>
      </c>
    </row>
    <row r="95" spans="1:3">
      <c r="A95" s="2" t="s">
        <v>99</v>
      </c>
    </row>
    <row r="96" spans="1:3">
      <c r="A96" s="2" t="s">
        <v>108</v>
      </c>
    </row>
    <row r="97" spans="1:1">
      <c r="A97" s="2" t="s">
        <v>109</v>
      </c>
    </row>
    <row r="98" spans="1:1">
      <c r="A98" s="2" t="s">
        <v>110</v>
      </c>
    </row>
    <row r="99" spans="1:1">
      <c r="A99" s="173" t="s">
        <v>111</v>
      </c>
    </row>
  </sheetData>
  <mergeCells count="4">
    <mergeCell ref="G1:H1"/>
    <mergeCell ref="A89:C89"/>
    <mergeCell ref="I1:J1"/>
    <mergeCell ref="K1:L1"/>
  </mergeCell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D24"/>
  <sheetViews>
    <sheetView topLeftCell="A6" workbookViewId="0">
      <selection activeCell="C25" sqref="C25"/>
    </sheetView>
  </sheetViews>
  <sheetFormatPr defaultRowHeight="14.4"/>
  <cols>
    <col min="1" max="1" width="32.33203125" customWidth="1"/>
    <col min="2" max="2" width="21.44140625" customWidth="1"/>
    <col min="3" max="3" width="23" customWidth="1"/>
    <col min="4" max="4" width="25.6640625" customWidth="1"/>
  </cols>
  <sheetData>
    <row r="2" spans="1:2" ht="27.6" customHeight="1">
      <c r="A2" s="2" t="s">
        <v>26</v>
      </c>
      <c r="B2" s="13">
        <f>SUM(Highway!C14, Kababwala!C15, Icecream!C14, 'Pizza K Heartland'!C14, 'Pizza K Eglinton'!C26, 'Karachi Food Court'!C14)</f>
        <v>112865.06</v>
      </c>
    </row>
    <row r="3" spans="1:2" ht="27.6" customHeight="1">
      <c r="A3" s="2" t="s">
        <v>27</v>
      </c>
      <c r="B3" s="13">
        <f>SUM(Highway!C15, Kababwala!C16, Icecream!C15, 'Pizza K Heartland'!C15, 'Pizza K Eglinton'!C27, 'Karachi Food Court'!C15)</f>
        <v>84833.09</v>
      </c>
    </row>
    <row r="4" spans="1:2" ht="27.6" customHeight="1">
      <c r="A4" s="2" t="s">
        <v>28</v>
      </c>
      <c r="B4" s="13">
        <f>SUM(Highway!C16, Kababwala!C17, Icecream!C16, 'Pizza K Heartland'!C16, 'Pizza K Eglinton'!C28, 'Karachi Food Court'!C16)</f>
        <v>101453.48</v>
      </c>
    </row>
    <row r="5" spans="1:2" ht="27.6" customHeight="1">
      <c r="A5" s="2" t="s">
        <v>29</v>
      </c>
      <c r="B5" s="13">
        <f>SUM(Highway!C17, Kababwala!C18, Icecream!C17, 'Pizza K Heartland'!C17, 'Pizza K Eglinton'!C29, 'Karachi Food Court'!C17)</f>
        <v>94769.4</v>
      </c>
    </row>
    <row r="6" spans="1:2" ht="27.6" customHeight="1">
      <c r="A6" s="2" t="s">
        <v>30</v>
      </c>
      <c r="B6" s="13">
        <f>SUM(Highway!C18, Kababwala!C19, Icecream!C18, 'Pizza K Heartland'!C18, 'Pizza K Eglinton'!C30, 'Karachi Food Court'!C18, Markham!B3)</f>
        <v>116957.28</v>
      </c>
    </row>
    <row r="7" spans="1:2" ht="27.6" customHeight="1">
      <c r="A7" s="2" t="s">
        <v>31</v>
      </c>
      <c r="B7" s="13">
        <f>SUM(Highway!C19, Kababwala!C20, Icecream!C19, 'Pizza K Heartland'!C19, 'Pizza K Eglinton'!C31, 'Karachi Food Court'!C19, Markham!B4)</f>
        <v>182980.13</v>
      </c>
    </row>
    <row r="8" spans="1:2">
      <c r="A8" s="2" t="s">
        <v>32</v>
      </c>
      <c r="B8" s="13">
        <f>SUM(Highway!C20, Kababwala!C21, Icecream!C20, 'Pizza K Heartland'!C20, 'Pizza K Eglinton'!C32, 'Karachi Food Court'!C20, Markham!B5)</f>
        <v>120139.43000000001</v>
      </c>
    </row>
    <row r="9" spans="1:2">
      <c r="A9" s="15" t="s">
        <v>33</v>
      </c>
      <c r="B9" s="13">
        <f>SUM(Highway!C21, Kababwala!C22, Icecream!C21, 'Pizza K Heartland'!C21, 'Pizza K Eglinton'!C33, 'Karachi Food Court'!C21, Markham!B6)</f>
        <v>90306.66</v>
      </c>
    </row>
    <row r="10" spans="1:2">
      <c r="A10" s="15" t="s">
        <v>34</v>
      </c>
      <c r="B10" s="13">
        <f>SUM(Highway!C22, Kababwala!C23, Icecream!C22, 'Pizza K Heartland'!C22, 'Pizza K Eglinton'!C34, 'Karachi Food Court'!C22, Markham!B7)</f>
        <v>90885.290000000008</v>
      </c>
    </row>
    <row r="11" spans="1:2">
      <c r="A11" s="26" t="s">
        <v>340</v>
      </c>
      <c r="B11" s="13">
        <f>SUM(Highway!C23, Kababwala!C24, Icecream!C23, 'Pizza K Heartland'!C23, 'Pizza K Eglinton'!C35, 'Karachi Food Court'!C23, Markham!B8)</f>
        <v>98491.61</v>
      </c>
    </row>
    <row r="12" spans="1:2">
      <c r="A12" s="27" t="s">
        <v>341</v>
      </c>
      <c r="B12" s="13">
        <f>SUM(Highway!C24, Kababwala!C25, Icecream!C24, 'Pizza K Heartland'!C24, 'Pizza K Eglinton'!C36, 'Karachi Food Court'!C24, Markham!B9)</f>
        <v>97880.76</v>
      </c>
    </row>
    <row r="13" spans="1:2">
      <c r="A13" s="2" t="s">
        <v>342</v>
      </c>
      <c r="B13" s="13">
        <f>SUM(Highway!C25, Kababwala!C26, Icecream!C25, 'Pizza K Heartland'!C25, 'Pizza K Eglinton'!C37, 'Karachi Food Court'!C25, Markham!B10)</f>
        <v>94474.89</v>
      </c>
    </row>
    <row r="14" spans="1:2">
      <c r="A14" s="2" t="s">
        <v>38</v>
      </c>
      <c r="B14" s="13">
        <f>SUM(Highway!C26, Kababwala!C27, Icecream!C26, 'Pizza K Heartland'!C26, 'Pizza K Eglinton'!C38, 'Karachi Food Court'!C26, Markham!B11)</f>
        <v>106168.97</v>
      </c>
    </row>
    <row r="15" spans="1:2">
      <c r="A15" s="45" t="s">
        <v>43</v>
      </c>
      <c r="B15" s="13">
        <f>SUM(Highway!C31,Kababwala!C32,Icecream!C31,'Pizza K Heartland'!C31,'Pizza K Eglinton'!C45,'Karachi Food Court'!C31,Markham!B16)</f>
        <v>89563.170000000013</v>
      </c>
    </row>
    <row r="16" spans="1:2">
      <c r="A16" s="2" t="s">
        <v>52</v>
      </c>
      <c r="B16" s="13">
        <f>SUM(Highway!C40,Kababwala!C40,Icecream!C40,'Pizza K Heartland'!C40,'Pizza K Eglinton'!C54,'Karachi Food Court'!C40,Markham!B25)</f>
        <v>132751.59</v>
      </c>
    </row>
    <row r="17" spans="1:4">
      <c r="A17" s="2" t="s">
        <v>53</v>
      </c>
      <c r="B17" s="13" t="e">
        <f>SUM(Highway!C41,Kababwala!C42,Icecream!C41,'Pizza K Heartland'!C41,'Pizza K Eglinton'!C55,'Karachi Food Court'!C41,Markham!#REF!)</f>
        <v>#REF!</v>
      </c>
      <c r="C17" s="4">
        <v>14758.8</v>
      </c>
    </row>
    <row r="18" spans="1:4" ht="17.399999999999999" customHeight="1">
      <c r="C18" s="64">
        <v>15998.15</v>
      </c>
    </row>
    <row r="19" spans="1:4">
      <c r="C19" s="57">
        <v>2452.0100000000002</v>
      </c>
    </row>
    <row r="20" spans="1:4">
      <c r="C20" s="17">
        <v>17470.75</v>
      </c>
    </row>
    <row r="21" spans="1:4">
      <c r="C21" s="102">
        <v>41130.92</v>
      </c>
    </row>
    <row r="22" spans="1:4">
      <c r="C22" s="12">
        <v>53846.11</v>
      </c>
    </row>
    <row r="23" spans="1:4">
      <c r="D23" s="95">
        <v>13216.82</v>
      </c>
    </row>
    <row r="24" spans="1:4">
      <c r="C24" s="13">
        <f>SUM(C17:C22)</f>
        <v>145656.74</v>
      </c>
      <c r="D24" s="13">
        <f>SUM(C17:C23)+D23</f>
        <v>158873.56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3"/>
  <sheetViews>
    <sheetView workbookViewId="0">
      <selection activeCell="A4" sqref="A4"/>
    </sheetView>
  </sheetViews>
  <sheetFormatPr defaultRowHeight="14.4"/>
  <cols>
    <col min="1" max="1" width="41.6640625" customWidth="1"/>
  </cols>
  <sheetData>
    <row r="1" spans="1:1">
      <c r="A1" t="s">
        <v>479</v>
      </c>
    </row>
    <row r="2" spans="1:1">
      <c r="A2" t="s">
        <v>480</v>
      </c>
    </row>
    <row r="3" spans="1:1">
      <c r="A3" t="s">
        <v>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Highway</vt:lpstr>
      <vt:lpstr>Kababwala</vt:lpstr>
      <vt:lpstr>Pizza K Heartland</vt:lpstr>
      <vt:lpstr>Pizza K Eglinton</vt:lpstr>
      <vt:lpstr>Karachi Food Court</vt:lpstr>
      <vt:lpstr>Markham</vt:lpstr>
      <vt:lpstr>Jane</vt:lpstr>
      <vt:lpstr>Ajax</vt:lpstr>
      <vt:lpstr>PKQueen</vt:lpstr>
      <vt:lpstr>KKWQueen</vt:lpstr>
      <vt:lpstr>Lebovic</vt:lpstr>
      <vt:lpstr>Icecream</vt:lpstr>
      <vt:lpstr>Total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karachi kababwala</dc:creator>
  <cp:lastModifiedBy>Mareeha Ahmed</cp:lastModifiedBy>
  <dcterms:created xsi:type="dcterms:W3CDTF">2023-09-30T07:01:52Z</dcterms:created>
  <dcterms:modified xsi:type="dcterms:W3CDTF">2026-06-01T23:56:54Z</dcterms:modified>
</cp:coreProperties>
</file>