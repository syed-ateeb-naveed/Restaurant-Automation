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813" firstSheet="0" activeTab="10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PKQueen" sheetId="9" state="visible" r:id="rId9"/>
    <sheet name="KKWQueen" sheetId="10" state="visible" r:id="rId10"/>
    <sheet name="Lebovic" sheetId="11" state="visible" r:id="rId11"/>
    <sheet name="Icecream" sheetId="12" state="visible" r:id="rId12"/>
    <sheet name="Total" sheetId="13" state="visible" r:id="rId13"/>
    <sheet name="Sheet1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[Red]\-&quot;$&quot;#,##0.00"/>
    <numFmt numFmtId="165" formatCode="&quot;$&quot;#,##0.00"/>
  </numFmts>
  <fonts count="51">
    <font>
      <name val="Calibri"/>
      <family val="2"/>
      <color theme="1"/>
      <sz val="11"/>
      <scheme val="minor"/>
    </font>
    <font>
      <name val="Verdana"/>
      <family val="2"/>
      <b val="1"/>
      <color rgb="FF333333"/>
      <sz val="12"/>
    </font>
    <font>
      <name val="Verdana"/>
      <family val="2"/>
      <color rgb="FF333333"/>
      <sz val="11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Lato-regular"/>
      <b val="1"/>
      <color rgb="FF333333"/>
      <sz val="10"/>
    </font>
    <font>
      <name val="Calibri"/>
      <family val="2"/>
      <b val="1"/>
      <color theme="1"/>
      <sz val="11"/>
      <scheme val="minor"/>
    </font>
    <font>
      <name val="Roboto"/>
      <color rgb="FF3F4254"/>
      <sz val="10"/>
    </font>
    <font>
      <name val="Verdana"/>
      <family val="2"/>
      <color theme="9"/>
      <sz val="11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Calibri"/>
      <family val="2"/>
      <sz val="11"/>
      <scheme val="minor"/>
    </font>
    <font>
      <name val="Lato-regular"/>
      <b val="1"/>
      <sz val="10"/>
    </font>
    <font>
      <name val="Verdana"/>
      <family val="2"/>
      <b val="1"/>
      <sz val="11"/>
    </font>
    <font>
      <name val="Lato-regular"/>
      <b val="1"/>
      <color rgb="FF333333"/>
      <sz val="11"/>
    </font>
    <font>
      <name val="Roboto"/>
      <color rgb="FF3F4254"/>
      <sz val="11"/>
    </font>
    <font>
      <name val="Roboto"/>
      <color theme="9"/>
      <sz val="11"/>
    </font>
    <font>
      <name val="Roboto"/>
      <sz val="10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color rgb="FF333333"/>
      <sz val="11"/>
    </font>
    <font>
      <name val="Arial"/>
      <family val="2"/>
      <sz val="11"/>
    </font>
    <font>
      <name val="Arial"/>
      <family val="2"/>
      <color rgb="FF333333"/>
      <sz val="14"/>
    </font>
    <font>
      <name val="Arial"/>
      <family val="2"/>
      <b val="1"/>
      <color rgb="FF333333"/>
      <sz val="14"/>
    </font>
    <font>
      <name val="Arial"/>
      <family val="2"/>
      <sz val="14"/>
    </font>
    <font>
      <name val="Arial"/>
      <family val="2"/>
      <b val="1"/>
      <color theme="1"/>
      <sz val="14"/>
    </font>
    <font>
      <name val="Verdana"/>
      <family val="2"/>
      <color rgb="FF333333"/>
      <sz val="14"/>
    </font>
    <font>
      <name val="Arial"/>
      <family val="2"/>
      <b val="1"/>
      <color theme="1"/>
      <sz val="11"/>
    </font>
    <font>
      <name val="Arial"/>
      <family val="2"/>
      <b val="1"/>
      <color rgb="FF333333"/>
      <sz val="11"/>
    </font>
    <font>
      <name val="Arial"/>
      <family val="2"/>
      <color rgb="FF3F4254"/>
      <sz val="11"/>
    </font>
    <font>
      <name val="Arial"/>
      <family val="2"/>
      <color theme="9"/>
      <sz val="11"/>
    </font>
    <font>
      <name val="Arial"/>
      <family val="2"/>
      <b val="1"/>
      <sz val="11"/>
    </font>
    <font>
      <name val="Arial"/>
      <family val="2"/>
      <b val="1"/>
      <color theme="9"/>
      <sz val="11"/>
    </font>
    <font>
      <name val="Verdana"/>
      <family val="2"/>
      <b val="1"/>
      <color rgb="FF333333"/>
      <sz val="11"/>
    </font>
    <font>
      <name val="Verdana"/>
      <family val="2"/>
      <color rgb="FF3F4254"/>
      <sz val="11"/>
    </font>
    <font>
      <name val="Verdana"/>
      <family val="2"/>
      <color rgb="FF000000"/>
      <sz val="11"/>
    </font>
    <font>
      <name val="Verdana"/>
      <family val="2"/>
      <b val="1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4" tint="0.7999816888943144"/>
        <bgColor theme="4" tint="0.799981688894314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BEDF3"/>
      </left>
      <right style="medium">
        <color rgb="FFEBEDF3"/>
      </right>
      <top/>
      <bottom style="medium">
        <color rgb="FFEBEDF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rgb="FFEBEDF3"/>
      </right>
      <top/>
      <bottom style="medium">
        <color rgb="FFEBEDF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rgb="FFE0E0E0"/>
      </bottom>
      <diagonal/>
    </border>
    <border>
      <left style="medium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 style="medium">
        <color rgb="FFE0E0E0"/>
      </bottom>
      <diagonal/>
    </border>
    <border>
      <left/>
      <right/>
      <top style="medium">
        <color rgb="FFE5E5E5"/>
      </top>
      <bottom style="medium">
        <color rgb="FFE0E0E0"/>
      </bottom>
      <diagonal/>
    </border>
    <border>
      <left style="medium">
        <color rgb="FFE5E5E5"/>
      </left>
      <right/>
      <top/>
      <bottom style="medium">
        <color rgb="FFE5E5E5"/>
      </bottom>
      <diagonal/>
    </border>
    <border>
      <left/>
      <right/>
      <top/>
      <bottom style="medium">
        <color rgb="FFE5E5E5"/>
      </bottom>
      <diagonal/>
    </border>
    <border>
      <left/>
      <right/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/>
      <diagonal/>
    </border>
    <border>
      <left/>
      <right style="medium">
        <color rgb="FFE5E5E5"/>
      </right>
      <top style="medium">
        <color rgb="FFE5E5E5"/>
      </top>
      <bottom/>
      <diagonal/>
    </border>
    <border>
      <left/>
      <right/>
      <top style="medium">
        <color rgb="FFE5E5E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0" fillId="0" borderId="0"/>
  </cellStyleXfs>
  <cellXfs count="568">
    <xf numFmtId="0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4" fontId="2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top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2" borderId="2" pivotButton="0" quotePrefix="0" xfId="0"/>
    <xf numFmtId="0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top" wrapText="1"/>
    </xf>
    <xf numFmtId="164" fontId="7" fillId="0" borderId="3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4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4" fontId="5" fillId="0" borderId="3" applyAlignment="1" pivotButton="0" quotePrefix="0" xfId="0">
      <alignment horizontal="center" vertical="top" wrapText="1"/>
    </xf>
    <xf numFmtId="0" fontId="0" fillId="0" borderId="3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1" pivotButton="0" quotePrefix="0" xfId="0"/>
    <xf numFmtId="4" fontId="15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0" fontId="0" fillId="0" borderId="4" pivotButton="0" quotePrefix="0" xfId="0"/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7" fillId="2" borderId="3" applyAlignment="1" pivotButton="0" quotePrefix="0" xfId="0">
      <alignment horizontal="center" vertical="top" wrapText="1"/>
    </xf>
    <xf numFmtId="0" fontId="0" fillId="0" borderId="7" pivotButton="0" quotePrefix="0" xfId="0"/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center" vertical="center" wrapText="1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0" fontId="22" fillId="0" borderId="4" applyAlignment="1" pivotButton="0" quotePrefix="0" xfId="0">
      <alignment horizontal="center" vertical="center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0" fontId="21" fillId="0" borderId="9" applyAlignment="1" pivotButton="0" quotePrefix="0" xfId="0">
      <alignment horizontal="center" vertical="center" wrapText="1"/>
    </xf>
    <xf numFmtId="0" fontId="32" fillId="0" borderId="0" applyAlignment="1" pivotButton="0" quotePrefix="0" xfId="1">
      <alignment horizontal="center"/>
    </xf>
    <xf numFmtId="0" fontId="33" fillId="0" borderId="0" applyAlignment="1" pivotButton="0" quotePrefix="0" xfId="1">
      <alignment horizontal="center"/>
    </xf>
    <xf numFmtId="0" fontId="12" fillId="0" borderId="1" applyAlignment="1" pivotButton="0" quotePrefix="0" xfId="0">
      <alignment horizontal="center"/>
    </xf>
    <xf numFmtId="164" fontId="18" fillId="0" borderId="1" applyAlignment="1" pivotButton="0" quotePrefix="0" xfId="0">
      <alignment horizontal="center" vertical="top" wrapText="1"/>
    </xf>
    <xf numFmtId="164" fontId="20" fillId="2" borderId="1" applyAlignment="1" pivotButton="0" quotePrefix="0" xfId="0">
      <alignment horizontal="right" vertical="center" indent="1"/>
    </xf>
    <xf numFmtId="4" fontId="5" fillId="0" borderId="1" applyAlignment="1" pivotButton="0" quotePrefix="0" xfId="0">
      <alignment horizontal="center"/>
    </xf>
    <xf numFmtId="0" fontId="3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 indent="1"/>
    </xf>
    <xf numFmtId="164" fontId="11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20" fillId="0" borderId="3" applyAlignment="1" pivotButton="0" quotePrefix="0" xfId="0">
      <alignment horizontal="right" vertical="center" indent="1"/>
    </xf>
    <xf numFmtId="164" fontId="11" fillId="0" borderId="3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164" fontId="35" fillId="0" borderId="1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4" fillId="0" borderId="3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4" fillId="0" borderId="1" pivotButton="0" quotePrefix="0" xfId="0"/>
    <xf numFmtId="4" fontId="34" fillId="0" borderId="1" applyAlignment="1" pivotButton="0" quotePrefix="0" xfId="0">
      <alignment horizontal="center" vertical="top" wrapText="1"/>
    </xf>
    <xf numFmtId="4" fontId="3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top" wrapText="1"/>
    </xf>
    <xf numFmtId="164" fontId="19" fillId="2" borderId="10" applyAlignment="1" pivotButton="0" quotePrefix="0" xfId="0">
      <alignment horizontal="right" vertical="center" indent="1"/>
    </xf>
    <xf numFmtId="0" fontId="19" fillId="2" borderId="13" applyAlignment="1" pivotButton="0" quotePrefix="0" xfId="0">
      <alignment horizontal="left" vertical="center" indent="1"/>
    </xf>
    <xf numFmtId="0" fontId="19" fillId="2" borderId="14" applyAlignment="1" pivotButton="0" quotePrefix="0" xfId="0">
      <alignment horizontal="right" vertical="center" indent="1"/>
    </xf>
    <xf numFmtId="164" fontId="19" fillId="2" borderId="14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0" fontId="6" fillId="0" borderId="0" pivotButton="0" quotePrefix="0" xfId="0"/>
    <xf numFmtId="0" fontId="19" fillId="2" borderId="15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right" vertical="center" indent="1"/>
    </xf>
    <xf numFmtId="164" fontId="19" fillId="2" borderId="16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right" vertical="center" indent="1"/>
    </xf>
    <xf numFmtId="0" fontId="19" fillId="2" borderId="11" applyAlignment="1" pivotButton="0" quotePrefix="0" xfId="0">
      <alignment horizontal="right" vertical="center" indent="1"/>
    </xf>
    <xf numFmtId="164" fontId="19" fillId="2" borderId="12" applyAlignment="1" pivotButton="0" quotePrefix="0" xfId="0">
      <alignment horizontal="right" vertical="center" indent="1"/>
    </xf>
    <xf numFmtId="0" fontId="19" fillId="2" borderId="14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left" vertical="center" indent="1"/>
    </xf>
    <xf numFmtId="164" fontId="19" fillId="0" borderId="0" pivotButton="0" quotePrefix="0" xfId="0"/>
    <xf numFmtId="164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19" fillId="0" borderId="14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right" vertical="center" indent="1"/>
    </xf>
    <xf numFmtId="164" fontId="19" fillId="0" borderId="12" applyAlignment="1" pivotButton="0" quotePrefix="0" xfId="0">
      <alignment horizontal="right" vertical="center" indent="1"/>
    </xf>
    <xf numFmtId="0" fontId="19" fillId="0" borderId="16" applyAlignment="1" pivotButton="0" quotePrefix="0" xfId="0">
      <alignment horizontal="left" vertical="center" indent="1"/>
    </xf>
    <xf numFmtId="0" fontId="19" fillId="0" borderId="20" applyAlignment="1" pivotButton="0" quotePrefix="0" xfId="0">
      <alignment horizontal="left" vertical="center" indent="1"/>
    </xf>
    <xf numFmtId="0" fontId="19" fillId="0" borderId="18" applyAlignment="1" pivotButton="0" quotePrefix="0" xfId="0">
      <alignment horizontal="right" vertical="center" indent="1"/>
    </xf>
    <xf numFmtId="164" fontId="19" fillId="0" borderId="19" applyAlignment="1" pivotButton="0" quotePrefix="0" xfId="0">
      <alignment horizontal="right" vertical="center" indent="1"/>
    </xf>
    <xf numFmtId="164" fontId="11" fillId="0" borderId="0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/>
    </xf>
    <xf numFmtId="164" fontId="38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center" indent="1"/>
    </xf>
    <xf numFmtId="164" fontId="19" fillId="0" borderId="0" applyAlignment="1" pivotButton="0" quotePrefix="0" xfId="0">
      <alignment horizontal="right" vertical="center" indent="1"/>
    </xf>
    <xf numFmtId="0" fontId="19" fillId="0" borderId="15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7" fillId="0" borderId="1" applyAlignment="1" pivotButton="0" quotePrefix="0" xfId="0">
      <alignment horizontal="center" vertical="center" wrapText="1"/>
    </xf>
    <xf numFmtId="164" fontId="4" fillId="0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165" fontId="0" fillId="0" borderId="0" pivotButton="0" quotePrefix="0" xfId="0"/>
    <xf numFmtId="165" fontId="4" fillId="0" borderId="3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164" fontId="36" fillId="0" borderId="1" pivotButton="0" quotePrefix="0" xfId="0"/>
    <xf numFmtId="165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4" fillId="0" borderId="6" applyAlignment="1" pivotButton="0" quotePrefix="0" xfId="0">
      <alignment horizontal="center"/>
    </xf>
    <xf numFmtId="0" fontId="4" fillId="0" borderId="6" pivotButton="0" quotePrefix="0" xfId="0"/>
    <xf numFmtId="165" fontId="4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/>
    </xf>
    <xf numFmtId="0" fontId="28" fillId="0" borderId="6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5" fontId="19" fillId="2" borderId="14" applyAlignment="1" pivotButton="0" quotePrefix="0" xfId="0">
      <alignment horizontal="center"/>
    </xf>
    <xf numFmtId="0" fontId="19" fillId="4" borderId="11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0" fontId="19" fillId="4" borderId="18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4" fontId="36" fillId="0" borderId="1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165" fontId="1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4" fontId="5" fillId="0" borderId="0" applyAlignment="1" pivotButton="0" quotePrefix="0" xfId="0">
      <alignment horizontal="center" vertical="center"/>
    </xf>
    <xf numFmtId="4" fontId="6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4" fontId="13" fillId="0" borderId="0" applyAlignment="1" pivotButton="0" quotePrefix="0" xfId="0">
      <alignment horizontal="center" vertical="center" wrapText="1"/>
    </xf>
    <xf numFmtId="4" fontId="34" fillId="0" borderId="0" applyAlignment="1" pivotButton="0" quotePrefix="0" xfId="0">
      <alignment horizontal="center" vertical="top" wrapText="1"/>
    </xf>
    <xf numFmtId="4" fontId="34" fillId="0" borderId="0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top" wrapText="1"/>
    </xf>
    <xf numFmtId="164" fontId="17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164" fontId="39" fillId="0" borderId="1" applyAlignment="1" pivotButton="0" quotePrefix="0" xfId="0">
      <alignment horizontal="center"/>
    </xf>
    <xf numFmtId="164" fontId="4" fillId="0" borderId="6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0" fillId="0" borderId="1" pivotButton="0" quotePrefix="0" xfId="0"/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1" applyAlignment="1" pivotButton="0" quotePrefix="0" xfId="0">
      <alignment horizontal="right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19" fillId="0" borderId="0" pivotButton="0" quotePrefix="0" xfId="0"/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1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5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8" fillId="0" borderId="1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49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164" fontId="4" fillId="0" borderId="2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center" vertical="center"/>
    </xf>
    <xf numFmtId="2" fontId="20" fillId="4" borderId="1" applyAlignment="1" pivotButton="0" quotePrefix="0" xfId="0">
      <alignment horizontal="center" vertical="center"/>
    </xf>
    <xf numFmtId="164" fontId="50" fillId="0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horizontal="right" vertical="center" indent="1"/>
    </xf>
    <xf numFmtId="165" fontId="20" fillId="4" borderId="1" applyAlignment="1" pivotButton="0" quotePrefix="0" xfId="0">
      <alignment horizontal="right" vertical="center" indent="1"/>
    </xf>
    <xf numFmtId="0" fontId="4" fillId="0" borderId="9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2" pivotButton="0" quotePrefix="0" xfId="0"/>
    <xf numFmtId="165" fontId="47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horizontal="center"/>
    </xf>
    <xf numFmtId="0" fontId="47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 vertical="center" wrapText="1"/>
    </xf>
    <xf numFmtId="0" fontId="47" fillId="0" borderId="1" applyAlignment="1" pivotButton="0" quotePrefix="0" xfId="0">
      <alignment horizontal="center" vertical="center" wrapText="1"/>
    </xf>
    <xf numFmtId="164" fontId="0" fillId="6" borderId="2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36" fillId="0" borderId="23" applyAlignment="1" pivotButton="0" quotePrefix="0" xfId="0">
      <alignment horizontal="center"/>
    </xf>
    <xf numFmtId="0" fontId="0" fillId="7" borderId="21" applyAlignment="1" pivotButton="0" quotePrefix="0" xfId="0">
      <alignment vertical="center"/>
    </xf>
    <xf numFmtId="0" fontId="0" fillId="6" borderId="21" applyAlignment="1" pivotButton="0" quotePrefix="0" xfId="0">
      <alignment vertic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0" fontId="47" fillId="0" borderId="1" pivotButton="0" quotePrefix="0" xfId="0"/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5" fontId="11" fillId="0" borderId="1" pivotButton="0" quotePrefix="0" xfId="0"/>
    <xf numFmtId="165" fontId="47" fillId="0" borderId="1" applyAlignment="1" pivotButton="0" quotePrefix="0" xfId="0">
      <alignment vertical="center"/>
    </xf>
    <xf numFmtId="165" fontId="47" fillId="0" borderId="1" pivotButton="0" quotePrefix="0" xfId="0"/>
    <xf numFmtId="164" fontId="47" fillId="0" borderId="1" applyAlignment="1" pivotButton="0" quotePrefix="0" xfId="0">
      <alignment vertical="center"/>
    </xf>
    <xf numFmtId="0" fontId="47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wrapText="1"/>
    </xf>
    <xf numFmtId="0" fontId="0" fillId="0" borderId="6" pivotButton="0" quotePrefix="0" xfId="0"/>
    <xf numFmtId="0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22" pivotButton="0" quotePrefix="0" xfId="0"/>
    <xf numFmtId="165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19" fillId="2" borderId="14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5" fontId="4" fillId="0" borderId="3" applyAlignment="1" pivotButton="0" quotePrefix="0" xfId="0">
      <alignment horizontal="center"/>
    </xf>
    <xf numFmtId="164" fontId="4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5" fontId="20" fillId="4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0" fillId="6" borderId="21" applyAlignment="1" pivotButton="0" quotePrefix="0" xfId="0">
      <alignment vertical="center"/>
    </xf>
    <xf numFmtId="165" fontId="19" fillId="0" borderId="0" pivotButton="0" quotePrefix="0" xfId="0"/>
    <xf numFmtId="165" fontId="0" fillId="0" borderId="0" pivotButton="0" quotePrefix="0" xfId="0"/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0" fillId="0" borderId="1" pivotButton="0" quotePrefix="0" xfId="0"/>
    <xf numFmtId="165" fontId="3" fillId="0" borderId="1" applyAlignment="1" pivotButton="0" quotePrefix="0" xfId="0">
      <alignment horizontal="center" vertical="center" wrapText="1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1" applyAlignment="1" pivotButton="0" quotePrefix="0" xfId="0">
      <alignment horizontal="right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36" fillId="0" borderId="1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/>
    </xf>
    <xf numFmtId="164" fontId="4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50" fillId="0" borderId="1" applyAlignment="1" pivotButton="0" quotePrefix="0" xfId="0">
      <alignment horizontal="center" vertical="center"/>
    </xf>
    <xf numFmtId="165" fontId="11" fillId="0" borderId="1" pivotButton="0" quotePrefix="0" xfId="0"/>
    <xf numFmtId="165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top" wrapText="1"/>
    </xf>
    <xf numFmtId="164" fontId="2" fillId="0" borderId="0" applyAlignment="1" pivotButton="0" quotePrefix="0" xfId="0">
      <alignment horizontal="right" vertical="top" wrapText="1"/>
    </xf>
    <xf numFmtId="164" fontId="4" fillId="0" borderId="0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164" fontId="0" fillId="0" borderId="0" pivotButton="0" quotePrefix="0" xfId="0"/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164" fontId="4" fillId="0" borderId="3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5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9" fillId="0" borderId="1" applyAlignment="1" pivotButton="0" quotePrefix="0" xfId="0">
      <alignment horizont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5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horizontal="center"/>
    </xf>
    <xf numFmtId="165" fontId="47" fillId="0" borderId="1" applyAlignment="1" pivotButton="0" quotePrefix="0" xfId="0">
      <alignment vertical="center"/>
    </xf>
    <xf numFmtId="164" fontId="19" fillId="2" borderId="14" applyAlignment="1" pivotButton="0" quotePrefix="0" xfId="0">
      <alignment horizontal="right" vertical="center" indent="1"/>
    </xf>
    <xf numFmtId="164" fontId="19" fillId="2" borderId="10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165" fontId="47" fillId="0" borderId="1" pivotButton="0" quotePrefix="0" xfId="0"/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164" fontId="16" fillId="0" borderId="1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6" fillId="0" borderId="0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7" fillId="0" borderId="0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164" fontId="7" fillId="2" borderId="3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1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1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19" fillId="0" borderId="12" applyAlignment="1" pivotButton="0" quotePrefix="0" xfId="0">
      <alignment horizontal="right" vertical="center" indent="1"/>
    </xf>
    <xf numFmtId="164" fontId="4" fillId="0" borderId="3" applyAlignment="1" pivotButton="0" quotePrefix="0" xfId="0">
      <alignment horizontal="center" vertical="center"/>
    </xf>
    <xf numFmtId="164" fontId="19" fillId="0" borderId="19" applyAlignment="1" pivotButton="0" quotePrefix="0" xfId="0">
      <alignment horizontal="right" vertical="center" indent="1"/>
    </xf>
    <xf numFmtId="164" fontId="3" fillId="0" borderId="1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164" fontId="48" fillId="0" borderId="1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164" fontId="36" fillId="0" borderId="23" applyAlignment="1" pivotButton="0" quotePrefix="0" xfId="0">
      <alignment horizontal="center"/>
    </xf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164" fontId="20" fillId="2" borderId="1" applyAlignment="1" pivotButton="0" quotePrefix="0" xfId="0">
      <alignment horizontal="right" vertical="center" indent="1"/>
    </xf>
    <xf numFmtId="164" fontId="20" fillId="0" borderId="3" applyAlignment="1" pivotButton="0" quotePrefix="0" xfId="0">
      <alignment horizontal="right" vertical="center" indent="1"/>
    </xf>
    <xf numFmtId="164" fontId="4" fillId="0" borderId="1" applyAlignment="1" pivotButton="0" quotePrefix="0" xfId="0">
      <alignment horizontal="right" vertical="center" indent="1"/>
    </xf>
    <xf numFmtId="164" fontId="11" fillId="0" borderId="6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164" fontId="38" fillId="0" borderId="1" applyAlignment="1" pivotButton="0" quotePrefix="0" xfId="0">
      <alignment horizontal="center"/>
    </xf>
    <xf numFmtId="164" fontId="36" fillId="0" borderId="1" pivotButton="0" quotePrefix="0" xfId="0"/>
    <xf numFmtId="164" fontId="47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4" fontId="19" fillId="0" borderId="0" applyAlignment="1" pivotButton="0" quotePrefix="0" xfId="0">
      <alignment horizontal="right" vertical="center" indent="1"/>
    </xf>
    <xf numFmtId="165" fontId="20" fillId="4" borderId="1" applyAlignment="1" pivotButton="0" quotePrefix="0" xfId="0">
      <alignment vertical="center"/>
    </xf>
    <xf numFmtId="164" fontId="19" fillId="2" borderId="16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0" borderId="0" pivotButton="0" quotePrefix="0" xfId="0"/>
    <xf numFmtId="164" fontId="11" fillId="0" borderId="3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 wrapText="1"/>
    </xf>
    <xf numFmtId="164" fontId="39" fillId="0" borderId="1" applyAlignment="1" pivotButton="0" quotePrefix="0" xfId="0">
      <alignment horizontal="center"/>
    </xf>
    <xf numFmtId="165" fontId="4" fillId="0" borderId="6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4" fillId="0" borderId="2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2"/>
  <sheetViews>
    <sheetView topLeftCell="A78" workbookViewId="0">
      <pane ySplit="4" topLeftCell="A138" activePane="bottomLeft" state="frozen"/>
      <selection activeCell="A78" sqref="A78"/>
      <selection pane="bottomLeft" activeCell="A159" sqref="A159:C159"/>
    </sheetView>
  </sheetViews>
  <sheetFormatPr baseColWidth="8" defaultColWidth="9.109375" defaultRowHeight="14.4"/>
  <cols>
    <col width="31.44140625" customWidth="1" style="68" min="1" max="1"/>
    <col width="9.109375" customWidth="1" style="68" min="2" max="2"/>
    <col width="19.5546875" customWidth="1" style="68" min="3" max="3"/>
    <col width="14.6640625" customWidth="1" style="68" min="4" max="4"/>
    <col width="19.5546875" customWidth="1" style="68" min="5" max="5"/>
    <col width="17.6640625" customWidth="1" style="366" min="6" max="6"/>
    <col width="22.109375" customWidth="1" style="68" min="7" max="7"/>
    <col width="16.109375" customWidth="1" style="68" min="8" max="8"/>
    <col width="20.5546875" customWidth="1" style="68" min="9" max="9"/>
    <col width="20" customWidth="1" style="68" min="10" max="10"/>
    <col width="20.5546875" customWidth="1" style="68" min="11" max="11"/>
    <col width="19.109375" customWidth="1" style="68" min="12" max="12"/>
    <col width="19.33203125" customWidth="1" style="68" min="13" max="13"/>
    <col width="18" customWidth="1" style="68" min="14" max="14"/>
    <col width="14.109375" customWidth="1" style="68" min="15" max="15"/>
    <col width="9.109375" customWidth="1" style="68" min="16" max="18"/>
    <col width="9.109375" customWidth="1" style="68" min="19" max="16384"/>
  </cols>
  <sheetData>
    <row r="1" ht="32.4" customHeight="1">
      <c r="A1" s="354" t="inlineStr">
        <is>
          <t>Statement For Selected Period</t>
        </is>
      </c>
      <c r="B1" s="9" t="n"/>
      <c r="C1" s="356" t="inlineStr">
        <is>
          <t>Total Revenue</t>
        </is>
      </c>
      <c r="D1" s="225" t="n"/>
      <c r="E1" s="225" t="n"/>
      <c r="G1" s="354" t="n">
        <v>2021</v>
      </c>
      <c r="H1" s="355" t="n"/>
      <c r="I1" s="354" t="n">
        <v>2022</v>
      </c>
      <c r="J1" s="355" t="n"/>
      <c r="K1" s="356" t="n">
        <v>2023</v>
      </c>
      <c r="L1" s="355" t="n"/>
    </row>
    <row r="2" ht="28.2" customHeight="1">
      <c r="A2" s="203" t="inlineStr">
        <is>
          <t>August 28 2023 - September 3 2023</t>
        </is>
      </c>
      <c r="B2" s="9" t="n"/>
      <c r="C2" s="367" t="n">
        <v>19246.99</v>
      </c>
      <c r="D2" s="368" t="n"/>
      <c r="E2" s="368" t="n"/>
      <c r="G2" s="203" t="inlineStr">
        <is>
          <t>January</t>
        </is>
      </c>
      <c r="H2" s="9" t="n"/>
      <c r="I2" s="203" t="inlineStr">
        <is>
          <t>January</t>
        </is>
      </c>
      <c r="J2" s="367" t="n">
        <v>18130.06</v>
      </c>
      <c r="K2" s="203" t="inlineStr">
        <is>
          <t>January</t>
        </is>
      </c>
      <c r="L2" s="367" t="n">
        <v>63461.24</v>
      </c>
    </row>
    <row r="3" ht="28.2" customHeight="1">
      <c r="A3" s="203" t="inlineStr">
        <is>
          <t>September 4 2023 - September 10 2023</t>
        </is>
      </c>
      <c r="B3" s="205" t="n"/>
      <c r="C3" s="367" t="n">
        <v>14356.63</v>
      </c>
      <c r="D3" s="368" t="n"/>
      <c r="E3" s="368" t="n"/>
      <c r="G3" s="203" t="inlineStr">
        <is>
          <t>February</t>
        </is>
      </c>
      <c r="H3" s="9" t="n"/>
      <c r="I3" s="203" t="inlineStr">
        <is>
          <t>February</t>
        </is>
      </c>
      <c r="J3" s="367" t="n">
        <v>39412.26</v>
      </c>
      <c r="K3" s="203" t="inlineStr">
        <is>
          <t>February</t>
        </is>
      </c>
      <c r="L3" s="367" t="n">
        <v>56826.84</v>
      </c>
    </row>
    <row r="4" ht="28.2" customHeight="1">
      <c r="A4" s="203" t="inlineStr">
        <is>
          <t>September 11 2023 - September 17 2023</t>
        </is>
      </c>
      <c r="B4" s="9" t="n"/>
      <c r="C4" s="367" t="n">
        <v>13870.89</v>
      </c>
      <c r="D4" s="368" t="n"/>
      <c r="E4" s="368" t="n"/>
      <c r="G4" s="203" t="inlineStr">
        <is>
          <t>March</t>
        </is>
      </c>
      <c r="H4" s="9" t="n"/>
      <c r="I4" s="203" t="inlineStr">
        <is>
          <t>March</t>
        </is>
      </c>
      <c r="J4" s="367" t="n">
        <v>66452.64999999999</v>
      </c>
      <c r="K4" s="203" t="inlineStr">
        <is>
          <t>March</t>
        </is>
      </c>
      <c r="L4" s="367" t="n">
        <v>54406.31</v>
      </c>
    </row>
    <row r="5" ht="28.2" customHeight="1">
      <c r="A5" s="203" t="inlineStr">
        <is>
          <t>September 18 2023 - September 24 2023</t>
        </is>
      </c>
      <c r="B5" s="9" t="n"/>
      <c r="C5" s="367" t="n">
        <v>14354.51</v>
      </c>
      <c r="D5" s="368" t="n"/>
      <c r="E5" s="368" t="n"/>
      <c r="G5" s="203" t="inlineStr">
        <is>
          <t>April</t>
        </is>
      </c>
      <c r="H5" s="9" t="n"/>
      <c r="I5" s="203" t="inlineStr">
        <is>
          <t>April</t>
        </is>
      </c>
      <c r="J5" s="367" t="n">
        <v>63986.87</v>
      </c>
      <c r="K5" s="203" t="inlineStr">
        <is>
          <t>April</t>
        </is>
      </c>
      <c r="L5" s="367" t="n">
        <v>87441.53999999999</v>
      </c>
    </row>
    <row r="6" ht="28.2" customHeight="1">
      <c r="A6" s="203" t="inlineStr">
        <is>
          <t>September 25 2023 - October 1 2023</t>
        </is>
      </c>
      <c r="B6" s="9" t="n"/>
      <c r="C6" s="367" t="n">
        <v>11876.87</v>
      </c>
      <c r="D6" s="368" t="n"/>
      <c r="E6" s="368" t="n"/>
      <c r="G6" s="203" t="inlineStr">
        <is>
          <t>May</t>
        </is>
      </c>
      <c r="H6" s="9" t="n"/>
      <c r="I6" s="203" t="inlineStr">
        <is>
          <t>May</t>
        </is>
      </c>
      <c r="J6" s="367" t="n">
        <v>80342.74000000001</v>
      </c>
      <c r="K6" s="203" t="inlineStr">
        <is>
          <t>May</t>
        </is>
      </c>
      <c r="L6" s="367" t="n">
        <v>71540.19</v>
      </c>
    </row>
    <row r="7" ht="28.2" customHeight="1">
      <c r="A7" s="203" t="inlineStr">
        <is>
          <t>October 2 2023 - October 8 2023</t>
        </is>
      </c>
      <c r="B7" s="9" t="n"/>
      <c r="C7" s="367" t="n">
        <v>15468</v>
      </c>
      <c r="D7" s="368" t="n"/>
      <c r="E7" s="368" t="n"/>
      <c r="F7" s="369" t="n"/>
      <c r="G7" s="203" t="inlineStr">
        <is>
          <t>June</t>
        </is>
      </c>
      <c r="H7" s="9" t="n"/>
      <c r="I7" s="203" t="inlineStr">
        <is>
          <t>June</t>
        </is>
      </c>
      <c r="J7" s="367" t="n">
        <v>69278.77</v>
      </c>
      <c r="K7" s="203" t="inlineStr">
        <is>
          <t>June</t>
        </is>
      </c>
      <c r="L7" s="367" t="n">
        <v>80490.19</v>
      </c>
    </row>
    <row r="8" ht="28.2" customHeight="1">
      <c r="A8" s="203" t="inlineStr">
        <is>
          <t>October 9 2023 - October 15 2023</t>
        </is>
      </c>
      <c r="B8" s="9" t="n"/>
      <c r="C8" s="367" t="n">
        <v>14791.27</v>
      </c>
      <c r="D8" s="368" t="n"/>
      <c r="E8" s="368" t="n"/>
      <c r="G8" s="203" t="inlineStr">
        <is>
          <t>July</t>
        </is>
      </c>
      <c r="H8" s="367" t="n">
        <v>29200.29</v>
      </c>
      <c r="I8" s="203" t="inlineStr">
        <is>
          <t>July</t>
        </is>
      </c>
      <c r="J8" s="367" t="n">
        <v>93630.05</v>
      </c>
      <c r="K8" s="203" t="inlineStr">
        <is>
          <t>July</t>
        </is>
      </c>
      <c r="L8" s="367" t="n">
        <v>80901.92999999999</v>
      </c>
    </row>
    <row r="9" ht="28.2" customHeight="1">
      <c r="A9" s="203" t="inlineStr">
        <is>
          <t>October 16 2023 - October 22 2023</t>
        </is>
      </c>
      <c r="B9" s="9" t="n"/>
      <c r="C9" s="367" t="n">
        <v>13591.26</v>
      </c>
      <c r="D9" s="368" t="n"/>
      <c r="E9" s="368" t="n"/>
      <c r="G9" s="203" t="inlineStr">
        <is>
          <t>August</t>
        </is>
      </c>
      <c r="H9" s="367" t="n">
        <v>29200.29</v>
      </c>
      <c r="I9" s="203" t="inlineStr">
        <is>
          <t>August</t>
        </is>
      </c>
      <c r="J9" s="367" t="n">
        <v>89897.42999999999</v>
      </c>
      <c r="K9" s="203" t="inlineStr">
        <is>
          <t>August</t>
        </is>
      </c>
      <c r="L9" s="367" t="n">
        <v>78025.38</v>
      </c>
    </row>
    <row r="10" ht="28.2" customHeight="1">
      <c r="A10" s="203" t="inlineStr">
        <is>
          <t>October 23 2023 - October 29 2023</t>
        </is>
      </c>
      <c r="B10" s="9" t="n"/>
      <c r="C10" s="367" t="n">
        <v>13390.93</v>
      </c>
      <c r="D10" s="368" t="n"/>
      <c r="E10" s="368" t="n"/>
      <c r="G10" s="203" t="inlineStr">
        <is>
          <t>September</t>
        </is>
      </c>
      <c r="H10" s="367" t="n">
        <v>38093.04</v>
      </c>
      <c r="I10" s="203" t="inlineStr">
        <is>
          <t>September</t>
        </is>
      </c>
      <c r="J10" s="367" t="n">
        <v>81288.88</v>
      </c>
      <c r="K10" s="203" t="inlineStr">
        <is>
          <t>September</t>
        </is>
      </c>
      <c r="L10" s="367" t="n">
        <v>65349.57</v>
      </c>
    </row>
    <row r="11" ht="28.2" customHeight="1">
      <c r="A11" s="203" t="inlineStr">
        <is>
          <t>October 30 2023 - November 5 2023</t>
        </is>
      </c>
      <c r="B11" s="9" t="n"/>
      <c r="C11" s="367" t="n">
        <v>14787.15</v>
      </c>
      <c r="D11" s="368" t="n"/>
      <c r="E11" s="368" t="n"/>
      <c r="G11" s="203" t="inlineStr">
        <is>
          <t>October</t>
        </is>
      </c>
      <c r="H11" s="367" t="n">
        <v>43748.26</v>
      </c>
      <c r="I11" s="203" t="inlineStr">
        <is>
          <t>October</t>
        </is>
      </c>
      <c r="J11" s="367" t="n">
        <v>80599.73</v>
      </c>
      <c r="K11" s="203" t="inlineStr">
        <is>
          <t>October</t>
        </is>
      </c>
      <c r="L11" s="367" t="n">
        <v>62182.59</v>
      </c>
    </row>
    <row r="12" ht="28.2" customHeight="1">
      <c r="A12" s="203" t="inlineStr">
        <is>
          <t>November 6 2023 - November 12 2023</t>
        </is>
      </c>
      <c r="B12" s="9" t="n"/>
      <c r="C12" s="367" t="n">
        <v>11788.3</v>
      </c>
      <c r="D12" s="368" t="n"/>
      <c r="E12" s="368" t="n"/>
      <c r="G12" s="203" t="inlineStr">
        <is>
          <t>November</t>
        </is>
      </c>
      <c r="H12" s="367" t="n">
        <v>57688.09</v>
      </c>
      <c r="I12" s="203" t="inlineStr">
        <is>
          <t>November</t>
        </is>
      </c>
      <c r="J12" s="367" t="n">
        <v>47414.18</v>
      </c>
      <c r="K12" s="203" t="inlineStr">
        <is>
          <t>November</t>
        </is>
      </c>
      <c r="L12" s="9" t="n"/>
    </row>
    <row r="13" ht="28.2" customHeight="1">
      <c r="A13" s="203" t="inlineStr">
        <is>
          <t>November 13 2023 - November 19 2023</t>
        </is>
      </c>
      <c r="B13" s="9" t="n"/>
      <c r="C13" s="367" t="n">
        <v>12920.71</v>
      </c>
      <c r="D13" s="368" t="n"/>
      <c r="E13" s="368" t="n"/>
      <c r="G13" s="203" t="inlineStr">
        <is>
          <t>December</t>
        </is>
      </c>
      <c r="H13" s="367" t="n">
        <v>49551.8</v>
      </c>
      <c r="I13" s="203" t="inlineStr">
        <is>
          <t>December</t>
        </is>
      </c>
      <c r="J13" s="367" t="n">
        <v>70946.08</v>
      </c>
      <c r="K13" s="203" t="inlineStr">
        <is>
          <t>December</t>
        </is>
      </c>
      <c r="L13" s="9" t="n"/>
    </row>
    <row r="14" ht="28.2" customHeight="1">
      <c r="A14" s="203" t="inlineStr">
        <is>
          <t>November 20 2023 - November 26 2023</t>
        </is>
      </c>
      <c r="B14" s="9" t="n"/>
      <c r="C14" s="367" t="n">
        <v>15064.65</v>
      </c>
      <c r="D14" s="368" t="n"/>
      <c r="E14" s="368" t="n"/>
    </row>
    <row r="15" ht="28.2" customHeight="1">
      <c r="A15" s="203" t="inlineStr">
        <is>
          <t>November 27 2023 - December 03 2024</t>
        </is>
      </c>
      <c r="B15" s="9" t="n"/>
      <c r="C15" s="367" t="n">
        <v>14390.04</v>
      </c>
      <c r="D15" s="368" t="n"/>
      <c r="E15" s="368" t="n"/>
    </row>
    <row r="16" ht="28.2" customHeight="1">
      <c r="A16" s="203" t="inlineStr">
        <is>
          <t>December 04 2023 - December 10 2024</t>
        </is>
      </c>
      <c r="B16" s="9" t="n"/>
      <c r="C16" s="367" t="n">
        <v>13466.62</v>
      </c>
      <c r="D16" s="368" t="n"/>
      <c r="E16" s="368" t="n"/>
    </row>
    <row r="17" ht="28.2" customHeight="1">
      <c r="A17" s="203" t="inlineStr">
        <is>
          <t>December 11 2023 - December 17 2024</t>
        </is>
      </c>
      <c r="B17" s="9" t="n"/>
      <c r="C17" s="367" t="n">
        <v>14152.59</v>
      </c>
      <c r="D17" s="368" t="n"/>
      <c r="E17" s="368" t="n"/>
    </row>
    <row r="18" ht="28.2" customHeight="1">
      <c r="A18" s="203" t="inlineStr">
        <is>
          <t>December 18 2023 - December 24 2024</t>
        </is>
      </c>
      <c r="B18" s="9" t="n"/>
      <c r="C18" s="367" t="n">
        <v>16836.46</v>
      </c>
      <c r="D18" s="368" t="n"/>
      <c r="E18" s="368" t="n"/>
    </row>
    <row r="19" ht="28.2" customHeight="1">
      <c r="A19" s="203" t="inlineStr">
        <is>
          <t>December 25 2023 - December 31 2024</t>
        </is>
      </c>
      <c r="B19" s="9" t="n"/>
      <c r="C19" s="367" t="n">
        <v>24926.22</v>
      </c>
      <c r="D19" s="368" t="n"/>
      <c r="E19" s="368" t="n"/>
    </row>
    <row r="20">
      <c r="A20" s="203" t="inlineStr">
        <is>
          <t>Jan 1 - Jan 07 2024</t>
        </is>
      </c>
      <c r="B20" s="9" t="n"/>
      <c r="C20" s="367" t="n">
        <v>17046.54</v>
      </c>
      <c r="D20" s="368" t="n"/>
      <c r="E20" s="368" t="n"/>
    </row>
    <row r="21">
      <c r="A21" s="203" t="inlineStr">
        <is>
          <t>Jan 8 - Jan 14 2024</t>
        </is>
      </c>
      <c r="B21" s="9" t="n"/>
      <c r="C21" s="367" t="n">
        <v>11512.96</v>
      </c>
      <c r="D21" s="368" t="n"/>
      <c r="E21" s="368" t="n"/>
    </row>
    <row r="22">
      <c r="A22" s="203" t="inlineStr">
        <is>
          <t>Jan 15 - Jan 21 2024</t>
        </is>
      </c>
      <c r="B22" s="9" t="n"/>
      <c r="C22" s="367" t="n">
        <v>11871.2</v>
      </c>
      <c r="D22" s="368" t="n"/>
      <c r="E22" s="368" t="n"/>
    </row>
    <row r="23">
      <c r="A23" s="203" t="inlineStr">
        <is>
          <t>Jan 22 - Jan 28 2025</t>
        </is>
      </c>
      <c r="B23" s="9" t="n"/>
      <c r="C23" s="367" t="n">
        <v>12831.63</v>
      </c>
      <c r="D23" s="368" t="n"/>
      <c r="E23" s="368" t="n"/>
    </row>
    <row r="24">
      <c r="A24" s="203" t="inlineStr">
        <is>
          <t>Jan 29 - Feb 04 2026</t>
        </is>
      </c>
      <c r="B24" s="9" t="n"/>
      <c r="C24" s="367" t="n">
        <v>12981.55</v>
      </c>
      <c r="D24" s="368" t="n"/>
      <c r="E24" s="368" t="n"/>
    </row>
    <row r="25">
      <c r="A25" s="203" t="inlineStr">
        <is>
          <t>Feb 05 - Feb 11 2026</t>
        </is>
      </c>
      <c r="B25" s="9" t="n"/>
      <c r="C25" s="367" t="n">
        <v>11512.96</v>
      </c>
      <c r="D25" s="368" t="n"/>
      <c r="E25" s="368" t="n"/>
    </row>
    <row r="26">
      <c r="A26" s="203" t="inlineStr">
        <is>
          <t>Feb 12 - Feb 18 2024</t>
        </is>
      </c>
      <c r="B26" s="9" t="n"/>
      <c r="C26" s="367" t="n">
        <v>12688.32</v>
      </c>
      <c r="D26" s="368" t="n"/>
      <c r="E26" s="368" t="n"/>
    </row>
    <row r="27">
      <c r="A27" s="203" t="inlineStr">
        <is>
          <t>Feb 19 - Feb 25 2024</t>
        </is>
      </c>
      <c r="B27" s="9" t="n"/>
      <c r="C27" s="367" t="n">
        <v>15720.1</v>
      </c>
      <c r="D27" s="368" t="n"/>
      <c r="E27" s="368" t="n"/>
    </row>
    <row r="28">
      <c r="A28" s="109" t="inlineStr">
        <is>
          <t>Feb 26 - Mar 03, 2024</t>
        </is>
      </c>
      <c r="B28" s="9" t="n"/>
      <c r="C28" s="367" t="n">
        <v>13511.7</v>
      </c>
      <c r="D28" s="368" t="n"/>
      <c r="E28" s="368" t="n"/>
    </row>
    <row r="29">
      <c r="A29" s="109" t="inlineStr">
        <is>
          <t>Mar 04 - Mar 10, 2024</t>
        </is>
      </c>
      <c r="B29" s="9" t="n"/>
      <c r="C29" s="367" t="n">
        <v>14113.88</v>
      </c>
      <c r="D29" s="368" t="n"/>
      <c r="E29" s="368" t="n"/>
    </row>
    <row r="30">
      <c r="A30" s="109" t="inlineStr">
        <is>
          <t>Mar 11 - Mar 17, 2024</t>
        </is>
      </c>
      <c r="B30" s="9" t="n"/>
      <c r="C30" s="367" t="n">
        <v>8500.049999999999</v>
      </c>
      <c r="D30" s="368" t="n"/>
      <c r="E30" s="368" t="n"/>
    </row>
    <row r="31">
      <c r="A31" s="110" t="inlineStr">
        <is>
          <t>Mar 18 - Mar 25, 2024</t>
        </is>
      </c>
      <c r="B31" s="42" t="n"/>
      <c r="C31" s="370" t="n">
        <v>11957.82</v>
      </c>
      <c r="D31" s="368" t="n"/>
      <c r="E31" s="368" t="n"/>
    </row>
    <row r="32">
      <c r="A32" s="109" t="inlineStr">
        <is>
          <t>Mar 25 - Mar 31, 2024</t>
        </is>
      </c>
      <c r="B32" s="9" t="n"/>
      <c r="C32" s="367" t="n">
        <v>17889.64</v>
      </c>
      <c r="D32" s="368" t="n"/>
      <c r="E32" s="368" t="n"/>
    </row>
    <row r="33">
      <c r="A33" s="203" t="inlineStr">
        <is>
          <t>Apr 1 - Apr 07 2024</t>
        </is>
      </c>
      <c r="B33" s="9" t="n"/>
      <c r="C33" s="367" t="n">
        <v>16746.71</v>
      </c>
      <c r="D33" s="368" t="n"/>
      <c r="E33" s="368" t="n"/>
    </row>
    <row r="34">
      <c r="A34" s="208" t="inlineStr">
        <is>
          <t>Apr 8 - Apr 14 2024</t>
        </is>
      </c>
      <c r="B34" s="42" t="n"/>
      <c r="C34" s="370" t="n">
        <v>22062.15</v>
      </c>
      <c r="D34" s="368" t="n"/>
      <c r="E34" s="368" t="n"/>
    </row>
    <row r="35">
      <c r="A35" s="208" t="inlineStr">
        <is>
          <t>Apr 15 - Apr 21 2024</t>
        </is>
      </c>
      <c r="B35" s="42" t="n"/>
      <c r="C35" s="370" t="n">
        <v>15027.58</v>
      </c>
      <c r="D35" s="368" t="n"/>
      <c r="E35" s="368" t="n"/>
    </row>
    <row r="36">
      <c r="A36" s="203" t="inlineStr">
        <is>
          <t>Apr 22 - Apr 28 2024</t>
        </is>
      </c>
      <c r="B36" s="9" t="n"/>
      <c r="C36" s="367" t="n">
        <v>14801.18</v>
      </c>
      <c r="D36" s="368" t="n"/>
      <c r="E36" s="368" t="n"/>
    </row>
    <row r="37">
      <c r="A37" s="203" t="inlineStr">
        <is>
          <t>Apr 29 - May 5 2024</t>
        </is>
      </c>
      <c r="B37" s="9" t="n"/>
      <c r="C37" s="367" t="n">
        <v>13870.13</v>
      </c>
      <c r="D37" s="368" t="n"/>
      <c r="E37" s="368" t="n"/>
    </row>
    <row r="38">
      <c r="A38" s="208" t="inlineStr">
        <is>
          <t>May 6 - May 12 2024</t>
        </is>
      </c>
      <c r="B38" s="42" t="n"/>
      <c r="C38" s="370" t="n">
        <v>16104.16</v>
      </c>
      <c r="D38" s="368" t="n"/>
      <c r="E38" s="368" t="n"/>
    </row>
    <row r="39">
      <c r="A39" s="208" t="inlineStr">
        <is>
          <t>May 13 - May 19 2024</t>
        </is>
      </c>
      <c r="B39" s="42" t="n"/>
      <c r="C39" s="370" t="n">
        <v>14314.24</v>
      </c>
      <c r="D39" s="368" t="n"/>
      <c r="E39" s="368" t="n"/>
    </row>
    <row r="40">
      <c r="A40" s="208" t="inlineStr">
        <is>
          <t>May 20 - May 26 2024</t>
        </is>
      </c>
      <c r="B40" s="42" t="n"/>
      <c r="C40" s="370" t="n">
        <v>14920.1</v>
      </c>
      <c r="D40" s="368" t="n"/>
      <c r="E40" s="368" t="n"/>
    </row>
    <row r="41">
      <c r="A41" s="208" t="inlineStr">
        <is>
          <t>May 27 - Jun 02 2024</t>
        </is>
      </c>
      <c r="B41" s="42" t="n"/>
      <c r="C41" s="370" t="n">
        <v>13778.91</v>
      </c>
      <c r="D41" s="368" t="n"/>
      <c r="E41" s="368" t="n"/>
    </row>
    <row r="42">
      <c r="A42" s="203" t="inlineStr">
        <is>
          <t>Jun 03 - Jun 09 2024</t>
        </is>
      </c>
      <c r="B42" s="9" t="n"/>
      <c r="C42" s="367" t="n">
        <v>13416.84</v>
      </c>
      <c r="D42" s="368" t="n"/>
      <c r="E42" s="368" t="n"/>
    </row>
    <row r="43">
      <c r="A43" s="203" t="inlineStr">
        <is>
          <t>Jun 10 - Jun 16 2024</t>
        </is>
      </c>
      <c r="B43" s="9" t="n"/>
      <c r="C43" s="367" t="n">
        <v>16752.64</v>
      </c>
      <c r="D43" s="368" t="n"/>
      <c r="E43" s="368" t="n"/>
    </row>
    <row r="44">
      <c r="A44" s="208" t="inlineStr">
        <is>
          <t>Jun 17 - Jun 23 2024</t>
        </is>
      </c>
      <c r="B44" s="42" t="n"/>
      <c r="C44" s="370" t="n">
        <v>20072.23</v>
      </c>
      <c r="D44" s="368" t="n"/>
      <c r="E44" s="368" t="n"/>
    </row>
    <row r="45">
      <c r="A45" s="208" t="inlineStr">
        <is>
          <t>Jun 24 - Jun 30 2024</t>
        </is>
      </c>
      <c r="B45" s="42" t="n"/>
      <c r="C45" s="370" t="n">
        <v>17528.61</v>
      </c>
      <c r="D45" s="368" t="n"/>
      <c r="E45" s="368" t="n"/>
    </row>
    <row r="46">
      <c r="A46" s="203" t="inlineStr">
        <is>
          <t>Jul 1 - Jul 7 2024</t>
        </is>
      </c>
      <c r="B46" s="9" t="n"/>
      <c r="C46" s="367" t="n">
        <v>18196.21</v>
      </c>
      <c r="D46" s="368" t="n"/>
      <c r="E46" s="368" t="n"/>
    </row>
    <row r="47">
      <c r="A47" s="208" t="inlineStr">
        <is>
          <t>Jul 8 - Jul 14 2024</t>
        </is>
      </c>
      <c r="B47" s="42" t="n"/>
      <c r="C47" s="370" t="n">
        <v>16941</v>
      </c>
      <c r="D47" s="368" t="n"/>
      <c r="E47" s="368" t="n"/>
    </row>
    <row r="48">
      <c r="A48" s="203" t="inlineStr">
        <is>
          <t>Jul 15 - Jul 21 2024</t>
        </is>
      </c>
      <c r="B48" s="9" t="n"/>
      <c r="C48" s="367" t="n">
        <v>15191.65</v>
      </c>
      <c r="D48" s="368" t="n"/>
      <c r="E48" s="368" t="n"/>
    </row>
    <row r="49">
      <c r="A49" s="203" t="inlineStr">
        <is>
          <t>Jul 22 - Jul 28 2024</t>
        </is>
      </c>
      <c r="B49" s="9" t="n"/>
      <c r="C49" s="371" t="n">
        <v>15433.77</v>
      </c>
      <c r="D49" s="372" t="n"/>
      <c r="E49" s="372" t="n"/>
    </row>
    <row r="50">
      <c r="A50" s="203" t="inlineStr">
        <is>
          <t>Jul 29 - Aug 04 2024</t>
        </is>
      </c>
      <c r="B50" s="9" t="n"/>
      <c r="C50" s="367" t="n">
        <v>15961.05</v>
      </c>
      <c r="D50" s="368" t="n"/>
      <c r="E50" s="368" t="n"/>
    </row>
    <row r="51">
      <c r="A51" s="203" t="inlineStr">
        <is>
          <t>Aug 05 - Aug 11 2024</t>
        </is>
      </c>
      <c r="B51" s="9" t="n"/>
      <c r="C51" s="367" t="n">
        <v>20036.13</v>
      </c>
      <c r="D51" s="368" t="n"/>
      <c r="E51" s="368" t="n"/>
    </row>
    <row r="52">
      <c r="A52" s="203" t="inlineStr">
        <is>
          <t>Aug 12 - Aug 18 2024</t>
        </is>
      </c>
      <c r="B52" s="9" t="n"/>
      <c r="C52" s="367" t="n">
        <v>14758.8</v>
      </c>
      <c r="D52" s="368" t="n"/>
      <c r="E52" s="368" t="n"/>
    </row>
    <row r="53">
      <c r="A53" s="208" t="inlineStr">
        <is>
          <t>Aug 19 - Aug 25 2024</t>
        </is>
      </c>
      <c r="B53" s="42" t="n"/>
      <c r="C53" s="370" t="n">
        <v>14241.44</v>
      </c>
      <c r="D53" s="368" t="n"/>
      <c r="E53" s="368" t="n"/>
    </row>
    <row r="54">
      <c r="A54" s="208" t="inlineStr">
        <is>
          <t>Aug 26 - Sep 01 2024</t>
        </is>
      </c>
      <c r="B54" s="42" t="n"/>
      <c r="C54" s="370" t="n">
        <v>17629.74</v>
      </c>
      <c r="D54" s="368" t="n"/>
      <c r="E54" s="368" t="n"/>
    </row>
    <row r="55">
      <c r="A55" s="203" t="inlineStr">
        <is>
          <t>Sep 02 - Sep 08 2024</t>
        </is>
      </c>
      <c r="B55" s="56" t="n"/>
      <c r="C55" s="367" t="n">
        <v>12852.33</v>
      </c>
      <c r="D55" s="368" t="n"/>
      <c r="E55" s="368" t="n"/>
    </row>
    <row r="56">
      <c r="A56" s="203" t="inlineStr">
        <is>
          <t>Sep 09 - Sep 15 2024</t>
        </is>
      </c>
      <c r="B56" s="56" t="n"/>
      <c r="C56" s="367" t="n">
        <v>13844.53</v>
      </c>
      <c r="D56" s="368" t="n"/>
      <c r="E56" s="368" t="n"/>
    </row>
    <row r="57">
      <c r="A57" s="203" t="inlineStr">
        <is>
          <t>Sep 16 - Sep 22 2024</t>
        </is>
      </c>
      <c r="B57" s="56" t="n"/>
      <c r="C57" s="367" t="n">
        <v>13987.44</v>
      </c>
      <c r="D57" s="368" t="n"/>
      <c r="E57" s="368" t="n"/>
    </row>
    <row r="58">
      <c r="A58" s="203" t="inlineStr">
        <is>
          <t>Sep 23 - Sep 29 2024</t>
        </is>
      </c>
      <c r="B58" s="56" t="n"/>
      <c r="C58" s="367" t="n">
        <v>11481</v>
      </c>
      <c r="D58" s="368" t="n"/>
      <c r="E58" s="368" t="n"/>
    </row>
    <row r="59">
      <c r="A59" s="203" t="inlineStr">
        <is>
          <t>Sep 30 - Oct 06 2024</t>
        </is>
      </c>
      <c r="B59" s="56" t="n"/>
      <c r="C59" s="373" t="n">
        <v>13260.86</v>
      </c>
      <c r="D59" s="374" t="n"/>
      <c r="E59" s="374" t="n"/>
    </row>
    <row r="60">
      <c r="A60" s="203" t="inlineStr">
        <is>
          <t>Oct 07 - Oct 13 2024</t>
        </is>
      </c>
      <c r="B60" s="56" t="n"/>
      <c r="C60" s="373" t="n">
        <v>14522.57</v>
      </c>
      <c r="D60" s="374" t="n"/>
      <c r="E60" s="374" t="n"/>
    </row>
    <row r="61">
      <c r="A61" s="203" t="inlineStr">
        <is>
          <t>Oct 14 - Oct 20 2024</t>
        </is>
      </c>
      <c r="B61" s="56" t="n"/>
      <c r="C61" s="373" t="n">
        <v>14787.3</v>
      </c>
      <c r="D61" s="374" t="n"/>
      <c r="E61" s="374" t="n"/>
    </row>
    <row r="62">
      <c r="A62" s="203" t="inlineStr">
        <is>
          <t>Oct 21 - Oct 27 2024</t>
        </is>
      </c>
      <c r="B62" s="56" t="n"/>
      <c r="C62" s="373" t="n">
        <v>13121.06</v>
      </c>
      <c r="D62" s="374" t="n"/>
      <c r="E62" s="374" t="n"/>
    </row>
    <row r="63" ht="15" customHeight="1" thickBot="1">
      <c r="A63" s="203" t="inlineStr">
        <is>
          <t>Oct 28 - Nov 03 2024</t>
        </is>
      </c>
      <c r="B63" s="56" t="n"/>
      <c r="C63" s="373" t="n">
        <v>14753.39</v>
      </c>
      <c r="D63" s="374" t="n"/>
      <c r="E63" s="374" t="n"/>
    </row>
    <row r="64" ht="18" customHeight="1" thickBot="1">
      <c r="A64" s="203" t="inlineStr">
        <is>
          <t>Nov 4 - Nov 10 2024</t>
        </is>
      </c>
      <c r="B64" s="56" t="n"/>
      <c r="C64" s="373" t="n">
        <v>12431.17</v>
      </c>
      <c r="D64" s="374" t="n"/>
      <c r="E64" s="374" t="n"/>
      <c r="F64" s="375" t="n"/>
      <c r="G64" s="211" t="n"/>
      <c r="H64" s="376" t="n"/>
    </row>
    <row r="65" ht="17.4" customHeight="1">
      <c r="A65" s="208" t="inlineStr">
        <is>
          <t>Nov 11 - Nov 17 2024</t>
        </is>
      </c>
      <c r="B65" s="55" t="n"/>
      <c r="C65" s="377" t="n">
        <v>12433.63</v>
      </c>
      <c r="D65" s="374" t="n"/>
      <c r="E65" s="374" t="n"/>
      <c r="F65" s="378" t="n"/>
      <c r="G65" s="214" t="n"/>
      <c r="H65" s="379" t="n"/>
    </row>
    <row r="66">
      <c r="A66" s="208" t="inlineStr">
        <is>
          <t>Nov 18 - Nov 24 2024</t>
        </is>
      </c>
      <c r="B66" s="55" t="n"/>
      <c r="C66" s="377" t="n">
        <v>11890.27</v>
      </c>
      <c r="D66" s="377" t="n"/>
      <c r="E66" s="377" t="n"/>
      <c r="F66" s="380" t="n"/>
      <c r="G66" s="217" t="n"/>
      <c r="H66" s="381" t="n"/>
      <c r="I66" s="55" t="n"/>
      <c r="J66" s="55" t="n"/>
    </row>
    <row r="67">
      <c r="A67" s="203" t="inlineStr">
        <is>
          <t>Nov 25 - Dec 01 2024</t>
        </is>
      </c>
      <c r="B67" s="56" t="n"/>
      <c r="C67" s="373" t="n">
        <v>14674.88</v>
      </c>
      <c r="D67" s="373" t="n"/>
      <c r="E67" s="373" t="n"/>
      <c r="F67" s="382" t="inlineStr">
        <is>
          <t>In-Store</t>
        </is>
      </c>
      <c r="G67" s="56" t="inlineStr">
        <is>
          <t>Skip</t>
        </is>
      </c>
      <c r="H67" s="56" t="inlineStr">
        <is>
          <t>DD</t>
        </is>
      </c>
      <c r="I67" s="56" t="inlineStr">
        <is>
          <t>Uber (TB)</t>
        </is>
      </c>
      <c r="J67" s="56" t="inlineStr">
        <is>
          <t>Uber Website</t>
        </is>
      </c>
      <c r="K67" s="56" t="n"/>
      <c r="L67" s="56" t="n"/>
      <c r="M67" s="56" t="n"/>
    </row>
    <row r="68">
      <c r="A68" s="203" t="inlineStr">
        <is>
          <t>Dec 02 - Dec 08 2024</t>
        </is>
      </c>
      <c r="B68" s="56" t="n"/>
      <c r="C68" s="373" t="n">
        <v>13074.02</v>
      </c>
      <c r="D68" s="373" t="n"/>
      <c r="E68" s="373" t="n"/>
      <c r="F68" s="382" t="n"/>
      <c r="G68" s="56" t="n"/>
      <c r="H68" s="56" t="n"/>
      <c r="I68" s="56" t="n"/>
      <c r="J68" s="56" t="n"/>
      <c r="K68" s="56" t="n"/>
      <c r="L68" s="56" t="n"/>
      <c r="M68" s="56" t="n"/>
    </row>
    <row r="69">
      <c r="A69" s="203" t="inlineStr">
        <is>
          <t>Dec 09 - Dec 15 2024</t>
        </is>
      </c>
      <c r="B69" s="56" t="n"/>
      <c r="C69" s="373" t="n">
        <v>13673.26</v>
      </c>
      <c r="D69" s="373" t="n"/>
      <c r="E69" s="373" t="n"/>
      <c r="F69" s="382" t="n"/>
      <c r="G69" s="56" t="n"/>
      <c r="H69" s="56" t="n"/>
      <c r="I69" s="56" t="n"/>
      <c r="J69" s="56" t="n"/>
      <c r="K69" s="56" t="n"/>
      <c r="L69" s="56" t="n"/>
      <c r="M69" s="373">
        <f>SUM(M70:M71)</f>
        <v/>
      </c>
    </row>
    <row r="70">
      <c r="A70" s="203" t="inlineStr">
        <is>
          <t>Dec 16 - Dec 22 2024</t>
        </is>
      </c>
      <c r="B70" s="56" t="n"/>
      <c r="C70" s="373" t="n">
        <v>14020.88</v>
      </c>
      <c r="D70" s="373" t="n"/>
      <c r="E70" s="373" t="n"/>
      <c r="F70" s="382" t="n"/>
      <c r="G70" s="56" t="n"/>
      <c r="H70" s="56" t="n"/>
      <c r="I70" s="56" t="n"/>
      <c r="J70" s="56" t="n"/>
      <c r="K70" s="383" t="n">
        <v>3682.96</v>
      </c>
      <c r="L70" s="384" t="n">
        <v>1516.54</v>
      </c>
      <c r="M70" s="373">
        <f>K70-L70</f>
        <v/>
      </c>
    </row>
    <row r="71">
      <c r="A71" s="203" t="inlineStr">
        <is>
          <t>Dec 23 - Dec 29 2024</t>
        </is>
      </c>
      <c r="B71" s="56" t="n"/>
      <c r="C71" s="373" t="n">
        <v>22334.02</v>
      </c>
      <c r="D71" s="373" t="n"/>
      <c r="E71" s="373" t="n"/>
      <c r="F71" s="382">
        <f>SUM(C71-(I71+G71+H71))</f>
        <v/>
      </c>
      <c r="G71" s="373" t="n">
        <v>167.98</v>
      </c>
      <c r="H71" s="373" t="n">
        <v>72.54000000000001</v>
      </c>
      <c r="I71" s="373" t="n">
        <v>4235.17</v>
      </c>
      <c r="J71" s="56" t="n"/>
      <c r="K71" s="384" t="n">
        <v>756.52</v>
      </c>
      <c r="L71" s="383" t="n">
        <v>281.32</v>
      </c>
      <c r="M71" s="373">
        <f>K71-L71</f>
        <v/>
      </c>
    </row>
    <row r="72">
      <c r="A72" s="203" t="inlineStr">
        <is>
          <t>Dec 30 - Jan 05 2025</t>
        </is>
      </c>
      <c r="B72" s="56" t="n"/>
      <c r="C72" s="373" t="n">
        <v>18755.59</v>
      </c>
      <c r="D72" s="373" t="n"/>
      <c r="E72" s="373" t="n"/>
      <c r="F72" s="382">
        <f>SUM(C72-(I72+G72+H72))</f>
        <v/>
      </c>
      <c r="G72" s="373" t="n">
        <v>64.78</v>
      </c>
      <c r="H72" s="373" t="n">
        <v>7.2</v>
      </c>
      <c r="I72" s="373" t="n">
        <v>3842.1</v>
      </c>
      <c r="J72" s="56" t="n"/>
      <c r="K72" s="56" t="n"/>
      <c r="L72" s="56" t="n"/>
      <c r="M72" s="56" t="n"/>
    </row>
    <row r="73">
      <c r="A73" s="203" t="inlineStr">
        <is>
          <t>Jan 06 - Jan 12 2025</t>
        </is>
      </c>
      <c r="B73" s="56" t="n"/>
      <c r="C73" s="373" t="n">
        <v>13898.98</v>
      </c>
      <c r="D73" s="373" t="n"/>
      <c r="E73" s="373" t="n"/>
      <c r="F73" s="382" t="inlineStr">
        <is>
          <t>In-Store</t>
        </is>
      </c>
      <c r="G73" s="56" t="inlineStr">
        <is>
          <t>Skip</t>
        </is>
      </c>
      <c r="H73" s="56" t="inlineStr">
        <is>
          <t>DD</t>
        </is>
      </c>
      <c r="I73" s="56" t="inlineStr">
        <is>
          <t>Uber (TB)</t>
        </is>
      </c>
      <c r="J73" s="56" t="inlineStr">
        <is>
          <t>Uber Website</t>
        </is>
      </c>
      <c r="K73" s="56" t="n"/>
      <c r="L73" s="56" t="inlineStr">
        <is>
          <t>Highway Uber</t>
        </is>
      </c>
      <c r="M73" s="56" t="inlineStr">
        <is>
          <t>Pizza Highway Uber</t>
        </is>
      </c>
    </row>
    <row r="74">
      <c r="A74" s="203" t="inlineStr">
        <is>
          <t>Jan 13 - Jan 19 2025</t>
        </is>
      </c>
      <c r="B74" s="56" t="n"/>
      <c r="C74" s="373" t="n">
        <v>14787.59</v>
      </c>
      <c r="D74" s="373" t="n"/>
      <c r="E74" s="373" t="n"/>
      <c r="F74" s="382" t="n">
        <v>12005.1</v>
      </c>
      <c r="G74" s="373" t="n">
        <v>79.13</v>
      </c>
      <c r="H74" s="373" t="n">
        <v>61.74</v>
      </c>
      <c r="I74" s="373" t="n">
        <v>4393.88</v>
      </c>
      <c r="J74" s="56" t="n">
        <v>2641.62</v>
      </c>
      <c r="K74" s="373">
        <f>SUM(F74,G74,H74,J74)</f>
        <v/>
      </c>
      <c r="L74" s="56" t="n"/>
      <c r="M74" s="56" t="n"/>
    </row>
    <row r="75">
      <c r="A75" s="203" t="inlineStr">
        <is>
          <t>Jan 20 - Jan 26 2025</t>
        </is>
      </c>
      <c r="B75" s="56" t="n"/>
      <c r="C75" s="56" t="n">
        <v>13933.15</v>
      </c>
      <c r="D75" s="56" t="n"/>
      <c r="E75" s="56" t="n"/>
      <c r="F75" s="382" t="n">
        <v>10361.99</v>
      </c>
      <c r="G75" s="373" t="n">
        <v>184.76</v>
      </c>
      <c r="H75" s="373" t="n">
        <v>137.97</v>
      </c>
      <c r="I75" s="373" t="n">
        <v>4864.51</v>
      </c>
      <c r="J75" s="56">
        <f>SUM(L75:M75)</f>
        <v/>
      </c>
      <c r="K75" s="373">
        <f>SUM(F75,G75,H75,J75)</f>
        <v/>
      </c>
      <c r="L75" s="56" t="n">
        <v>805.91</v>
      </c>
      <c r="M75" s="141" t="n">
        <v>2442.52</v>
      </c>
    </row>
    <row r="76">
      <c r="A76" s="203" t="inlineStr">
        <is>
          <t>Jan 27 - Feb 02 2025</t>
        </is>
      </c>
      <c r="B76" s="56" t="n"/>
      <c r="C76" s="141" t="n">
        <v>13637.18</v>
      </c>
      <c r="D76" s="141" t="n"/>
      <c r="E76" s="141" t="n"/>
      <c r="F76" s="382" t="n">
        <v>10759.87</v>
      </c>
      <c r="G76" s="56" t="n">
        <v>0</v>
      </c>
      <c r="H76" s="56" t="n">
        <v>84</v>
      </c>
      <c r="I76" s="141" t="n">
        <v>2793.31</v>
      </c>
      <c r="J76" s="56">
        <f>SUM(L76:M76)</f>
        <v/>
      </c>
      <c r="K76" s="373">
        <f>SUM(F76,G76,H76,J76)</f>
        <v/>
      </c>
      <c r="L76" s="56" t="n">
        <v>787.96</v>
      </c>
      <c r="M76" s="56" t="n">
        <v>2505.29</v>
      </c>
    </row>
    <row r="77">
      <c r="A77" s="208" t="inlineStr">
        <is>
          <t>Feb 03 - Feb 09 2025</t>
        </is>
      </c>
      <c r="B77" s="55" t="n"/>
      <c r="C77" s="377" t="n">
        <v>11683.72</v>
      </c>
      <c r="D77" s="377" t="n"/>
      <c r="E77" s="377" t="n"/>
      <c r="F77" s="385" t="n">
        <v>9636.07</v>
      </c>
      <c r="G77" s="377" t="n">
        <v>155.86</v>
      </c>
      <c r="H77" s="377" t="n">
        <v>19.17</v>
      </c>
      <c r="I77" s="377" t="n">
        <v>2050.41</v>
      </c>
      <c r="J77" s="55">
        <f>SUM(L77:M77)</f>
        <v/>
      </c>
      <c r="K77" s="377">
        <f>SUM(F77,G77,H77,J77)</f>
        <v/>
      </c>
      <c r="L77" s="55" t="n">
        <v>196.93</v>
      </c>
      <c r="M77" s="55" t="n">
        <v>1675.69</v>
      </c>
    </row>
    <row r="78">
      <c r="A78" s="203" t="inlineStr">
        <is>
          <t>Feb 10 - Feb 16 2025</t>
        </is>
      </c>
      <c r="B78" s="56" t="n"/>
      <c r="C78" s="373" t="n">
        <v>12823.09</v>
      </c>
      <c r="D78" s="373" t="n"/>
      <c r="E78" s="373" t="n"/>
      <c r="F78" s="382" t="n">
        <v>10552.83</v>
      </c>
      <c r="G78" s="373" t="n">
        <v>103.06</v>
      </c>
      <c r="H78" s="373" t="n">
        <v>34.5</v>
      </c>
      <c r="I78" s="373" t="n">
        <v>2570.83</v>
      </c>
      <c r="J78" s="56">
        <f>SUM(L78:M78)</f>
        <v/>
      </c>
      <c r="K78" s="373">
        <f>SUM(F78,G78,H78,J78)</f>
        <v/>
      </c>
      <c r="L78" s="148" t="n">
        <v>932.29</v>
      </c>
      <c r="M78" s="148" t="n">
        <v>1200.41</v>
      </c>
      <c r="N78" s="56" t="n"/>
      <c r="O78" s="56" t="n"/>
    </row>
    <row r="79">
      <c r="A79" s="203" t="inlineStr">
        <is>
          <t>Feb 17 - Feb 23 2025</t>
        </is>
      </c>
      <c r="B79" s="56" t="n"/>
      <c r="C79" s="373" t="n">
        <v>13647.35</v>
      </c>
      <c r="D79" s="373" t="n"/>
      <c r="E79" s="373" t="n"/>
      <c r="F79" s="382" t="n">
        <v>11974.8</v>
      </c>
      <c r="G79" s="373" t="n">
        <v>157.5</v>
      </c>
      <c r="H79" s="373" t="n">
        <v>41.68</v>
      </c>
      <c r="I79" s="373" t="n">
        <v>1670.92</v>
      </c>
      <c r="J79" s="56">
        <f>SUM(L79:M79)</f>
        <v/>
      </c>
      <c r="K79" s="373">
        <f>SUM(F79,G79,H79,J79)</f>
        <v/>
      </c>
      <c r="L79" s="56" t="n">
        <v>483.5000000000001</v>
      </c>
      <c r="M79" s="56" t="n">
        <v>989.8700000000001</v>
      </c>
      <c r="N79" s="56" t="n"/>
      <c r="O79" s="56" t="n"/>
    </row>
    <row r="80">
      <c r="A80" s="203" t="inlineStr">
        <is>
          <t>Feb 24 - Mar 02 2025</t>
        </is>
      </c>
      <c r="B80" s="56" t="n"/>
      <c r="C80" s="373" t="n">
        <v>11761.23</v>
      </c>
      <c r="D80" s="373" t="n"/>
      <c r="E80" s="373" t="n"/>
      <c r="F80" s="382" t="n">
        <v>10244.94</v>
      </c>
      <c r="G80" s="373" t="n">
        <v>185.6</v>
      </c>
      <c r="H80" s="205" t="n">
        <v>0</v>
      </c>
      <c r="I80" s="373" t="n">
        <v>1589.93</v>
      </c>
      <c r="J80" s="56">
        <f>SUM(L80:M80)</f>
        <v/>
      </c>
      <c r="K80" s="373">
        <f>SUM(F80,G80,H80,J80)</f>
        <v/>
      </c>
      <c r="L80" s="56" t="n">
        <v>247.92</v>
      </c>
      <c r="M80" s="56" t="n">
        <v>1082.77</v>
      </c>
      <c r="N80" s="56" t="n"/>
      <c r="O80" s="56" t="n"/>
    </row>
    <row r="81" ht="28.2" customFormat="1" customHeight="1" s="176">
      <c r="A81" s="203" t="n"/>
      <c r="B81" s="205" t="n"/>
      <c r="C81" s="386" t="n"/>
      <c r="D81" s="386" t="inlineStr">
        <is>
          <t>Bill Count</t>
        </is>
      </c>
      <c r="E81" s="387" t="inlineStr">
        <is>
          <t>TB Total</t>
        </is>
      </c>
      <c r="F81" s="388" t="inlineStr">
        <is>
          <t>In-Store</t>
        </is>
      </c>
      <c r="G81" s="356" t="inlineStr">
        <is>
          <t>Skip</t>
        </is>
      </c>
      <c r="H81" s="356" t="inlineStr">
        <is>
          <t>DD</t>
        </is>
      </c>
      <c r="I81" s="356" t="inlineStr">
        <is>
          <t>Uber (TB)</t>
        </is>
      </c>
      <c r="J81" s="356" t="inlineStr">
        <is>
          <t>PK Uber (Rev)</t>
        </is>
      </c>
      <c r="K81" s="356" t="inlineStr">
        <is>
          <t>PK Uber (Marketing)</t>
        </is>
      </c>
      <c r="L81" s="356" t="inlineStr">
        <is>
          <t>Karahi Uber (Rev)</t>
        </is>
      </c>
      <c r="M81" s="356" t="inlineStr">
        <is>
          <t>Karahi Uber (Marketing)</t>
        </is>
      </c>
      <c r="N81" s="356" t="inlineStr">
        <is>
          <t>Final Uber</t>
        </is>
      </c>
      <c r="O81" s="356" t="inlineStr">
        <is>
          <t>Total</t>
        </is>
      </c>
    </row>
    <row r="82">
      <c r="A82" s="203" t="inlineStr">
        <is>
          <t>Mar 03 - Mar 09 2025</t>
        </is>
      </c>
      <c r="B82" s="56" t="n"/>
      <c r="C82" s="373" t="n">
        <v>14891.97</v>
      </c>
      <c r="D82" s="373" t="n"/>
      <c r="E82" s="373" t="n"/>
      <c r="F82" s="382" t="n">
        <v>13909.7</v>
      </c>
      <c r="G82" s="373" t="n">
        <v>69.40000000000001</v>
      </c>
      <c r="H82" s="205" t="n">
        <v>0</v>
      </c>
      <c r="I82" s="373" t="n">
        <v>942.99</v>
      </c>
      <c r="J82" s="383" t="n">
        <v>746.27</v>
      </c>
      <c r="K82" s="383" t="n">
        <v>116.25</v>
      </c>
      <c r="L82" s="383" t="n">
        <v>462.85</v>
      </c>
      <c r="M82" s="148" t="n">
        <v>180</v>
      </c>
      <c r="N82" s="373">
        <f>(J82-K82)+(L82-M82)</f>
        <v/>
      </c>
      <c r="O82" s="373">
        <f>SUM(F82,G82,H82,N82)</f>
        <v/>
      </c>
    </row>
    <row r="83">
      <c r="A83" s="203" t="inlineStr">
        <is>
          <t>Mar 10 - Mar 16 2025</t>
        </is>
      </c>
      <c r="B83" s="56" t="n"/>
      <c r="C83" s="373" t="n">
        <v>13562.67</v>
      </c>
      <c r="D83" s="373" t="n"/>
      <c r="E83" s="373" t="n"/>
      <c r="F83" s="382" t="n">
        <v>12075.21</v>
      </c>
      <c r="G83" s="373" t="n">
        <v>112.79</v>
      </c>
      <c r="H83" s="205" t="n">
        <v>0</v>
      </c>
      <c r="I83" s="373" t="n">
        <v>1429.54</v>
      </c>
      <c r="J83" s="384" t="n">
        <v>1010.63</v>
      </c>
      <c r="K83" s="383" t="n">
        <v>203.4</v>
      </c>
      <c r="L83" s="384" t="n">
        <v>872.05</v>
      </c>
      <c r="M83" s="384" t="n">
        <v>304.61</v>
      </c>
      <c r="N83" s="373">
        <f>(J83-K83)+(L83-M83)</f>
        <v/>
      </c>
      <c r="O83" s="373">
        <f>SUM(F83,G83,H83,N83)</f>
        <v/>
      </c>
    </row>
    <row r="84">
      <c r="A84" s="203" t="inlineStr">
        <is>
          <t>Mar 17 - Mar 23 2025</t>
        </is>
      </c>
      <c r="B84" s="56" t="n"/>
      <c r="C84" s="373" t="n">
        <v>15565.08</v>
      </c>
      <c r="D84" s="373" t="n"/>
      <c r="E84" s="373" t="n"/>
      <c r="F84" s="382" t="n">
        <v>13916.46</v>
      </c>
      <c r="G84" s="373" t="n">
        <v>32.4</v>
      </c>
      <c r="H84" s="205" t="n">
        <v>0</v>
      </c>
      <c r="I84" s="373" t="n">
        <v>1907.03</v>
      </c>
      <c r="J84" s="383" t="n">
        <v>1428.04</v>
      </c>
      <c r="K84" s="383" t="n">
        <v>290.02</v>
      </c>
      <c r="L84" s="384" t="n">
        <v>725.13</v>
      </c>
      <c r="M84" s="373" t="n">
        <v>246.93</v>
      </c>
      <c r="N84" s="373">
        <f>(J84-K84)+(L84-M84)</f>
        <v/>
      </c>
      <c r="O84" s="373">
        <f>SUM(F84,G84,H84,N84)</f>
        <v/>
      </c>
    </row>
    <row r="85">
      <c r="A85" s="382" t="inlineStr">
        <is>
          <t>Mar 24 - Mar 30 2025</t>
        </is>
      </c>
      <c r="B85" s="56" t="n"/>
      <c r="C85" s="373" t="n">
        <v>23113.63</v>
      </c>
      <c r="D85" s="373" t="n"/>
      <c r="E85" s="373" t="n"/>
      <c r="F85" s="373" t="n">
        <v>20852.28</v>
      </c>
      <c r="G85" s="373" t="n">
        <v>38.4</v>
      </c>
      <c r="H85" s="205" t="n">
        <v>0</v>
      </c>
      <c r="I85" s="373" t="n">
        <v>1816.28</v>
      </c>
      <c r="J85" s="384" t="n">
        <v>1365.85</v>
      </c>
      <c r="K85" s="383" t="n">
        <v>146.38</v>
      </c>
      <c r="L85" s="384" t="n">
        <v>1467.88</v>
      </c>
      <c r="M85" s="383" t="n">
        <v>464.4</v>
      </c>
      <c r="N85" s="373">
        <f>(J85-K85)+(L85-M85)</f>
        <v/>
      </c>
      <c r="O85" s="373">
        <f>SUM(F85,G85,H85,N85)</f>
        <v/>
      </c>
    </row>
    <row r="86">
      <c r="A86" s="382" t="inlineStr">
        <is>
          <t>Mar 31 - Apr 6 2025</t>
        </is>
      </c>
      <c r="B86" s="56" t="n"/>
      <c r="C86" s="373" t="n">
        <v>15364.57</v>
      </c>
      <c r="D86" s="373" t="n"/>
      <c r="E86" s="373" t="n"/>
      <c r="F86" s="373" t="n">
        <v>13068.64</v>
      </c>
      <c r="G86" s="373" t="n">
        <v>142.59</v>
      </c>
      <c r="H86" s="373" t="n">
        <v>88.2</v>
      </c>
      <c r="I86" s="373" t="n">
        <v>1829.78</v>
      </c>
      <c r="J86" s="384" t="n">
        <v>1144.71</v>
      </c>
      <c r="K86" s="383" t="n">
        <v>4.22</v>
      </c>
      <c r="L86" s="384" t="n">
        <v>1263.05</v>
      </c>
      <c r="M86" s="383" t="n">
        <v>338.4</v>
      </c>
      <c r="N86" s="373">
        <f>(J86-K86)+(L86-M86)</f>
        <v/>
      </c>
      <c r="O86" s="373">
        <f>SUM(F86,G86,H86,N86)</f>
        <v/>
      </c>
    </row>
    <row r="87">
      <c r="A87" s="382" t="inlineStr">
        <is>
          <t>Apr 7 - Apr 13 2025</t>
        </is>
      </c>
      <c r="B87" s="56" t="n"/>
      <c r="C87" s="373" t="n">
        <v>12478.91</v>
      </c>
      <c r="D87" s="373" t="n"/>
      <c r="E87" s="373" t="n"/>
      <c r="F87" s="373" t="n">
        <v>11465.82</v>
      </c>
      <c r="G87" s="389" t="n">
        <v>80.40000000000001</v>
      </c>
      <c r="H87" s="205" t="n">
        <v>0</v>
      </c>
      <c r="I87" s="389" t="n">
        <v>868.86</v>
      </c>
      <c r="J87" s="390" t="n">
        <v>784.4299999999999</v>
      </c>
      <c r="K87" s="383" t="n">
        <v>52.22</v>
      </c>
      <c r="L87" s="390" t="n">
        <v>300.48</v>
      </c>
      <c r="M87" s="383" t="n">
        <v>100</v>
      </c>
      <c r="N87" s="373">
        <f>(J87-K87)+(L87-M87)</f>
        <v/>
      </c>
      <c r="O87" s="373">
        <f>SUM(F87,G87,H87,N87)</f>
        <v/>
      </c>
    </row>
    <row r="88">
      <c r="A88" s="382" t="inlineStr">
        <is>
          <t>Apr 14 - Apr 20 2025</t>
        </is>
      </c>
      <c r="B88" s="56" t="n"/>
      <c r="C88" s="373" t="n">
        <v>16230.17</v>
      </c>
      <c r="D88" s="373" t="n"/>
      <c r="E88" s="373" t="n"/>
      <c r="F88" s="389" t="n">
        <v>14342.29</v>
      </c>
      <c r="G88" s="389" t="n">
        <v>67.2</v>
      </c>
      <c r="H88" s="56" t="n">
        <v>0</v>
      </c>
      <c r="I88" s="389" t="n">
        <v>1781.2</v>
      </c>
      <c r="J88" s="390" t="n">
        <v>1338.01</v>
      </c>
      <c r="K88" s="383" t="n">
        <v>88.67</v>
      </c>
      <c r="L88" s="390" t="n">
        <v>801.42</v>
      </c>
      <c r="M88" s="383" t="n">
        <v>230.08</v>
      </c>
      <c r="N88" s="373">
        <f>(J88-K88)+(L88-M88)</f>
        <v/>
      </c>
      <c r="O88" s="373">
        <f>SUM(F88,G88,H88,N88)</f>
        <v/>
      </c>
    </row>
    <row r="89">
      <c r="A89" s="382" t="inlineStr">
        <is>
          <t>Apr 21 - Apr 27 2025</t>
        </is>
      </c>
      <c r="B89" s="56" t="n"/>
      <c r="C89" s="391" t="n">
        <v>12872.24</v>
      </c>
      <c r="D89" s="391" t="n"/>
      <c r="E89" s="391" t="n"/>
      <c r="F89" s="389" t="n">
        <v>11142.93</v>
      </c>
      <c r="G89" s="389" t="n">
        <v>217.48</v>
      </c>
      <c r="H89" s="56" t="n">
        <v>0</v>
      </c>
      <c r="I89" s="389" t="n">
        <v>1545.81</v>
      </c>
      <c r="J89" s="390" t="n">
        <v>1207.89</v>
      </c>
      <c r="K89" s="383" t="n">
        <v>75.34999999999999</v>
      </c>
      <c r="L89" s="390" t="n">
        <v>386.97</v>
      </c>
      <c r="M89" s="383" t="n">
        <v>7.68</v>
      </c>
      <c r="N89" s="373">
        <f>(J89-K89)+(L89-M89)</f>
        <v/>
      </c>
      <c r="O89" s="373">
        <f>SUM(F89,G89,H89,N89)</f>
        <v/>
      </c>
    </row>
    <row r="90">
      <c r="A90" s="382" t="inlineStr">
        <is>
          <t>Apr 28 - May 04 2025</t>
        </is>
      </c>
      <c r="B90" s="56" t="n"/>
      <c r="C90" s="373" t="n">
        <v>13895.8</v>
      </c>
      <c r="D90" s="373" t="n"/>
      <c r="E90" s="373" t="n"/>
      <c r="F90" s="389" t="n">
        <v>12387.89</v>
      </c>
      <c r="G90" s="389" t="n">
        <v>58.8</v>
      </c>
      <c r="H90" s="56" t="n">
        <v>0</v>
      </c>
      <c r="I90" s="389" t="n">
        <v>1325.39</v>
      </c>
      <c r="J90" s="390" t="n">
        <v>1134.36</v>
      </c>
      <c r="K90" s="383" t="n">
        <v>86.36</v>
      </c>
      <c r="L90" s="383" t="n">
        <v>413.59</v>
      </c>
      <c r="M90" s="383" t="n">
        <v>12.48</v>
      </c>
      <c r="N90" s="373">
        <f>(J90-K90)+(L90-M90)</f>
        <v/>
      </c>
      <c r="O90" s="373">
        <f>SUM(F90,G90,H90,N90)</f>
        <v/>
      </c>
    </row>
    <row r="91">
      <c r="A91" s="382" t="inlineStr">
        <is>
          <t>May 05 - May 11 2025</t>
        </is>
      </c>
      <c r="B91" s="56" t="n"/>
      <c r="C91" s="373" t="n">
        <v>13769.59</v>
      </c>
      <c r="D91" s="373" t="n"/>
      <c r="E91" s="391" t="n">
        <v>13748.61</v>
      </c>
      <c r="F91" s="389" t="n">
        <v>12562.75</v>
      </c>
      <c r="G91" s="389" t="n">
        <v>143.69</v>
      </c>
      <c r="H91" s="56" t="n">
        <v>0</v>
      </c>
      <c r="I91" s="389" t="n">
        <v>1042.17</v>
      </c>
      <c r="J91" s="390" t="n">
        <v>802.34</v>
      </c>
      <c r="K91" s="383" t="n">
        <v>77.56999999999999</v>
      </c>
      <c r="L91" s="390" t="n">
        <v>422.98</v>
      </c>
      <c r="M91" s="383" t="n">
        <v>84.59999999999999</v>
      </c>
      <c r="N91" s="373">
        <f>(J91-K91)+(L91-M91)</f>
        <v/>
      </c>
      <c r="O91" s="373">
        <f>SUM(F91,G91,H91,N91)</f>
        <v/>
      </c>
    </row>
    <row r="92">
      <c r="A92" s="382" t="inlineStr">
        <is>
          <t>May 12 - May 18 2025</t>
        </is>
      </c>
      <c r="B92" s="56" t="n"/>
      <c r="C92" s="373" t="n">
        <v>12300.93</v>
      </c>
      <c r="D92" s="373" t="n"/>
      <c r="E92" s="391" t="n">
        <v>12290.66</v>
      </c>
      <c r="F92" s="389" t="n">
        <v>10739.46</v>
      </c>
      <c r="G92" s="389" t="n">
        <v>173.79</v>
      </c>
      <c r="H92" s="56" t="n">
        <v>0</v>
      </c>
      <c r="I92" s="389" t="n">
        <v>1377.41</v>
      </c>
      <c r="J92" s="390" t="n">
        <v>1252.76</v>
      </c>
      <c r="K92" s="383" t="n">
        <v>103.85</v>
      </c>
      <c r="L92" s="383" t="n">
        <v>238.77</v>
      </c>
      <c r="M92" s="383" t="n">
        <v>0</v>
      </c>
      <c r="N92" s="373">
        <f>(J92-K92)+(L92-M92)</f>
        <v/>
      </c>
      <c r="O92" s="373">
        <f>SUM(F92,G92,H92,N92)</f>
        <v/>
      </c>
    </row>
    <row r="93">
      <c r="A93" s="382" t="inlineStr">
        <is>
          <t>May 19 - May 25 2025</t>
        </is>
      </c>
      <c r="B93" s="56" t="n"/>
      <c r="C93" s="373" t="n">
        <v>13972.67</v>
      </c>
      <c r="D93" s="373" t="n"/>
      <c r="E93" s="391" t="n">
        <v>13981.9</v>
      </c>
      <c r="F93" s="389" t="n">
        <v>12784.11</v>
      </c>
      <c r="G93" s="389" t="n">
        <v>168.4</v>
      </c>
      <c r="H93" s="56" t="n">
        <v>0</v>
      </c>
      <c r="I93" s="389" t="n">
        <v>1029.39</v>
      </c>
      <c r="J93" s="390" t="n">
        <v>1008.11</v>
      </c>
      <c r="K93" s="383" t="n">
        <v>85.41</v>
      </c>
      <c r="L93" s="390" t="n">
        <v>97.45999999999999</v>
      </c>
      <c r="M93" s="383" t="n">
        <v>0</v>
      </c>
      <c r="N93" s="373">
        <f>(J93-K93)+(L93-M93)</f>
        <v/>
      </c>
      <c r="O93" s="373">
        <f>SUM(F93,G93,H93,N93)</f>
        <v/>
      </c>
    </row>
    <row r="94">
      <c r="A94" s="382" t="inlineStr">
        <is>
          <t>May 26 - June 01 2025</t>
        </is>
      </c>
      <c r="B94" s="56" t="n"/>
      <c r="C94" s="373" t="n">
        <v>11490.57</v>
      </c>
      <c r="D94" s="373" t="n"/>
      <c r="E94" s="391" t="n">
        <v>11574.64</v>
      </c>
      <c r="F94" s="389" t="n">
        <v>10118.56</v>
      </c>
      <c r="G94" s="389" t="n">
        <v>32.4</v>
      </c>
      <c r="H94" s="56" t="n">
        <v>0</v>
      </c>
      <c r="I94" s="389" t="n">
        <v>1423.68</v>
      </c>
      <c r="J94" s="390" t="n">
        <v>1228.34</v>
      </c>
      <c r="K94" s="383" t="n">
        <v>84.06999999999999</v>
      </c>
      <c r="L94" s="390" t="n">
        <v>195.34</v>
      </c>
      <c r="M94" s="383" t="n">
        <v>0</v>
      </c>
      <c r="N94" s="373">
        <f>(J94-K94)+(L94-M94)</f>
        <v/>
      </c>
      <c r="O94" s="373">
        <f>SUM(F94,G94,H94,N94)</f>
        <v/>
      </c>
    </row>
    <row r="95">
      <c r="A95" s="382" t="inlineStr">
        <is>
          <t>June 02 - June 08 2025</t>
        </is>
      </c>
      <c r="B95" s="56" t="n"/>
      <c r="C95" s="373" t="n">
        <v>18161.64</v>
      </c>
      <c r="D95" s="373" t="n"/>
      <c r="E95" s="391" t="n">
        <v>18206.2</v>
      </c>
      <c r="F95" s="389" t="n">
        <v>16664.27</v>
      </c>
      <c r="G95" s="389" t="n">
        <v>287.09</v>
      </c>
      <c r="H95" s="56" t="n">
        <v>0</v>
      </c>
      <c r="I95" s="389" t="n">
        <v>1254.84</v>
      </c>
      <c r="J95" s="390" t="n">
        <v>1082.72</v>
      </c>
      <c r="K95" s="383" t="n">
        <v>53.55</v>
      </c>
      <c r="L95" s="383" t="n">
        <v>181.11</v>
      </c>
      <c r="M95" s="383" t="n">
        <v>0</v>
      </c>
      <c r="N95" s="373">
        <f>(J95-K95)+(L95-M95)</f>
        <v/>
      </c>
      <c r="O95" s="373">
        <f>SUM(F95,G95,H95,N95)</f>
        <v/>
      </c>
    </row>
    <row r="96">
      <c r="A96" s="382" t="inlineStr">
        <is>
          <t>June 09 - June 15 2025</t>
        </is>
      </c>
      <c r="B96" s="56" t="n"/>
      <c r="C96" s="373" t="n">
        <v>16545.19</v>
      </c>
      <c r="D96" s="373" t="n"/>
      <c r="E96" s="391" t="n">
        <v>16528.92</v>
      </c>
      <c r="F96" s="389" t="n">
        <v>15152.84</v>
      </c>
      <c r="G96" s="389" t="n">
        <v>168.77</v>
      </c>
      <c r="H96" s="389" t="n">
        <v>27</v>
      </c>
      <c r="I96" s="389" t="n">
        <v>1180.31</v>
      </c>
      <c r="J96" s="390" t="n">
        <v>984.8099999999999</v>
      </c>
      <c r="K96" s="383" t="n">
        <v>60.86</v>
      </c>
      <c r="L96" s="390" t="n">
        <v>272.63</v>
      </c>
      <c r="M96" s="383" t="n">
        <v>0</v>
      </c>
      <c r="N96" s="373">
        <f>(J96-K96)+(L96-M96)</f>
        <v/>
      </c>
      <c r="O96" s="373">
        <f>SUM(F96,G96,H96,N96)</f>
        <v/>
      </c>
    </row>
    <row r="97">
      <c r="A97" s="382" t="inlineStr">
        <is>
          <t>June 16 - June 22 2025</t>
        </is>
      </c>
      <c r="B97" s="56" t="n"/>
      <c r="C97" s="373" t="n">
        <v>12297.74</v>
      </c>
      <c r="D97" s="373" t="n"/>
      <c r="E97" s="391" t="n">
        <v>12195.73</v>
      </c>
      <c r="F97" s="389" t="n">
        <v>11186.54</v>
      </c>
      <c r="G97" s="389" t="n">
        <v>126.6</v>
      </c>
      <c r="H97" s="389" t="n">
        <v>0</v>
      </c>
      <c r="I97" s="389" t="n">
        <v>882.59</v>
      </c>
      <c r="J97" s="392" t="n">
        <v>843.46</v>
      </c>
      <c r="K97" s="393" t="n">
        <v>40.49</v>
      </c>
      <c r="L97" s="392" t="n">
        <v>181.63</v>
      </c>
      <c r="M97" s="392" t="n">
        <v>0</v>
      </c>
      <c r="N97" s="373">
        <f>(J97-K97)+(L97-M97)</f>
        <v/>
      </c>
      <c r="O97" s="373">
        <f>SUM(F97,G97,H97,N97)</f>
        <v/>
      </c>
    </row>
    <row r="98">
      <c r="A98" s="394" t="inlineStr">
        <is>
          <t>June 23 - June 29 2025</t>
        </is>
      </c>
      <c r="B98" s="118" t="n"/>
      <c r="C98" s="389" t="n">
        <v>12512.02</v>
      </c>
      <c r="D98" s="389" t="n"/>
      <c r="E98" s="391" t="n">
        <v>12515.82</v>
      </c>
      <c r="F98" s="389" t="n">
        <v>11168.75</v>
      </c>
      <c r="G98" s="389" t="n">
        <v>166.8</v>
      </c>
      <c r="H98" s="389" t="n">
        <v>0</v>
      </c>
      <c r="I98" s="389" t="n">
        <v>1180.27</v>
      </c>
      <c r="J98" s="390" t="n">
        <v>775.67</v>
      </c>
      <c r="K98" s="395" t="n">
        <v>46.08</v>
      </c>
      <c r="L98" s="395" t="n">
        <v>446.88</v>
      </c>
      <c r="M98" s="395" t="n">
        <v>0</v>
      </c>
      <c r="N98" s="389">
        <f>(J98-K98)+(L98-M98)</f>
        <v/>
      </c>
      <c r="O98" s="389">
        <f>SUM(F98,G98,H98,N98)</f>
        <v/>
      </c>
    </row>
    <row r="99">
      <c r="A99" s="394" t="inlineStr">
        <is>
          <t>June 30 - July 06 2025</t>
        </is>
      </c>
      <c r="B99" s="118" t="n"/>
      <c r="C99" s="389" t="n">
        <v>13723.58</v>
      </c>
      <c r="D99" s="389" t="n"/>
      <c r="E99" s="391" t="n">
        <v>13715.1</v>
      </c>
      <c r="F99" s="389" t="n">
        <v>12214.28</v>
      </c>
      <c r="G99" s="389" t="n">
        <v>159.9</v>
      </c>
      <c r="H99" s="389" t="n">
        <v>0</v>
      </c>
      <c r="I99" s="389" t="n">
        <v>1340.92</v>
      </c>
      <c r="J99" s="390" t="n">
        <v>1188.63</v>
      </c>
      <c r="K99" s="395" t="n">
        <v>16.32</v>
      </c>
      <c r="L99" s="390" t="n">
        <v>177.09</v>
      </c>
      <c r="M99" s="395" t="n">
        <v>0</v>
      </c>
      <c r="N99" s="389">
        <f>(J99-K99)+(L99-M99)</f>
        <v/>
      </c>
      <c r="O99" s="389">
        <f>SUM(F99,G99,H99,N99)</f>
        <v/>
      </c>
    </row>
    <row r="100">
      <c r="A100" s="394" t="inlineStr">
        <is>
          <t>July 07 - July 13 2025</t>
        </is>
      </c>
      <c r="B100" s="118" t="n"/>
      <c r="C100" s="389" t="n">
        <v>10386.93</v>
      </c>
      <c r="D100" s="389" t="n"/>
      <c r="E100" s="391" t="n">
        <v>10417.25</v>
      </c>
      <c r="F100" s="382" t="n">
        <v>8805.33</v>
      </c>
      <c r="G100" s="389" t="n">
        <v>191.32</v>
      </c>
      <c r="H100" s="389" t="n">
        <v>330.67</v>
      </c>
      <c r="I100" s="389" t="n">
        <v>1089.93</v>
      </c>
      <c r="J100" s="390" t="n">
        <v>824.48</v>
      </c>
      <c r="K100" s="383" t="n">
        <v>30.32</v>
      </c>
      <c r="L100" s="390" t="n">
        <v>265.45</v>
      </c>
      <c r="M100" s="395" t="n">
        <v>0</v>
      </c>
      <c r="N100" s="389">
        <f>(J100-K100)+(L100-M100)</f>
        <v/>
      </c>
      <c r="O100" s="389">
        <f>SUM(F100,G100,H100,N100)</f>
        <v/>
      </c>
    </row>
    <row r="101">
      <c r="A101" s="394" t="inlineStr">
        <is>
          <t>July 14 - July 20 2025</t>
        </is>
      </c>
      <c r="B101" s="118" t="n"/>
      <c r="C101" s="389" t="n">
        <v>13643.59</v>
      </c>
      <c r="D101" s="11" t="n">
        <v>243</v>
      </c>
      <c r="E101" s="391" t="n">
        <v>13688.31</v>
      </c>
      <c r="F101" s="389" t="n">
        <v>11860.5</v>
      </c>
      <c r="G101" s="389" t="n">
        <v>26.7</v>
      </c>
      <c r="H101" s="389" t="n">
        <v>341.74</v>
      </c>
      <c r="I101" s="389" t="n">
        <v>1459.37</v>
      </c>
      <c r="J101" s="390" t="n">
        <v>1110.44</v>
      </c>
      <c r="K101" s="148" t="n">
        <v>44.72</v>
      </c>
      <c r="L101" s="383" t="n">
        <v>348.93</v>
      </c>
      <c r="M101" s="395" t="n">
        <v>0</v>
      </c>
      <c r="N101" s="389">
        <f>(J101-K101)+(L101-M101)</f>
        <v/>
      </c>
      <c r="O101" s="389">
        <f>SUM(F101,G101,H101,N101)</f>
        <v/>
      </c>
    </row>
    <row r="102">
      <c r="A102" s="394" t="inlineStr">
        <is>
          <t>July 21 - July 27 2025</t>
        </is>
      </c>
      <c r="B102" s="118" t="n"/>
      <c r="C102" s="391" t="n">
        <v>10566.3</v>
      </c>
      <c r="D102" s="11" t="n">
        <v>206</v>
      </c>
      <c r="E102" s="391" t="n">
        <v>10642.24</v>
      </c>
      <c r="F102" s="389" t="n">
        <v>9525.540000000001</v>
      </c>
      <c r="G102" s="118" t="n">
        <v>0</v>
      </c>
      <c r="H102" s="389" t="n">
        <v>125.73</v>
      </c>
      <c r="I102" s="389" t="n">
        <v>990.97</v>
      </c>
      <c r="J102" s="390" t="n">
        <v>717.72</v>
      </c>
      <c r="K102" s="383" t="n">
        <v>36.65</v>
      </c>
      <c r="L102" s="390" t="n">
        <v>233.96</v>
      </c>
      <c r="M102" s="395" t="n">
        <v>0</v>
      </c>
      <c r="N102" s="389">
        <f>(J102-K102)+(L102-M102)</f>
        <v/>
      </c>
      <c r="O102" s="389">
        <f>SUM(F102,G102,H102,N102)</f>
        <v/>
      </c>
    </row>
    <row r="103">
      <c r="A103" s="394" t="inlineStr">
        <is>
          <t>July 28 - Aug 03 2025</t>
        </is>
      </c>
      <c r="B103" s="118" t="n"/>
      <c r="C103" s="389" t="n">
        <v>12459.64</v>
      </c>
      <c r="D103" s="11" t="n">
        <v>225</v>
      </c>
      <c r="E103" s="391" t="n">
        <v>12405.39</v>
      </c>
      <c r="F103" s="389" t="n">
        <v>11157.71</v>
      </c>
      <c r="G103" s="389" t="n">
        <v>0</v>
      </c>
      <c r="H103" s="389" t="n">
        <v>89.2</v>
      </c>
      <c r="I103" s="389" t="n">
        <v>1158.48</v>
      </c>
      <c r="J103" s="390" t="n">
        <v>970.8</v>
      </c>
      <c r="K103" s="383" t="n">
        <v>58.54</v>
      </c>
      <c r="L103" s="390" t="n">
        <v>300.47</v>
      </c>
      <c r="M103" s="395" t="n">
        <v>0</v>
      </c>
      <c r="N103" s="389">
        <f>(J103-K103)+(L103-M103)</f>
        <v/>
      </c>
      <c r="O103" s="389">
        <f>SUM(F103,G103,H103,N103)</f>
        <v/>
      </c>
    </row>
    <row r="104">
      <c r="A104" s="394" t="inlineStr">
        <is>
          <t>Aug 04 - Aug 10 2025</t>
        </is>
      </c>
      <c r="B104" s="118" t="n"/>
      <c r="C104" s="389" t="n">
        <v>12855.72</v>
      </c>
      <c r="D104" s="11" t="n">
        <v>237</v>
      </c>
      <c r="E104" s="391" t="n">
        <v>12896.88</v>
      </c>
      <c r="F104" s="389" t="n">
        <v>11045.27</v>
      </c>
      <c r="G104" s="389" t="n">
        <v>0</v>
      </c>
      <c r="H104" s="389" t="n">
        <v>783.83</v>
      </c>
      <c r="I104" s="389" t="n">
        <v>1067.78</v>
      </c>
      <c r="J104" s="383" t="n">
        <v>987.1</v>
      </c>
      <c r="K104" s="383" t="n">
        <v>81.95999999999999</v>
      </c>
      <c r="L104" s="390" t="n">
        <v>121.48</v>
      </c>
      <c r="M104" s="395" t="n">
        <v>0</v>
      </c>
      <c r="N104" s="389">
        <f>(J104-K104)+(L104-M104)</f>
        <v/>
      </c>
      <c r="O104" s="389">
        <f>SUM(F104,G104,H104,N104)</f>
        <v/>
      </c>
    </row>
    <row r="105">
      <c r="A105" s="394" t="inlineStr">
        <is>
          <t>Aug 11 - Aug 17 2025</t>
        </is>
      </c>
      <c r="B105" s="118" t="n"/>
      <c r="C105" s="389" t="n">
        <v>12872.15</v>
      </c>
      <c r="D105" s="11" t="n">
        <v>242</v>
      </c>
      <c r="E105" s="391" t="n">
        <v>12639.76</v>
      </c>
      <c r="F105" s="389" t="n">
        <v>11463.17</v>
      </c>
      <c r="G105" s="389" t="n">
        <v>0</v>
      </c>
      <c r="H105" s="389" t="n">
        <v>197.88</v>
      </c>
      <c r="I105" s="389" t="n">
        <v>978.71</v>
      </c>
      <c r="J105" s="390" t="n">
        <v>877.55</v>
      </c>
      <c r="K105" s="383" t="n">
        <v>23.41</v>
      </c>
      <c r="L105" s="390" t="n">
        <v>356.96</v>
      </c>
      <c r="M105" s="395" t="n">
        <v>0</v>
      </c>
      <c r="N105" s="389">
        <f>(J105-K105)+(L105-M105)</f>
        <v/>
      </c>
      <c r="O105" s="389">
        <f>SUM(F105,G105,H105,N105)</f>
        <v/>
      </c>
    </row>
    <row r="106">
      <c r="A106" s="394" t="inlineStr">
        <is>
          <t>Aug 18 - Aug 24 2025</t>
        </is>
      </c>
      <c r="B106" s="118" t="n"/>
      <c r="C106" s="389" t="n">
        <v>10497</v>
      </c>
      <c r="D106" s="56" t="n">
        <v>187</v>
      </c>
      <c r="E106" s="391" t="n">
        <v>10497</v>
      </c>
      <c r="F106" s="389" t="n">
        <v>10497</v>
      </c>
      <c r="G106" s="389" t="n">
        <v>0</v>
      </c>
      <c r="H106" s="11" t="n">
        <v>0</v>
      </c>
      <c r="I106" s="118" t="n">
        <v>0</v>
      </c>
      <c r="J106" s="390" t="n">
        <v>0</v>
      </c>
      <c r="K106" s="383" t="n">
        <v>0</v>
      </c>
      <c r="L106" s="390" t="n">
        <v>0</v>
      </c>
      <c r="M106" s="395" t="n">
        <v>0</v>
      </c>
      <c r="N106" s="389">
        <f>(J106-K106)+(L106-M106)</f>
        <v/>
      </c>
      <c r="O106" s="389">
        <f>SUM(F106,G106,H106,N106)</f>
        <v/>
      </c>
    </row>
    <row r="107">
      <c r="A107" s="394" t="inlineStr">
        <is>
          <t>Aug 25 - Aug 31 2025</t>
        </is>
      </c>
      <c r="B107" s="118" t="n"/>
      <c r="C107" s="389" t="n">
        <v>11997.6</v>
      </c>
      <c r="D107" s="11" t="n">
        <v>203</v>
      </c>
      <c r="E107" s="391" t="n">
        <v>11997.6</v>
      </c>
      <c r="F107" s="391" t="n">
        <v>11997.6</v>
      </c>
      <c r="G107" s="389" t="n">
        <v>0</v>
      </c>
      <c r="H107" s="389" t="n">
        <v>0</v>
      </c>
      <c r="I107" s="389" t="n">
        <v>0</v>
      </c>
      <c r="J107" s="390" t="n">
        <v>0</v>
      </c>
      <c r="K107" s="383" t="n">
        <v>0</v>
      </c>
      <c r="L107" s="390" t="n">
        <v>0</v>
      </c>
      <c r="M107" s="395" t="n">
        <v>0</v>
      </c>
      <c r="N107" s="389">
        <f>(J107-K107)+(L107-M107)</f>
        <v/>
      </c>
      <c r="O107" s="389">
        <f>SUM(F107,G107,H107,N107)</f>
        <v/>
      </c>
    </row>
    <row r="108">
      <c r="A108" s="394" t="inlineStr">
        <is>
          <t>Sep 01 - Sep 07 2025</t>
        </is>
      </c>
      <c r="B108" s="118" t="n"/>
      <c r="C108" s="389" t="n">
        <v>8874.780000000001</v>
      </c>
      <c r="D108" s="56" t="n">
        <v>161</v>
      </c>
      <c r="E108" s="391" t="n">
        <v>8874.780000000001</v>
      </c>
      <c r="F108" s="391" t="n">
        <v>8874.780000000001</v>
      </c>
      <c r="G108" s="389" t="n">
        <v>0</v>
      </c>
      <c r="H108" s="389" t="n">
        <v>0</v>
      </c>
      <c r="I108" s="389" t="n">
        <v>0</v>
      </c>
      <c r="J108" s="390" t="n">
        <v>0</v>
      </c>
      <c r="K108" s="383" t="n">
        <v>0</v>
      </c>
      <c r="L108" s="390" t="n">
        <v>0</v>
      </c>
      <c r="M108" s="395" t="n">
        <v>0</v>
      </c>
      <c r="N108" s="389">
        <f>(J108-K108)+(L108-M108)</f>
        <v/>
      </c>
      <c r="O108" s="389">
        <f>SUM(F108,G108,H108,N108)</f>
        <v/>
      </c>
    </row>
    <row r="109">
      <c r="A109" s="394" t="inlineStr">
        <is>
          <t>Sep 08 - Sep 14 2025</t>
        </is>
      </c>
      <c r="B109" s="118" t="n"/>
      <c r="C109" s="389" t="n">
        <v>7867.66</v>
      </c>
      <c r="D109" s="56" t="n">
        <v>172</v>
      </c>
      <c r="E109" s="391" t="n">
        <v>7884.54</v>
      </c>
      <c r="F109" s="389" t="n">
        <v>6803.25</v>
      </c>
      <c r="G109" s="389" t="n">
        <v>16</v>
      </c>
      <c r="H109" s="389" t="n">
        <v>0</v>
      </c>
      <c r="I109" s="389" t="n">
        <v>1065.29</v>
      </c>
      <c r="J109" s="396" t="n">
        <v>857.5599999999999</v>
      </c>
      <c r="K109" s="397" t="n">
        <v>16.88</v>
      </c>
      <c r="L109" s="396" t="n">
        <v>207.73</v>
      </c>
      <c r="M109" s="395" t="n">
        <v>0</v>
      </c>
      <c r="N109" s="389">
        <f>(J109-K109)+(L109-M109)</f>
        <v/>
      </c>
      <c r="O109" s="389">
        <f>SUM(F109,G109,H109,N109)</f>
        <v/>
      </c>
    </row>
    <row r="110">
      <c r="A110" s="394" t="inlineStr">
        <is>
          <t>Sep 15 - Sep 21 2025</t>
        </is>
      </c>
      <c r="B110" s="118" t="n"/>
      <c r="C110" s="389" t="n">
        <v>10059.02</v>
      </c>
      <c r="D110" s="56" t="n">
        <v>192</v>
      </c>
      <c r="E110" s="391" t="n">
        <v>9851.17</v>
      </c>
      <c r="F110" s="389" t="n">
        <v>8317.360000000001</v>
      </c>
      <c r="G110" s="11" t="n">
        <v>0</v>
      </c>
      <c r="H110" s="389" t="n">
        <v>356.07</v>
      </c>
      <c r="I110" s="389" t="n">
        <v>1177.74</v>
      </c>
      <c r="J110" s="390" t="n">
        <v>1168.2</v>
      </c>
      <c r="K110" s="383" t="n">
        <v>34.55</v>
      </c>
      <c r="L110" s="390" t="n">
        <v>251.94</v>
      </c>
      <c r="M110" s="395" t="n">
        <v>0</v>
      </c>
      <c r="N110" s="389">
        <f>(J110-K110)+(L110-M110)</f>
        <v/>
      </c>
      <c r="O110" s="389">
        <f>SUM(F110,G110,H110,N110)</f>
        <v/>
      </c>
    </row>
    <row r="111">
      <c r="A111" s="394" t="inlineStr">
        <is>
          <t>Sep 22 - Sep 28 2025</t>
        </is>
      </c>
      <c r="B111" s="118" t="n"/>
      <c r="C111" s="389" t="n">
        <v>10456.68</v>
      </c>
      <c r="D111" s="56" t="n">
        <v>211</v>
      </c>
      <c r="E111" s="391" t="n">
        <v>10490.45</v>
      </c>
      <c r="F111" s="389" t="n">
        <v>9252.200000000001</v>
      </c>
      <c r="G111" s="389" t="n">
        <v>45.47</v>
      </c>
      <c r="H111" s="389" t="n">
        <v>208.17</v>
      </c>
      <c r="I111" s="389" t="n">
        <v>984.61</v>
      </c>
      <c r="J111" s="390" t="n">
        <v>749.11</v>
      </c>
      <c r="K111" s="383" t="n">
        <v>33.77</v>
      </c>
      <c r="L111" s="390" t="n">
        <v>235.5</v>
      </c>
      <c r="M111" s="395" t="n">
        <v>0</v>
      </c>
      <c r="N111" s="389">
        <f>(J111-K111)+(L111-M111)</f>
        <v/>
      </c>
      <c r="O111" s="389">
        <f>SUM(F111,G111,H111,N111)</f>
        <v/>
      </c>
    </row>
    <row r="112">
      <c r="A112" s="394" t="inlineStr">
        <is>
          <t>Sep 29 - Oct 05 2025</t>
        </is>
      </c>
      <c r="B112" s="118" t="n"/>
      <c r="C112" s="389" t="n">
        <v>10003.53</v>
      </c>
      <c r="D112" s="11" t="n">
        <v>212</v>
      </c>
      <c r="E112" s="391" t="n">
        <v>10012.74</v>
      </c>
      <c r="F112" s="141" t="n">
        <v>7883.789999999999</v>
      </c>
      <c r="G112" s="389" t="n">
        <v>35.99</v>
      </c>
      <c r="H112" s="389" t="n">
        <v>586.6799999999999</v>
      </c>
      <c r="I112" s="389" t="n">
        <v>1506.28</v>
      </c>
      <c r="J112" s="390" t="n">
        <v>1399.07</v>
      </c>
      <c r="K112" s="383" t="n">
        <v>9.210000000000001</v>
      </c>
      <c r="L112" s="390" t="n">
        <v>107.21</v>
      </c>
      <c r="M112" s="395" t="n">
        <v>0</v>
      </c>
      <c r="N112" s="389">
        <f>(J112-K112)+(L112-M112)</f>
        <v/>
      </c>
      <c r="O112" s="389">
        <f>SUM(F112,G112,H112,N112)</f>
        <v/>
      </c>
    </row>
    <row r="113">
      <c r="A113" s="394" t="inlineStr">
        <is>
          <t>Oct 6 - Oct 12 2025</t>
        </is>
      </c>
      <c r="B113" s="118" t="n"/>
      <c r="C113" s="56" t="n">
        <v>13215.5</v>
      </c>
      <c r="D113" s="56" t="n">
        <v>265</v>
      </c>
      <c r="E113" s="391" t="n">
        <v>13010.99</v>
      </c>
      <c r="F113" s="389" t="n">
        <v>11562.67</v>
      </c>
      <c r="G113" s="389" t="n">
        <v>44.4</v>
      </c>
      <c r="H113" s="389" t="n">
        <v>212.86</v>
      </c>
      <c r="I113" s="389" t="n">
        <v>1191.06</v>
      </c>
      <c r="J113" s="383" t="n">
        <v>1340.97</v>
      </c>
      <c r="K113" s="383" t="n">
        <v>0</v>
      </c>
      <c r="L113" s="383" t="n">
        <v>54.6</v>
      </c>
      <c r="M113" s="395" t="n">
        <v>0</v>
      </c>
      <c r="N113" s="389">
        <f>(J113-K113)+(L113-M113)</f>
        <v/>
      </c>
      <c r="O113" s="389">
        <f>SUM(F113,G113,H113,N113)</f>
        <v/>
      </c>
    </row>
    <row r="114">
      <c r="A114" s="394" t="inlineStr">
        <is>
          <t>Oct 13 - Oct 19 2025</t>
        </is>
      </c>
      <c r="B114" s="118" t="n"/>
      <c r="C114" s="56" t="n">
        <v>10158.93</v>
      </c>
      <c r="D114" s="56" t="n"/>
      <c r="E114" s="394" t="n">
        <v>10020.64</v>
      </c>
      <c r="F114" s="394" t="n">
        <v>8901.789999999999</v>
      </c>
      <c r="G114" s="394" t="n">
        <v>26.4</v>
      </c>
      <c r="H114" s="394" t="n">
        <v>218.37</v>
      </c>
      <c r="I114" s="394" t="n">
        <v>874.08</v>
      </c>
      <c r="J114" s="383" t="n">
        <v>870.6</v>
      </c>
      <c r="K114" s="383" t="n">
        <v>0</v>
      </c>
      <c r="L114" s="383" t="n">
        <v>141.77</v>
      </c>
      <c r="M114" s="395" t="n">
        <v>0</v>
      </c>
      <c r="N114" s="389">
        <f>(J114-K114)+(L114-M114)</f>
        <v/>
      </c>
      <c r="O114" s="389">
        <f>SUM(F114,G114,H114,N114)</f>
        <v/>
      </c>
    </row>
    <row r="115">
      <c r="A115" s="394" t="inlineStr">
        <is>
          <t>Oct 20 - Oct 26 2025</t>
        </is>
      </c>
      <c r="B115" s="118" t="n"/>
      <c r="C115" s="389" t="n">
        <v>9296.110000000001</v>
      </c>
      <c r="D115" s="394" t="n"/>
      <c r="E115" s="394" t="n">
        <v>9135.369999999999</v>
      </c>
      <c r="F115" s="394" t="n">
        <v>8370.619999999999</v>
      </c>
      <c r="G115" s="394" t="n">
        <v>18</v>
      </c>
      <c r="H115" s="394" t="n">
        <v>128.7</v>
      </c>
      <c r="I115" s="394" t="n">
        <v>618.05</v>
      </c>
      <c r="J115" s="148" t="n">
        <v>476.39</v>
      </c>
      <c r="K115" s="383" t="n">
        <v>0</v>
      </c>
      <c r="L115" s="148" t="n">
        <v>302.4</v>
      </c>
      <c r="M115" s="395" t="n">
        <v>0</v>
      </c>
      <c r="N115" s="389">
        <f>(J115-K115)+(L115-M115)</f>
        <v/>
      </c>
      <c r="O115" s="389">
        <f>SUM(F115,G115,H115,N115)</f>
        <v/>
      </c>
    </row>
    <row r="116">
      <c r="A116" s="394" t="inlineStr">
        <is>
          <t>Oct 27 - Nov 02 2025</t>
        </is>
      </c>
      <c r="B116" s="118" t="n"/>
      <c r="C116" s="389" t="n">
        <v>11458.33</v>
      </c>
      <c r="D116" s="300" t="n">
        <v>232</v>
      </c>
      <c r="E116" s="394" t="n">
        <v>11249.53</v>
      </c>
      <c r="F116" s="394" t="n">
        <v>10368.76</v>
      </c>
      <c r="G116" s="394" t="n">
        <v>0</v>
      </c>
      <c r="H116" s="394" t="n">
        <v>356.86</v>
      </c>
      <c r="I116" s="394" t="n">
        <v>523.89</v>
      </c>
      <c r="J116" s="383" t="n">
        <v>638.65</v>
      </c>
      <c r="K116" s="383" t="n">
        <v>0</v>
      </c>
      <c r="L116" s="383" t="n">
        <v>94.06</v>
      </c>
      <c r="M116" s="395" t="n">
        <v>0</v>
      </c>
      <c r="N116" s="389">
        <f>(J116-K116)+(L116-M116)</f>
        <v/>
      </c>
      <c r="O116" s="389">
        <f>SUM(F116,G116,H116,N116)</f>
        <v/>
      </c>
    </row>
    <row r="117">
      <c r="A117" s="394" t="inlineStr">
        <is>
          <t>Nov 03 - Nov 09 2025</t>
        </is>
      </c>
      <c r="B117" s="118" t="n"/>
      <c r="C117" s="389" t="n">
        <v>9556.879999999997</v>
      </c>
      <c r="D117" s="300" t="inlineStr">
        <is>
          <t>213</t>
        </is>
      </c>
      <c r="E117" s="394" t="n">
        <v>9503.779999999999</v>
      </c>
      <c r="F117" s="394" t="n">
        <v>8134.809999999999</v>
      </c>
      <c r="G117" s="394" t="n">
        <v>0</v>
      </c>
      <c r="H117" s="394" t="n">
        <v>473.43</v>
      </c>
      <c r="I117" s="394" t="n">
        <v>895.54</v>
      </c>
      <c r="J117" s="383" t="n">
        <v>872.76</v>
      </c>
      <c r="K117" s="383" t="n">
        <v>0</v>
      </c>
      <c r="L117" s="383" t="n">
        <v>75.88</v>
      </c>
      <c r="M117" s="395" t="n">
        <v>0</v>
      </c>
      <c r="N117" s="389">
        <f>(J117-K117)+(L117-M117)</f>
        <v/>
      </c>
      <c r="O117" s="389">
        <f>SUM(F117,G117,H117,N117)</f>
        <v/>
      </c>
    </row>
    <row r="118">
      <c r="A118" s="394" t="inlineStr">
        <is>
          <t>Nov 10 - Nov 16 2025</t>
        </is>
      </c>
      <c r="B118" s="118" t="n"/>
      <c r="C118" s="389" t="n">
        <v>11258.8</v>
      </c>
      <c r="D118" s="300" t="inlineStr">
        <is>
          <t>231</t>
        </is>
      </c>
      <c r="E118" s="56" t="n">
        <v>11177.8</v>
      </c>
      <c r="F118" s="394" t="n">
        <v>9729.76</v>
      </c>
      <c r="G118" s="394" t="n">
        <v>18</v>
      </c>
      <c r="H118" s="394" t="n">
        <v>298.58</v>
      </c>
      <c r="I118" s="394" t="n">
        <v>1131.46</v>
      </c>
      <c r="J118" s="383" t="n">
        <v>934.78</v>
      </c>
      <c r="K118" s="383" t="n">
        <v>0</v>
      </c>
      <c r="L118" s="383" t="n">
        <v>277.68</v>
      </c>
      <c r="M118" s="395" t="n">
        <v>0</v>
      </c>
      <c r="N118" s="389">
        <f>(J118-K118)+(L118-M118)</f>
        <v/>
      </c>
      <c r="O118" s="389">
        <f>SUM(F118,G118,H118,N118)</f>
        <v/>
      </c>
    </row>
    <row r="119">
      <c r="A119" s="2" t="inlineStr">
        <is>
          <t>Nov 17 - Nov 23 2025</t>
        </is>
      </c>
      <c r="B119" s="118" t="n"/>
      <c r="C119" s="389" t="n">
        <v>10628.84</v>
      </c>
      <c r="D119" s="300" t="inlineStr">
        <is>
          <t>247</t>
        </is>
      </c>
      <c r="E119" s="394" t="n">
        <v>10660.61</v>
      </c>
      <c r="F119" s="394" t="n">
        <v>8845.040000000001</v>
      </c>
      <c r="G119" s="394" t="n">
        <v>0</v>
      </c>
      <c r="H119" s="394" t="n">
        <v>386.88</v>
      </c>
      <c r="I119" s="394" t="n">
        <v>1428.69</v>
      </c>
      <c r="J119" s="383" t="n">
        <v>1125.46</v>
      </c>
      <c r="K119" s="383" t="n">
        <v>31.77</v>
      </c>
      <c r="L119" s="383" t="n">
        <v>303.23</v>
      </c>
      <c r="M119" s="395" t="n">
        <v>0</v>
      </c>
      <c r="N119" s="389">
        <f>(J119-K119)+(L119-M119)</f>
        <v/>
      </c>
      <c r="O119" s="389">
        <f>SUM(F119,G119,H119,N119)</f>
        <v/>
      </c>
    </row>
    <row r="120">
      <c r="A120" s="2" t="inlineStr">
        <is>
          <t>Nov 24 - Nov 30 2025</t>
        </is>
      </c>
      <c r="B120" s="56" t="n"/>
      <c r="C120" s="56" t="n">
        <v>9557.269999999999</v>
      </c>
      <c r="D120" s="300" t="n">
        <v>213</v>
      </c>
      <c r="E120" s="394" t="n">
        <v>9596.809999999999</v>
      </c>
      <c r="F120" s="394" t="n">
        <v>7700.589999999999</v>
      </c>
      <c r="G120" s="394" t="n">
        <v>32.86</v>
      </c>
      <c r="H120" s="394" t="n">
        <v>378.37</v>
      </c>
      <c r="I120" s="394" t="n">
        <v>1484.99</v>
      </c>
      <c r="J120" s="383" t="n">
        <v>1090.76</v>
      </c>
      <c r="K120" s="383" t="n">
        <v>48.54</v>
      </c>
      <c r="L120" s="383" t="n">
        <v>403.23</v>
      </c>
      <c r="M120" s="395" t="n">
        <v>0</v>
      </c>
      <c r="N120" s="389">
        <f>(J120-K120)+(L120-M120)</f>
        <v/>
      </c>
      <c r="O120" s="389">
        <f>SUM(F120,G120,H120,N120)</f>
        <v/>
      </c>
    </row>
    <row r="121">
      <c r="A121" s="2" t="inlineStr">
        <is>
          <t>Dec 01 - Dec 07 2025</t>
        </is>
      </c>
      <c r="B121" s="118" t="n"/>
      <c r="C121" s="389" t="n">
        <v>10839.45</v>
      </c>
      <c r="D121" s="300" t="n">
        <v>231</v>
      </c>
      <c r="E121" s="394" t="n">
        <v>10964.28</v>
      </c>
      <c r="F121" s="300" t="n">
        <v>9373.59</v>
      </c>
      <c r="G121" s="394" t="n">
        <v>0</v>
      </c>
      <c r="H121" s="394" t="n">
        <v>373.48</v>
      </c>
      <c r="I121" s="394" t="n">
        <v>1217.21</v>
      </c>
      <c r="J121" s="383" t="n">
        <v>1217.21</v>
      </c>
      <c r="K121" s="383" t="n">
        <v>144.63</v>
      </c>
      <c r="L121" s="383" t="n">
        <v>19.8</v>
      </c>
      <c r="M121" s="395" t="n">
        <v>0</v>
      </c>
      <c r="N121" s="389">
        <f>(J121-K121)+(L121-M121)</f>
        <v/>
      </c>
      <c r="O121" s="389">
        <f>SUM(F121,G121,H121,N121)</f>
        <v/>
      </c>
    </row>
    <row r="122">
      <c r="A122" s="118" t="inlineStr">
        <is>
          <t>Dec 08 - Dec 14 2025</t>
        </is>
      </c>
      <c r="B122" s="118" t="n"/>
      <c r="C122" s="389" t="n">
        <v>10098.84</v>
      </c>
      <c r="D122" s="300" t="inlineStr">
        <is>
          <t>232</t>
        </is>
      </c>
      <c r="E122" s="394" t="n">
        <v>10104.58</v>
      </c>
      <c r="F122" s="394" t="n">
        <v>8819.74</v>
      </c>
      <c r="G122" s="394" t="n">
        <v>0</v>
      </c>
      <c r="H122" s="394" t="n">
        <v>325.78</v>
      </c>
      <c r="I122" s="394" t="n">
        <v>959.0599999999999</v>
      </c>
      <c r="J122" s="373" t="n">
        <v>870.3099999999999</v>
      </c>
      <c r="K122" s="373" t="n">
        <v>116.46</v>
      </c>
      <c r="L122" s="373" t="n">
        <v>199.47</v>
      </c>
      <c r="M122" s="389" t="n">
        <v>0</v>
      </c>
      <c r="N122" s="389">
        <f>(J122-K122)+(L122-M122)</f>
        <v/>
      </c>
      <c r="O122" s="389">
        <f>SUM(F122,G122,H122,N122)</f>
        <v/>
      </c>
    </row>
    <row r="123">
      <c r="A123" s="11" t="inlineStr">
        <is>
          <t>Dec 15 - Dec 21 2025</t>
        </is>
      </c>
      <c r="B123" s="118" t="n"/>
      <c r="C123" s="389" t="n">
        <v>9999.42</v>
      </c>
      <c r="D123" s="300" t="inlineStr">
        <is>
          <t>231</t>
        </is>
      </c>
      <c r="E123" s="394" t="n">
        <v>10081.53</v>
      </c>
      <c r="F123" s="394" t="n">
        <v>8234.32</v>
      </c>
      <c r="G123" s="394" t="n">
        <v>0</v>
      </c>
      <c r="H123" s="394" t="n">
        <v>233.99</v>
      </c>
      <c r="I123" s="394" t="n">
        <v>1613.22</v>
      </c>
      <c r="J123" s="373" t="n">
        <v>1617.42</v>
      </c>
      <c r="K123" s="373" t="n">
        <v>162.81</v>
      </c>
      <c r="L123" s="373" t="n">
        <v>76.5</v>
      </c>
      <c r="M123" s="389" t="n">
        <v>0</v>
      </c>
      <c r="N123" s="389">
        <f>(J123-K123)+(L123-M123)</f>
        <v/>
      </c>
      <c r="O123" s="389">
        <f>SUM(F123,G123,H123,N123)</f>
        <v/>
      </c>
    </row>
    <row r="124">
      <c r="A124" s="11" t="inlineStr">
        <is>
          <t>Dec 22 - Dec 28 2025</t>
        </is>
      </c>
      <c r="B124" s="118" t="n"/>
      <c r="C124" s="389" t="n">
        <v>12495.92</v>
      </c>
      <c r="D124" s="304" t="n">
        <v>256</v>
      </c>
      <c r="E124" s="394" t="n">
        <v>12583.24</v>
      </c>
      <c r="F124" s="394" t="n">
        <v>11296.1</v>
      </c>
      <c r="G124" s="394" t="n">
        <v>99.90000000000001</v>
      </c>
      <c r="H124" s="394" t="n">
        <v>370.57</v>
      </c>
      <c r="I124" s="394" t="n">
        <v>816.67</v>
      </c>
      <c r="J124" s="373" t="n">
        <v>761.11</v>
      </c>
      <c r="K124" s="373" t="n">
        <v>47.34</v>
      </c>
      <c r="L124" s="373" t="n">
        <v>15.58</v>
      </c>
      <c r="M124" s="389" t="n">
        <v>0</v>
      </c>
      <c r="N124" s="389">
        <f>(J124-K124)+(L124-M124)</f>
        <v/>
      </c>
      <c r="O124" s="389">
        <f>SUM(F124,G124,H124,N124)</f>
        <v/>
      </c>
    </row>
    <row r="125">
      <c r="A125" s="30" t="inlineStr">
        <is>
          <t>Dec 29 - Jan 04 2026</t>
        </is>
      </c>
      <c r="B125" s="45" t="n"/>
      <c r="C125" s="398" t="n">
        <v>15834.44</v>
      </c>
      <c r="D125" s="308" t="inlineStr">
        <is>
          <t>266</t>
        </is>
      </c>
      <c r="E125" s="399" t="n">
        <v>15977.27</v>
      </c>
      <c r="F125" s="399" t="n">
        <v>14098</v>
      </c>
      <c r="G125" s="399" t="n">
        <v>26.4</v>
      </c>
      <c r="H125" s="399" t="n">
        <v>447.86</v>
      </c>
      <c r="I125" s="399" t="n">
        <v>1405.01</v>
      </c>
      <c r="J125" s="400" t="n">
        <v>1321.92</v>
      </c>
      <c r="K125" s="400" t="n">
        <v>145.83</v>
      </c>
      <c r="L125" s="400" t="n">
        <v>86.09</v>
      </c>
      <c r="M125" s="398" t="n">
        <v>0</v>
      </c>
      <c r="N125" s="398">
        <f>(J125-K125)+(L125-M125)</f>
        <v/>
      </c>
      <c r="O125" s="398">
        <f>SUM(F125,G125,H125,N125)</f>
        <v/>
      </c>
    </row>
    <row r="126">
      <c r="A126" s="30" t="inlineStr">
        <is>
          <t>Jan 05 - Jan 11 2026</t>
        </is>
      </c>
      <c r="B126" s="45" t="n"/>
      <c r="C126" s="398" t="n">
        <v>10791.09</v>
      </c>
      <c r="D126" s="308" t="inlineStr">
        <is>
          <t>228</t>
        </is>
      </c>
      <c r="E126" s="109" t="n">
        <v>10864.78</v>
      </c>
      <c r="F126" s="399" t="n">
        <v>8761</v>
      </c>
      <c r="G126" s="399" t="n">
        <v>36</v>
      </c>
      <c r="H126" s="399" t="n">
        <v>533.5700000000001</v>
      </c>
      <c r="I126" s="399" t="n">
        <v>1534.21</v>
      </c>
      <c r="J126" s="400" t="n">
        <v>1434.12</v>
      </c>
      <c r="K126" s="400" t="n">
        <v>110.67</v>
      </c>
      <c r="L126" s="400" t="n">
        <v>137.07</v>
      </c>
      <c r="M126" s="398" t="n">
        <v>0</v>
      </c>
      <c r="N126" s="398">
        <f>(J126-K126)+(L126-M126)</f>
        <v/>
      </c>
      <c r="O126" s="398">
        <f>SUM(F126,G126,H126,N126)</f>
        <v/>
      </c>
    </row>
    <row r="127">
      <c r="A127" s="30" t="inlineStr">
        <is>
          <t>Jan 12 - Jan 18 2026</t>
        </is>
      </c>
      <c r="B127" s="45" t="n"/>
      <c r="C127" s="398" t="n">
        <v>9148.82</v>
      </c>
      <c r="D127" s="308" t="inlineStr">
        <is>
          <t>233</t>
        </is>
      </c>
      <c r="E127" s="399" t="n">
        <v>9272.43</v>
      </c>
      <c r="F127" s="399" t="n">
        <v>7249.5</v>
      </c>
      <c r="G127" s="399" t="n">
        <v>148.63</v>
      </c>
      <c r="H127" s="399" t="n">
        <v>352.26</v>
      </c>
      <c r="I127" s="399" t="n">
        <v>1522.04</v>
      </c>
      <c r="J127" s="400" t="n">
        <v>1409.88</v>
      </c>
      <c r="K127" s="400" t="n">
        <v>176.41</v>
      </c>
      <c r="L127" s="400" t="n">
        <v>164.96</v>
      </c>
      <c r="M127" s="398" t="n">
        <v>0</v>
      </c>
      <c r="N127" s="398">
        <f>(J127-K127)+(L127-M127)</f>
        <v/>
      </c>
      <c r="O127" s="398">
        <f>SUM(F127,G127,H127,N127)</f>
        <v/>
      </c>
    </row>
    <row r="128">
      <c r="A128" s="30" t="inlineStr">
        <is>
          <t>Jan 19 - Jan 25 2026</t>
        </is>
      </c>
      <c r="B128" s="45" t="n"/>
      <c r="C128" s="398" t="n">
        <v>7484.15</v>
      </c>
      <c r="D128" s="308" t="inlineStr">
        <is>
          <t>169</t>
        </is>
      </c>
      <c r="E128" s="399" t="n">
        <v>7035.679999999999</v>
      </c>
      <c r="F128" s="399" t="n">
        <v>5989.339999999999</v>
      </c>
      <c r="G128" s="399" t="n">
        <v>71.98999999999999</v>
      </c>
      <c r="H128" s="399" t="n">
        <v>211.88</v>
      </c>
      <c r="I128" s="399" t="n">
        <v>762.47</v>
      </c>
      <c r="J128" s="383" t="n">
        <v>1221.28</v>
      </c>
      <c r="K128" s="383" t="n">
        <v>64.31999999999999</v>
      </c>
      <c r="L128" s="383" t="n">
        <v>53.98</v>
      </c>
      <c r="M128" s="398" t="n">
        <v>0</v>
      </c>
      <c r="N128" s="398">
        <f>(J128-K128)+(L128-M128)</f>
        <v/>
      </c>
      <c r="O128" s="398">
        <f>SUM(F128,G128,H128,N128)</f>
        <v/>
      </c>
    </row>
    <row r="129">
      <c r="A129" s="30" t="inlineStr">
        <is>
          <t>Jan 26 - Feb 01 2026</t>
        </is>
      </c>
      <c r="B129" s="45" t="n"/>
      <c r="C129" s="398" t="n">
        <v>12885.71</v>
      </c>
      <c r="D129" s="300" t="inlineStr">
        <is>
          <t>258</t>
        </is>
      </c>
      <c r="E129" s="394" t="n">
        <v>13040.8</v>
      </c>
      <c r="F129" s="394" t="n">
        <v>10587.8</v>
      </c>
      <c r="G129" s="394" t="n">
        <v>35.1</v>
      </c>
      <c r="H129" s="394" t="n">
        <v>598.34</v>
      </c>
      <c r="I129" s="394" t="n">
        <v>1819.56</v>
      </c>
      <c r="J129" s="383" t="n">
        <v>1613.28</v>
      </c>
      <c r="K129" s="383" t="n">
        <v>173.79</v>
      </c>
      <c r="L129" s="383" t="n">
        <v>224.98</v>
      </c>
      <c r="M129" s="398" t="n">
        <v>0</v>
      </c>
      <c r="N129" s="398">
        <f>(J129-K129)+(L129-M129)</f>
        <v/>
      </c>
      <c r="O129" s="398">
        <f>SUM(F129,G129,H129,N129)</f>
        <v/>
      </c>
    </row>
    <row r="130">
      <c r="A130" s="30" t="inlineStr">
        <is>
          <t>Feb 02 - Feb 08 2026</t>
        </is>
      </c>
      <c r="B130" s="45" t="n"/>
      <c r="C130" s="398" t="n">
        <v>9877.109999999999</v>
      </c>
      <c r="D130" s="300" t="inlineStr">
        <is>
          <t>228</t>
        </is>
      </c>
      <c r="E130" s="394" t="n">
        <v>10029.91</v>
      </c>
      <c r="F130" s="394" t="n">
        <v>7893.33</v>
      </c>
      <c r="G130" s="394" t="n">
        <v>0</v>
      </c>
      <c r="H130" s="394" t="n">
        <v>780.3099999999999</v>
      </c>
      <c r="I130" s="394" t="n">
        <v>1356.27</v>
      </c>
      <c r="J130" s="383" t="n">
        <v>1237.97</v>
      </c>
      <c r="K130" s="383" t="n">
        <v>81.3</v>
      </c>
      <c r="L130" s="383" t="n">
        <v>46.8</v>
      </c>
      <c r="M130" s="398" t="n">
        <v>0</v>
      </c>
      <c r="N130" s="398">
        <f>(J130-K130)+(L130-M130)</f>
        <v/>
      </c>
      <c r="O130" s="398">
        <f>SUM(F130,G130,H130,N130)</f>
        <v/>
      </c>
    </row>
    <row r="131">
      <c r="A131" s="11" t="inlineStr">
        <is>
          <t>Feb 09 - Feb 15 2026</t>
        </is>
      </c>
      <c r="B131" s="45" t="n"/>
      <c r="C131" s="398" t="n">
        <v>11815.51</v>
      </c>
      <c r="D131" s="300" t="inlineStr">
        <is>
          <t>254</t>
        </is>
      </c>
      <c r="E131" s="394" t="n">
        <v>11900.88</v>
      </c>
      <c r="F131" s="394" t="n">
        <v>9667.07</v>
      </c>
      <c r="G131" s="394" t="n">
        <v>0</v>
      </c>
      <c r="H131" s="394" t="n">
        <v>586.24</v>
      </c>
      <c r="I131" s="394" t="n">
        <v>1647.57</v>
      </c>
      <c r="J131" s="389" t="n">
        <v>1436.5</v>
      </c>
      <c r="K131" s="389" t="n">
        <v>194.37</v>
      </c>
      <c r="L131" s="389" t="n">
        <v>320.07</v>
      </c>
      <c r="M131" s="398" t="n">
        <v>0</v>
      </c>
      <c r="N131" s="398">
        <f>(J131-K131)+(L131-M131)</f>
        <v/>
      </c>
      <c r="O131" s="398">
        <f>SUM(F131,G131,H131,N131)</f>
        <v/>
      </c>
    </row>
    <row r="132">
      <c r="A132" s="11" t="inlineStr">
        <is>
          <t>Feb 16 - Feb 22 2026</t>
        </is>
      </c>
      <c r="B132" s="45" t="n"/>
      <c r="C132" s="398" t="n">
        <v>11786.08</v>
      </c>
      <c r="D132" s="300" t="inlineStr">
        <is>
          <t>243</t>
        </is>
      </c>
      <c r="E132" s="394" t="n">
        <v>11926.06</v>
      </c>
      <c r="F132" s="394" t="n">
        <v>10361.85</v>
      </c>
      <c r="G132" s="394" t="n">
        <v>0</v>
      </c>
      <c r="H132" s="394" t="n">
        <v>344.39</v>
      </c>
      <c r="I132" s="394" t="n">
        <v>1219.82</v>
      </c>
      <c r="J132" s="389" t="n">
        <v>1081.55</v>
      </c>
      <c r="K132" s="389" t="n">
        <v>98.28</v>
      </c>
      <c r="L132" s="389" t="n">
        <v>96.56999999999999</v>
      </c>
      <c r="M132" s="398" t="n">
        <v>0</v>
      </c>
      <c r="N132" s="398">
        <f>(J132-K132)+(L132-M132)</f>
        <v/>
      </c>
      <c r="O132" s="398">
        <f>SUM(F132,G132,H132,N132)</f>
        <v/>
      </c>
    </row>
    <row r="133">
      <c r="A133" s="11" t="inlineStr">
        <is>
          <t>Feb 23 - Mar 1 2026</t>
        </is>
      </c>
      <c r="B133" s="45" t="n"/>
      <c r="C133" s="398" t="n">
        <v>12567.75</v>
      </c>
      <c r="D133" s="300" t="inlineStr">
        <is>
          <t>227</t>
        </is>
      </c>
      <c r="E133" s="394" t="n">
        <v>12574.59</v>
      </c>
      <c r="F133" s="394" t="n">
        <v>10807.66</v>
      </c>
      <c r="G133" s="394" t="n">
        <v>0</v>
      </c>
      <c r="H133" s="394" t="n">
        <v>407.99</v>
      </c>
      <c r="I133" s="394" t="n">
        <v>1358.94</v>
      </c>
      <c r="J133" s="389" t="n">
        <v>1270.15</v>
      </c>
      <c r="K133" s="389" t="n">
        <v>48.54</v>
      </c>
      <c r="L133" s="389" t="n">
        <v>130.49</v>
      </c>
      <c r="M133" s="400" t="n">
        <v>0</v>
      </c>
      <c r="N133" s="398">
        <f>(J133-K133)+(L133-M133)</f>
        <v/>
      </c>
      <c r="O133" s="398">
        <f>SUM(F133,G133,H133,N133)</f>
        <v/>
      </c>
    </row>
    <row r="134">
      <c r="A134" s="11" t="inlineStr">
        <is>
          <t>Mar 02 - Mar 08 2026</t>
        </is>
      </c>
      <c r="B134" s="45" t="n"/>
      <c r="C134" s="398" t="n">
        <v>17936.73</v>
      </c>
      <c r="D134" s="300" t="inlineStr">
        <is>
          <t>281</t>
        </is>
      </c>
      <c r="E134" s="394" t="n">
        <v>18019.79</v>
      </c>
      <c r="F134" s="394" t="n">
        <v>15784.69</v>
      </c>
      <c r="G134" s="394" t="n">
        <v>90</v>
      </c>
      <c r="H134" s="394" t="n">
        <v>578.51</v>
      </c>
      <c r="I134" s="394" t="n">
        <v>1566.59</v>
      </c>
      <c r="J134" s="389" t="n">
        <v>1265.65</v>
      </c>
      <c r="K134" s="389" t="n">
        <v>157.02</v>
      </c>
      <c r="L134" s="389" t="n">
        <v>374.9</v>
      </c>
      <c r="M134" s="398" t="n">
        <v>0</v>
      </c>
      <c r="N134" s="398">
        <f>(J134-K134)+(L134-M134)</f>
        <v/>
      </c>
      <c r="O134" s="398">
        <f>SUM(F134,G134,H134,N134)</f>
        <v/>
      </c>
    </row>
    <row r="135">
      <c r="A135" s="11" t="inlineStr">
        <is>
          <t>Mar 09 - Mar 15 2026</t>
        </is>
      </c>
      <c r="B135" s="45" t="n"/>
      <c r="C135" s="398" t="n">
        <v>21368.16</v>
      </c>
      <c r="D135" s="300" t="inlineStr">
        <is>
          <t>306</t>
        </is>
      </c>
      <c r="E135" s="394" t="n">
        <v>21494.82</v>
      </c>
      <c r="F135" s="394" t="n">
        <v>19213.18</v>
      </c>
      <c r="G135" s="394" t="n">
        <v>0</v>
      </c>
      <c r="H135" s="394" t="n">
        <v>696.74</v>
      </c>
      <c r="I135" s="394" t="n">
        <v>1584.9</v>
      </c>
      <c r="J135" s="389" t="n">
        <v>1321.58</v>
      </c>
      <c r="K135" s="389" t="n">
        <v>126.66</v>
      </c>
      <c r="L135" s="389" t="n">
        <v>263.32</v>
      </c>
      <c r="M135" s="398" t="n">
        <v>0</v>
      </c>
      <c r="N135" s="398">
        <f>(J135-K135)+(L135-M135)</f>
        <v/>
      </c>
      <c r="O135" s="398">
        <f>SUM(F135,G135,H135,N135)</f>
        <v/>
      </c>
    </row>
    <row r="136">
      <c r="A136" s="11" t="inlineStr">
        <is>
          <t>Mar 16 - Mar 22 2026</t>
        </is>
      </c>
      <c r="B136" s="45" t="n"/>
      <c r="C136" s="398" t="n">
        <v>24661.29</v>
      </c>
      <c r="D136" s="300" t="inlineStr">
        <is>
          <t>357</t>
        </is>
      </c>
      <c r="E136" s="394" t="n">
        <v>24820.5</v>
      </c>
      <c r="F136" s="394" t="n">
        <v>22041.38</v>
      </c>
      <c r="G136" s="394" t="n">
        <v>0</v>
      </c>
      <c r="H136" s="394" t="n">
        <v>531.52</v>
      </c>
      <c r="I136" s="394" t="n">
        <v>2247.6</v>
      </c>
      <c r="J136" s="312" t="n">
        <v>2039.85</v>
      </c>
      <c r="K136" s="389" t="n">
        <v>159.21</v>
      </c>
      <c r="L136" s="118" t="n">
        <v>207.75</v>
      </c>
      <c r="M136" s="398" t="n">
        <v>0</v>
      </c>
      <c r="N136" s="398">
        <f>(J136-K136)+(L136-M136)</f>
        <v/>
      </c>
      <c r="O136" s="398">
        <f>SUM(F136,G136,H136,N136)</f>
        <v/>
      </c>
    </row>
    <row r="137">
      <c r="A137" s="11" t="inlineStr">
        <is>
          <t>Mar 23 - Mar 29 2026</t>
        </is>
      </c>
      <c r="B137" s="45" t="n"/>
      <c r="C137" s="398" t="n">
        <v>11848.11</v>
      </c>
      <c r="D137" s="300" t="inlineStr">
        <is>
          <t>272</t>
        </is>
      </c>
      <c r="E137" s="394" t="n">
        <v>12053.93</v>
      </c>
      <c r="F137" s="394" t="n">
        <v>9212.029999999999</v>
      </c>
      <c r="G137" s="394" t="n">
        <v>311.2</v>
      </c>
      <c r="H137" s="394" t="n">
        <v>775.1799999999999</v>
      </c>
      <c r="I137" s="394" t="n">
        <v>1755.52</v>
      </c>
      <c r="J137" s="389" t="n">
        <v>1476.57</v>
      </c>
      <c r="K137" s="389" t="n">
        <v>189.01</v>
      </c>
      <c r="L137" s="389" t="n">
        <v>262.14</v>
      </c>
      <c r="M137" s="398" t="n">
        <v>0</v>
      </c>
      <c r="N137" s="398">
        <f>(J137-K137)+(L137-M137)</f>
        <v/>
      </c>
      <c r="O137" s="398">
        <f>SUM(F137,G137,H137,N137)</f>
        <v/>
      </c>
    </row>
    <row r="138">
      <c r="A138" s="11" t="inlineStr">
        <is>
          <t>Mar 30 - Apr 05 2026</t>
        </is>
      </c>
      <c r="B138" s="45" t="n"/>
      <c r="C138" s="398" t="n">
        <v>12740.16</v>
      </c>
      <c r="D138" s="300" t="inlineStr">
        <is>
          <t>267</t>
        </is>
      </c>
      <c r="E138" s="394" t="n">
        <v>13012.3</v>
      </c>
      <c r="F138" s="394" t="n">
        <v>10563.23</v>
      </c>
      <c r="G138" s="394" t="n">
        <v>0</v>
      </c>
      <c r="H138" s="394" t="n">
        <v>531.34</v>
      </c>
      <c r="I138" s="394" t="n">
        <v>1917.73</v>
      </c>
      <c r="J138" s="389" t="n">
        <v>1447.83</v>
      </c>
      <c r="K138" s="389" t="n">
        <v>161.61</v>
      </c>
      <c r="L138" s="389" t="n">
        <v>359.37</v>
      </c>
      <c r="M138" s="398" t="n">
        <v>0</v>
      </c>
      <c r="N138" s="398">
        <f>(J138-K138)+(L138-M138)</f>
        <v/>
      </c>
      <c r="O138" s="398">
        <f>SUM(F138,G138,H138,N138)</f>
        <v/>
      </c>
    </row>
    <row r="139">
      <c r="A139" s="2" t="inlineStr">
        <is>
          <t>Apr 06 - Apr 12</t>
        </is>
      </c>
      <c r="B139" s="45" t="n"/>
      <c r="C139" s="398" t="n">
        <v>11206.32</v>
      </c>
      <c r="D139" s="319" t="inlineStr">
        <is>
          <t>240</t>
        </is>
      </c>
      <c r="E139" s="401" t="n">
        <v>11284.56</v>
      </c>
      <c r="F139" s="401" t="n">
        <v>8914.17</v>
      </c>
      <c r="G139" s="401" t="n">
        <v>0</v>
      </c>
      <c r="H139" s="401" t="n">
        <v>417</v>
      </c>
      <c r="I139" s="401" t="n">
        <v>1953.39</v>
      </c>
      <c r="J139" s="389" t="n">
        <v>1824.77</v>
      </c>
      <c r="K139" s="389" t="n">
        <v>161.4</v>
      </c>
      <c r="L139" s="389" t="n">
        <v>211.78</v>
      </c>
      <c r="M139" s="398" t="n">
        <v>0</v>
      </c>
      <c r="N139" s="398">
        <f>(J139-K139)+(L139-M139)</f>
        <v/>
      </c>
      <c r="O139" s="398">
        <f>SUM(F139,G139,H139,N139)</f>
        <v/>
      </c>
    </row>
    <row r="140">
      <c r="A140" s="11" t="inlineStr">
        <is>
          <t>Apr 13 - Apr 19</t>
        </is>
      </c>
      <c r="B140" s="45" t="n"/>
      <c r="C140" s="398" t="n">
        <v>11891.16</v>
      </c>
      <c r="D140" s="323" t="inlineStr">
        <is>
          <t>234</t>
        </is>
      </c>
      <c r="E140" s="402" t="n">
        <v>11963.28</v>
      </c>
      <c r="F140" s="402" t="n">
        <v>9875.209999999999</v>
      </c>
      <c r="G140" s="402" t="n">
        <v>105.99</v>
      </c>
      <c r="H140" s="402" t="n">
        <v>424.15</v>
      </c>
      <c r="I140" s="402" t="n">
        <v>1557.93</v>
      </c>
      <c r="J140" s="389" t="n">
        <v>1335.86</v>
      </c>
      <c r="K140" s="389" t="n">
        <v>142.23</v>
      </c>
      <c r="L140" s="389" t="n">
        <v>292.18</v>
      </c>
      <c r="M140" s="398" t="n">
        <v>0</v>
      </c>
      <c r="N140" s="398" t="n">
        <v>1485.81</v>
      </c>
      <c r="O140" s="398" t="n">
        <v>11891.16</v>
      </c>
    </row>
    <row r="141">
      <c r="A141" s="11" t="inlineStr">
        <is>
          <t>Apr 20 - Apr 26</t>
        </is>
      </c>
      <c r="B141" s="45" t="n"/>
      <c r="C141" s="398" t="n">
        <v>11986.83</v>
      </c>
      <c r="D141" s="323" t="inlineStr">
        <is>
          <t>263</t>
        </is>
      </c>
      <c r="E141" s="402" t="n">
        <v>12053.58</v>
      </c>
      <c r="F141" s="402" t="n">
        <v>9987.25</v>
      </c>
      <c r="G141" s="402" t="n">
        <v>57.8</v>
      </c>
      <c r="H141" s="402" t="n">
        <v>511.5</v>
      </c>
      <c r="I141" s="402" t="n">
        <v>1497.03</v>
      </c>
      <c r="J141" s="389" t="n">
        <v>1287.17</v>
      </c>
      <c r="K141" s="389" t="n">
        <v>105.75</v>
      </c>
      <c r="L141" s="389" t="n">
        <v>248.86</v>
      </c>
      <c r="M141" s="398" t="n">
        <v>0</v>
      </c>
      <c r="N141" s="398">
        <f>(J141-K141)+(L141-M141)</f>
        <v/>
      </c>
      <c r="O141" s="398">
        <f>SUM(F141,G141,H141,N141)</f>
        <v/>
      </c>
    </row>
    <row r="142">
      <c r="A142" s="399" t="inlineStr">
        <is>
          <t>Apr 27 - May 03</t>
        </is>
      </c>
      <c r="B142" s="45" t="n"/>
      <c r="C142" s="398" t="n">
        <v>11275.7</v>
      </c>
      <c r="D142" s="323" t="inlineStr">
        <is>
          <t>242</t>
        </is>
      </c>
      <c r="E142" s="402" t="n">
        <v>11409.86</v>
      </c>
      <c r="F142" s="402" t="n">
        <v>9045.720000000001</v>
      </c>
      <c r="G142" s="402" t="n">
        <v>0</v>
      </c>
      <c r="H142" s="402" t="n">
        <v>495.73</v>
      </c>
      <c r="I142" s="402" t="n">
        <v>1868.41</v>
      </c>
      <c r="J142" s="338" t="inlineStr">
        <is>
          <t>$1,493.39</t>
        </is>
      </c>
      <c r="K142" s="338" t="inlineStr">
        <is>
          <t>$134.16</t>
        </is>
      </c>
      <c r="L142" s="402" t="n">
        <v>375.02</v>
      </c>
      <c r="M142" s="402" t="n">
        <v>0</v>
      </c>
      <c r="N142" s="398">
        <f>(J142-K142)+(L142-M142)</f>
        <v/>
      </c>
      <c r="O142" s="398">
        <f>SUM(F142,G142,H142,N142)</f>
        <v/>
      </c>
      <c r="P142" s="402" t="n"/>
      <c r="Q142" s="402" t="n"/>
      <c r="R142" s="402" t="n"/>
      <c r="S142" s="402" t="n"/>
      <c r="T142" s="402" t="n"/>
      <c r="U142" s="402" t="n"/>
      <c r="V142" s="402" t="n"/>
      <c r="W142" s="402" t="n"/>
      <c r="X142" s="402" t="n"/>
      <c r="Y142" s="402" t="n"/>
      <c r="Z142" s="402" t="n"/>
      <c r="AA142" s="402" t="n"/>
    </row>
    <row r="143">
      <c r="A143" s="399" t="inlineStr">
        <is>
          <t>May 4 - May 10</t>
        </is>
      </c>
      <c r="B143" s="45" t="n"/>
      <c r="C143" s="398" t="n">
        <v>12649.28</v>
      </c>
      <c r="D143" s="323" t="n">
        <v>269</v>
      </c>
      <c r="E143" s="402" t="n">
        <v>12647.28</v>
      </c>
      <c r="F143" s="402" t="n">
        <v>10834.43</v>
      </c>
      <c r="G143" s="402" t="n">
        <v>18</v>
      </c>
      <c r="H143" s="402" t="n">
        <v>361.52</v>
      </c>
      <c r="I143" s="402" t="n">
        <v>1433.33</v>
      </c>
      <c r="J143" s="402" t="n">
        <v>492.74</v>
      </c>
      <c r="K143" s="402" t="n">
        <v>0</v>
      </c>
      <c r="L143" s="402" t="n">
        <v>942.59</v>
      </c>
      <c r="M143" s="402" t="n">
        <v>0</v>
      </c>
      <c r="N143" s="398">
        <f>(J143-K143)+(L143-M143)</f>
        <v/>
      </c>
      <c r="O143" s="398">
        <f>SUM(F143,G143,H143,N143)</f>
        <v/>
      </c>
      <c r="P143" s="402" t="n"/>
      <c r="Q143" s="402" t="n"/>
      <c r="R143" s="402" t="n"/>
      <c r="S143" s="402" t="n"/>
      <c r="T143" s="402" t="n"/>
      <c r="U143" s="402" t="n"/>
      <c r="V143" s="402" t="n"/>
      <c r="W143" s="402" t="n"/>
      <c r="X143" s="402" t="n"/>
      <c r="Y143" s="402" t="n"/>
      <c r="Z143" s="402" t="n"/>
      <c r="AA143" s="402" t="n"/>
    </row>
    <row r="144">
      <c r="A144" s="399" t="inlineStr">
        <is>
          <t>May 11 - May 17</t>
        </is>
      </c>
      <c r="B144" s="45" t="n"/>
      <c r="C144" s="398" t="n"/>
      <c r="D144" s="323" t="n">
        <v>309</v>
      </c>
      <c r="E144" s="402" t="n">
        <v>18841.12</v>
      </c>
      <c r="F144" s="402" t="n">
        <v>16017.92</v>
      </c>
      <c r="G144" s="402" t="n">
        <v>109.16</v>
      </c>
      <c r="H144" s="402" t="n">
        <v>604.27</v>
      </c>
      <c r="I144" s="402" t="n">
        <v>2109.77</v>
      </c>
      <c r="J144" s="402" t="n"/>
      <c r="K144" s="402" t="n"/>
      <c r="L144" s="402" t="n"/>
      <c r="M144" s="402" t="n"/>
      <c r="N144" s="398" t="n"/>
      <c r="O144" s="398" t="n"/>
      <c r="P144" s="402" t="n"/>
      <c r="Q144" s="402" t="n"/>
      <c r="R144" s="402" t="n"/>
      <c r="S144" s="402" t="n"/>
      <c r="T144" s="402" t="n"/>
      <c r="U144" s="402" t="n"/>
      <c r="V144" s="402" t="n"/>
      <c r="W144" s="402" t="n"/>
      <c r="X144" s="402" t="n"/>
      <c r="Y144" s="402" t="n"/>
      <c r="Z144" s="402" t="n"/>
      <c r="AA144" s="402" t="n"/>
    </row>
    <row r="145" ht="27.6" customHeight="1">
      <c r="A145" s="399" t="n"/>
      <c r="B145" s="45" t="n"/>
      <c r="C145" s="398" t="n"/>
      <c r="D145" s="323" t="n"/>
      <c r="E145" s="402" t="n"/>
      <c r="F145" s="402" t="n"/>
      <c r="G145" s="402" t="n"/>
      <c r="H145" s="402" t="n"/>
      <c r="I145" s="402" t="n"/>
      <c r="J145" s="402" t="n"/>
      <c r="K145" s="402" t="n"/>
      <c r="L145" s="402" t="n"/>
      <c r="M145" s="402" t="n"/>
      <c r="N145" s="398" t="n"/>
      <c r="O145" s="398" t="n"/>
      <c r="P145" s="402" t="n"/>
      <c r="Q145" s="402" t="n"/>
      <c r="R145" s="402" t="n"/>
      <c r="S145" s="402" t="n"/>
      <c r="T145" s="402" t="n"/>
      <c r="U145" s="402" t="n"/>
      <c r="V145" s="402" t="n"/>
      <c r="W145" s="402" t="n"/>
      <c r="X145" s="402" t="n"/>
      <c r="Y145" s="402" t="n"/>
      <c r="Z145" s="402" t="n"/>
      <c r="AA145" s="402" t="n"/>
    </row>
    <row r="146" ht="27.6" customHeight="1">
      <c r="A146" s="403" t="inlineStr">
        <is>
          <t>May 11 - May 17</t>
        </is>
      </c>
      <c r="B146" s="347" t="n"/>
      <c r="C146" s="404" t="n">
        <v>15271.56</v>
      </c>
      <c r="D146" s="323" t="n">
        <v>306</v>
      </c>
      <c r="E146" s="402" t="n">
        <v>15377.86</v>
      </c>
      <c r="F146" s="402" t="n">
        <v>13450.59</v>
      </c>
      <c r="G146" s="402" t="n">
        <v>0</v>
      </c>
      <c r="H146" s="402" t="n">
        <v>563.27</v>
      </c>
      <c r="I146" s="402" t="n">
        <v>1364</v>
      </c>
      <c r="J146" s="405" t="n">
        <v>948.26</v>
      </c>
      <c r="K146" s="405" t="n">
        <v>26.01</v>
      </c>
      <c r="L146" s="406" t="n">
        <v>335.45</v>
      </c>
      <c r="M146" s="402" t="n">
        <v>0</v>
      </c>
      <c r="N146" s="398">
        <f>(J144-K144)+(L144-M144)</f>
        <v/>
      </c>
      <c r="O146" s="398">
        <f>SUM(F144,G144,H144,N144)</f>
        <v/>
      </c>
      <c r="P146" s="402" t="n"/>
      <c r="Q146" s="402" t="n"/>
      <c r="R146" s="402" t="n"/>
      <c r="S146" s="402" t="n"/>
      <c r="T146" s="402" t="n"/>
      <c r="U146" s="402" t="n"/>
      <c r="V146" s="402" t="n"/>
      <c r="W146" s="402" t="n"/>
      <c r="X146" s="402" t="n"/>
      <c r="Y146" s="402" t="n"/>
      <c r="Z146" s="402" t="n"/>
      <c r="AA146" s="402" t="n"/>
    </row>
    <row r="147" ht="27.6" customHeight="1">
      <c r="A147" s="403" t="inlineStr">
        <is>
          <t>May 18 - May 24</t>
        </is>
      </c>
      <c r="B147" s="347" t="n"/>
      <c r="C147" s="404" t="n">
        <v>13083.73</v>
      </c>
      <c r="D147" s="323" t="n">
        <v>267</v>
      </c>
      <c r="E147" s="402" t="n">
        <v>13075.63</v>
      </c>
      <c r="F147" s="402" t="n">
        <v>10730.67</v>
      </c>
      <c r="G147" s="402" t="n">
        <v>31.49</v>
      </c>
      <c r="H147" s="402" t="n">
        <v>712.5599999999999</v>
      </c>
      <c r="I147" s="402" t="n">
        <v>1600.91</v>
      </c>
      <c r="J147" s="338" t="n">
        <v>1293.21</v>
      </c>
      <c r="K147" s="405" t="n">
        <v>0</v>
      </c>
      <c r="L147" s="406" t="n">
        <v>315.8</v>
      </c>
      <c r="M147" s="402" t="n">
        <v>0</v>
      </c>
      <c r="N147" s="398">
        <f>(J145-K145)+(L145-M145)</f>
        <v/>
      </c>
      <c r="O147" s="398">
        <f>SUM(F145,G145,H145,N145)</f>
        <v/>
      </c>
      <c r="P147" s="402" t="n"/>
      <c r="Q147" s="402" t="n"/>
      <c r="R147" s="402" t="n"/>
      <c r="S147" s="402" t="n"/>
      <c r="T147" s="402" t="n"/>
      <c r="U147" s="402" t="n"/>
      <c r="V147" s="402" t="n"/>
      <c r="W147" s="402" t="n"/>
      <c r="X147" s="402" t="n"/>
      <c r="Y147" s="402" t="n"/>
      <c r="Z147" s="402" t="n"/>
      <c r="AA147" s="402" t="n"/>
    </row>
    <row r="148" ht="27.6" customHeight="1">
      <c r="A148" s="403" t="inlineStr">
        <is>
          <t>May 25 - May 31</t>
        </is>
      </c>
      <c r="B148" s="347" t="n"/>
      <c r="C148" s="404" t="n"/>
      <c r="D148" s="323" t="n">
        <v>309</v>
      </c>
      <c r="E148" s="402" t="n">
        <v>18841.12</v>
      </c>
      <c r="F148" s="402" t="n">
        <v>16017.92</v>
      </c>
      <c r="G148" s="402" t="n">
        <v>109.16</v>
      </c>
      <c r="H148" s="402" t="n">
        <v>604.27</v>
      </c>
      <c r="I148" s="402" t="n">
        <v>2109.77</v>
      </c>
      <c r="J148" s="338" t="n"/>
      <c r="K148" s="405" t="n"/>
      <c r="L148" s="406" t="n"/>
      <c r="M148" s="402" t="n"/>
      <c r="N148" s="398" t="n"/>
      <c r="O148" s="398" t="n"/>
      <c r="P148" s="402" t="n"/>
      <c r="Q148" s="402" t="n"/>
      <c r="R148" s="402" t="n"/>
      <c r="S148" s="402" t="n"/>
      <c r="T148" s="402" t="n"/>
      <c r="U148" s="402" t="n"/>
      <c r="V148" s="402" t="n"/>
      <c r="W148" s="402" t="n"/>
      <c r="X148" s="402" t="n"/>
      <c r="Y148" s="402" t="n"/>
      <c r="Z148" s="402" t="n"/>
      <c r="AA148" s="402" t="n"/>
    </row>
    <row r="149">
      <c r="A149" s="403" t="n"/>
      <c r="B149" s="347" t="n"/>
      <c r="C149" s="404" t="n"/>
      <c r="D149" s="323" t="n"/>
      <c r="E149" s="402" t="n"/>
      <c r="F149" s="402" t="n"/>
      <c r="G149" s="402" t="n"/>
      <c r="H149" s="402" t="n"/>
      <c r="I149" s="402" t="n"/>
      <c r="J149" s="338" t="n"/>
      <c r="K149" s="405" t="n"/>
      <c r="L149" s="406" t="n"/>
      <c r="M149" s="402" t="n"/>
      <c r="N149" s="398" t="n"/>
      <c r="O149" s="398" t="n"/>
      <c r="P149" s="402" t="n"/>
      <c r="Q149" s="402" t="n"/>
      <c r="R149" s="402" t="n"/>
      <c r="S149" s="402" t="n"/>
      <c r="T149" s="402" t="n"/>
      <c r="U149" s="402" t="n"/>
      <c r="V149" s="402" t="n"/>
      <c r="W149" s="402" t="n"/>
      <c r="X149" s="402" t="n"/>
      <c r="Y149" s="402" t="n"/>
      <c r="Z149" s="402" t="n"/>
      <c r="AA149" s="402" t="n"/>
    </row>
    <row r="150">
      <c r="A150" s="45" t="inlineStr">
        <is>
          <t>Karachi Highway Karahi</t>
        </is>
      </c>
      <c r="B150" s="358" t="n"/>
      <c r="C150" s="355" t="n"/>
      <c r="D150" s="45" t="n"/>
      <c r="E150" s="45" t="n"/>
      <c r="F150" s="398" t="n"/>
      <c r="G150" s="45" t="n"/>
      <c r="H150" s="45" t="n"/>
      <c r="I150" s="45" t="n"/>
      <c r="J150" s="45" t="n"/>
      <c r="K150" s="398" t="n"/>
      <c r="L150" s="398" t="n"/>
      <c r="M150" s="398" t="n"/>
      <c r="N150" s="45" t="n"/>
      <c r="O150" s="45" t="n"/>
    </row>
    <row r="151">
      <c r="A151" s="30" t="inlineStr">
        <is>
          <t>Statement For Selected Period</t>
        </is>
      </c>
      <c r="B151" s="45" t="n"/>
      <c r="C151" s="30" t="inlineStr">
        <is>
          <t>Total Revenue</t>
        </is>
      </c>
      <c r="D151" s="30" t="n"/>
      <c r="E151" s="30" t="n"/>
      <c r="F151" s="398" t="n"/>
      <c r="G151" s="398" t="n"/>
      <c r="H151" s="45" t="n"/>
      <c r="I151" s="45" t="n"/>
      <c r="J151" s="45" t="n"/>
      <c r="K151" s="398" t="n"/>
      <c r="L151" s="398" t="n"/>
      <c r="M151" s="398" t="n"/>
      <c r="N151" s="45" t="n"/>
      <c r="O151" s="45" t="n"/>
    </row>
    <row r="152">
      <c r="A152" s="11" t="inlineStr">
        <is>
          <t>Mar 09 - Mar 15 2026</t>
        </is>
      </c>
      <c r="B152" s="56" t="n"/>
      <c r="C152" s="398" t="n">
        <v>21368.16</v>
      </c>
      <c r="D152" s="56" t="n"/>
      <c r="E152" s="56" t="n"/>
      <c r="F152" s="382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</row>
    <row r="153">
      <c r="A153" s="11" t="inlineStr">
        <is>
          <t>Mar 16 - Mar 22 2026</t>
        </is>
      </c>
      <c r="B153" s="56" t="n"/>
      <c r="C153" s="398" t="n">
        <v>24661.29</v>
      </c>
      <c r="D153" s="56" t="n"/>
      <c r="E153" s="56" t="n"/>
      <c r="F153" s="382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</row>
    <row r="154">
      <c r="A154" s="11" t="inlineStr">
        <is>
          <t>Mar 23 - Mar 29 2026</t>
        </is>
      </c>
      <c r="B154" s="56" t="n"/>
      <c r="C154" s="56" t="n">
        <v>11848.11</v>
      </c>
      <c r="D154" s="56" t="n"/>
      <c r="E154" s="56" t="n"/>
      <c r="F154" s="382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</row>
    <row r="155">
      <c r="A155" s="11" t="inlineStr">
        <is>
          <t>Mar 30 - Apr 05 2026</t>
        </is>
      </c>
      <c r="B155" s="56" t="n"/>
      <c r="C155" s="398" t="n">
        <v>12740.16</v>
      </c>
      <c r="D155" s="56" t="n"/>
      <c r="E155" s="56" t="n"/>
      <c r="F155" s="382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</row>
    <row r="156">
      <c r="A156" s="2" t="inlineStr">
        <is>
          <t>Apr 06 - Apr 12</t>
        </is>
      </c>
      <c r="B156" s="45" t="n"/>
      <c r="C156" s="398" t="n">
        <v>11206.32</v>
      </c>
    </row>
    <row r="157">
      <c r="A157" s="11" t="inlineStr">
        <is>
          <t>Apr 13 - Apr 19</t>
        </is>
      </c>
      <c r="B157" s="45" t="n"/>
      <c r="C157" s="398" t="n">
        <v>11891.16</v>
      </c>
    </row>
    <row r="158">
      <c r="A158" s="11" t="inlineStr">
        <is>
          <t>Apr 20 - Apr 26</t>
        </is>
      </c>
      <c r="B158" s="45" t="n"/>
      <c r="C158" s="398" t="n">
        <v>11986.83</v>
      </c>
    </row>
    <row r="159">
      <c r="A159" s="399" t="inlineStr">
        <is>
          <t>Apr 27 - May 03</t>
        </is>
      </c>
      <c r="B159" s="45" t="n"/>
      <c r="C159" s="398" t="n">
        <v>11275.7</v>
      </c>
    </row>
    <row r="160">
      <c r="A160" s="399" t="inlineStr">
        <is>
          <t>May 4 - May 10</t>
        </is>
      </c>
      <c r="B160" s="45" t="n"/>
      <c r="C160" s="398" t="n">
        <v>12649.28</v>
      </c>
    </row>
    <row r="161">
      <c r="A161" s="403" t="inlineStr">
        <is>
          <t>May 11 - May 17</t>
        </is>
      </c>
      <c r="B161" s="347" t="n"/>
      <c r="C161" s="404" t="n">
        <v>15271.56</v>
      </c>
    </row>
    <row r="162">
      <c r="A162" s="403" t="inlineStr">
        <is>
          <t>May 18 - May 24</t>
        </is>
      </c>
      <c r="B162" s="347" t="n"/>
      <c r="C162" s="404" t="n">
        <v>13083.73</v>
      </c>
    </row>
  </sheetData>
  <mergeCells count="3">
    <mergeCell ref="G1:H1"/>
    <mergeCell ref="I1:J1"/>
    <mergeCell ref="K1:L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2"/>
  <sheetViews>
    <sheetView topLeftCell="A63" workbookViewId="0">
      <pane ySplit="8" topLeftCell="A142" activePane="bottomLeft" state="frozen"/>
      <selection activeCell="A63" sqref="A63"/>
      <selection pane="bottomLeft" activeCell="A158" sqref="A158:C159"/>
    </sheetView>
  </sheetViews>
  <sheetFormatPr baseColWidth="8" defaultColWidth="9.109375" defaultRowHeight="17.4"/>
  <cols>
    <col width="31.109375" customWidth="1" style="407" min="1" max="1"/>
    <col width="9.109375" customWidth="1" style="408" min="2" max="2"/>
    <col width="39.88671875" customWidth="1" style="407" min="3" max="3"/>
    <col width="15.5546875" customWidth="1" style="407" min="4" max="4"/>
    <col width="22.44140625" customWidth="1" style="407" min="5" max="5"/>
    <col width="18" customWidth="1" style="408" min="6" max="6"/>
    <col width="14.109375" customWidth="1" style="408" min="7" max="7"/>
    <col width="23.6640625" customWidth="1" style="408" min="8" max="8"/>
    <col width="18.109375" customWidth="1" style="408" min="9" max="9"/>
    <col width="16.6640625" customWidth="1" style="408" min="10" max="10"/>
    <col width="17.5546875" customWidth="1" style="408" min="11" max="11"/>
    <col width="17.33203125" customWidth="1" style="408" min="12" max="12"/>
    <col width="19.44140625" customWidth="1" style="408" min="13" max="13"/>
    <col width="14.109375" customWidth="1" style="408" min="14" max="14"/>
    <col width="15.88671875" customWidth="1" style="408" min="15" max="15"/>
    <col width="9.109375" customWidth="1" style="408" min="16" max="18"/>
    <col width="9.109375" customWidth="1" style="408" min="19" max="16384"/>
  </cols>
  <sheetData>
    <row r="1" ht="33.75" customHeight="1">
      <c r="A1" s="409" t="inlineStr">
        <is>
          <t>Statement For Selected Period</t>
        </is>
      </c>
      <c r="B1" s="410" t="n"/>
      <c r="C1" s="411" t="inlineStr">
        <is>
          <t>Total Revenue</t>
        </is>
      </c>
      <c r="D1" s="412" t="n"/>
      <c r="E1" s="412" t="n"/>
      <c r="H1" s="413" t="n">
        <v>2021</v>
      </c>
      <c r="I1" s="355" t="n"/>
      <c r="J1" s="414" t="n"/>
      <c r="K1" s="415" t="n">
        <v>2023</v>
      </c>
      <c r="L1" s="358" t="n"/>
      <c r="M1" s="358" t="n"/>
      <c r="N1" s="358" t="n"/>
      <c r="O1" s="355" t="n"/>
    </row>
    <row r="2" ht="34.95" customHeight="1">
      <c r="A2" s="416" t="inlineStr">
        <is>
          <t>August 28 2023 - September 3 2023</t>
        </is>
      </c>
      <c r="B2" s="410" t="n"/>
      <c r="C2" s="416" t="n">
        <v>18907.64</v>
      </c>
      <c r="D2" s="417" t="n"/>
      <c r="E2" s="417" t="n"/>
      <c r="H2" s="418" t="inlineStr">
        <is>
          <t>January</t>
        </is>
      </c>
      <c r="I2" s="419" t="n">
        <v>74079.49000000001</v>
      </c>
      <c r="J2" s="419" t="n">
        <v>87281.23</v>
      </c>
      <c r="K2" s="418" t="inlineStr">
        <is>
          <t>January</t>
        </is>
      </c>
      <c r="L2" s="418" t="n"/>
      <c r="M2" s="418" t="n"/>
      <c r="N2" s="419" t="n">
        <v>69403.69</v>
      </c>
      <c r="O2" s="414" t="n"/>
    </row>
    <row r="3" ht="34.95" customHeight="1">
      <c r="A3" s="416" t="inlineStr">
        <is>
          <t>September 4 2023 - September 10 2023</t>
        </is>
      </c>
      <c r="B3" s="420" t="n"/>
      <c r="C3" s="416" t="n">
        <v>16117.29</v>
      </c>
      <c r="D3" s="417" t="n"/>
      <c r="E3" s="417" t="n"/>
      <c r="H3" s="418" t="inlineStr">
        <is>
          <t>February</t>
        </is>
      </c>
      <c r="I3" s="419" t="n">
        <v>68100.95</v>
      </c>
      <c r="J3" s="419" t="n">
        <v>63034.51</v>
      </c>
      <c r="K3" s="418" t="inlineStr">
        <is>
          <t>February</t>
        </is>
      </c>
      <c r="L3" s="418" t="n"/>
      <c r="M3" s="418" t="n"/>
      <c r="N3" s="419" t="n">
        <v>62943.14</v>
      </c>
      <c r="O3" s="419" t="n">
        <v>384</v>
      </c>
    </row>
    <row r="4" ht="34.95" customHeight="1">
      <c r="A4" s="416" t="inlineStr">
        <is>
          <t>September 11 2023 - September 17 2023</t>
        </is>
      </c>
      <c r="B4" s="410" t="n"/>
      <c r="C4" s="416" t="n">
        <v>13973.31</v>
      </c>
      <c r="D4" s="417" t="n"/>
      <c r="E4" s="417" t="n"/>
      <c r="H4" s="418" t="inlineStr">
        <is>
          <t>March</t>
        </is>
      </c>
      <c r="I4" s="419" t="n">
        <v>77326.19</v>
      </c>
      <c r="J4" s="419" t="n">
        <v>64569.19</v>
      </c>
      <c r="K4" s="418" t="inlineStr">
        <is>
          <t>March</t>
        </is>
      </c>
      <c r="L4" s="418" t="n"/>
      <c r="M4" s="418" t="n"/>
      <c r="N4" s="419" t="n">
        <v>69917.17</v>
      </c>
      <c r="O4" s="419" t="n">
        <v>6412.27</v>
      </c>
    </row>
    <row r="5" ht="34.95" customHeight="1">
      <c r="A5" s="416" t="inlineStr">
        <is>
          <t>September 18 2023 - September 24 2023</t>
        </is>
      </c>
      <c r="B5" s="410" t="n"/>
      <c r="C5" s="416" t="n">
        <v>15058.21</v>
      </c>
      <c r="D5" s="417" t="n"/>
      <c r="E5" s="417" t="n"/>
      <c r="H5" s="418" t="inlineStr">
        <is>
          <t>April</t>
        </is>
      </c>
      <c r="I5" s="419" t="n">
        <v>74335</v>
      </c>
      <c r="J5" s="419" t="n">
        <v>66704.55</v>
      </c>
      <c r="K5" s="418" t="inlineStr">
        <is>
          <t>April</t>
        </is>
      </c>
      <c r="L5" s="418" t="n"/>
      <c r="M5" s="418" t="n"/>
      <c r="N5" s="419" t="n">
        <v>85521.5</v>
      </c>
      <c r="O5" s="419" t="n">
        <v>3821.88</v>
      </c>
    </row>
    <row r="6" ht="34.95" customHeight="1">
      <c r="A6" s="416" t="inlineStr">
        <is>
          <t>September 25 2023 - October 1 2023</t>
        </is>
      </c>
      <c r="B6" s="410" t="n"/>
      <c r="C6" s="416" t="n">
        <v>14752.34</v>
      </c>
      <c r="D6" s="417" t="n"/>
      <c r="E6" s="417" t="n"/>
      <c r="H6" s="418" t="inlineStr">
        <is>
          <t>May</t>
        </is>
      </c>
      <c r="I6" s="419" t="n">
        <v>101590.8</v>
      </c>
      <c r="J6" s="419" t="n">
        <v>86171.39</v>
      </c>
      <c r="K6" s="418" t="inlineStr">
        <is>
          <t>May</t>
        </is>
      </c>
      <c r="L6" s="418" t="n"/>
      <c r="M6" s="418" t="n"/>
      <c r="N6" s="419" t="n">
        <v>78013.10000000001</v>
      </c>
      <c r="O6" s="419" t="n">
        <v>4152</v>
      </c>
    </row>
    <row r="7" ht="34.95" customHeight="1">
      <c r="A7" s="416" t="inlineStr">
        <is>
          <t>October 2 2023 - October 8 2023</t>
        </is>
      </c>
      <c r="B7" s="410" t="n"/>
      <c r="C7" s="416" t="n">
        <v>16461.74</v>
      </c>
      <c r="D7" s="417" t="n"/>
      <c r="E7" s="417" t="n"/>
      <c r="H7" s="418" t="inlineStr">
        <is>
          <t>June</t>
        </is>
      </c>
      <c r="I7" s="419" t="n">
        <v>77714.7</v>
      </c>
      <c r="J7" s="419" t="n">
        <v>78073.55</v>
      </c>
      <c r="K7" s="418" t="inlineStr">
        <is>
          <t>June</t>
        </is>
      </c>
      <c r="L7" s="418" t="n"/>
      <c r="M7" s="418" t="n"/>
      <c r="N7" s="419" t="n">
        <v>88939.31</v>
      </c>
      <c r="O7" s="419" t="n">
        <v>2856</v>
      </c>
    </row>
    <row r="8" ht="34.95" customHeight="1">
      <c r="A8" s="416" t="inlineStr">
        <is>
          <t>October 9 2023 - October 15 2023</t>
        </is>
      </c>
      <c r="B8" s="410" t="n"/>
      <c r="C8" s="416" t="n">
        <v>15751.3</v>
      </c>
      <c r="D8" s="417" t="n"/>
      <c r="E8" s="417" t="n"/>
      <c r="H8" s="418" t="inlineStr">
        <is>
          <t>July</t>
        </is>
      </c>
      <c r="I8" s="419" t="n">
        <v>91085.50999999999</v>
      </c>
      <c r="J8" s="419" t="n">
        <v>98373.87</v>
      </c>
      <c r="K8" s="418" t="inlineStr">
        <is>
          <t>July</t>
        </is>
      </c>
      <c r="L8" s="418" t="n"/>
      <c r="M8" s="418" t="n"/>
      <c r="N8" s="419" t="n">
        <v>95569.19</v>
      </c>
      <c r="O8" s="419" t="n">
        <v>2237.6</v>
      </c>
    </row>
    <row r="9" ht="34.95" customHeight="1">
      <c r="A9" s="416" t="inlineStr">
        <is>
          <t>October 16 2023 - October 22 2023</t>
        </is>
      </c>
      <c r="B9" s="410" t="n"/>
      <c r="C9" s="416" t="n">
        <v>14944.6</v>
      </c>
      <c r="D9" s="417" t="n"/>
      <c r="E9" s="417" t="n"/>
      <c r="H9" s="418" t="inlineStr">
        <is>
          <t>August</t>
        </is>
      </c>
      <c r="I9" s="419" t="n">
        <v>80633.19</v>
      </c>
      <c r="J9" s="419" t="n">
        <v>77958.50999999999</v>
      </c>
      <c r="K9" s="418" t="inlineStr">
        <is>
          <t>August</t>
        </is>
      </c>
      <c r="L9" s="418" t="n"/>
      <c r="M9" s="418" t="n"/>
      <c r="N9" s="419" t="n">
        <v>83798.17999999999</v>
      </c>
      <c r="O9" s="419" t="n">
        <v>4480</v>
      </c>
    </row>
    <row r="10" ht="34.95" customHeight="1">
      <c r="A10" s="416" t="inlineStr">
        <is>
          <t>October 23 2023 - October 29 2023</t>
        </is>
      </c>
      <c r="B10" s="410" t="n"/>
      <c r="C10" s="416" t="n">
        <v>15238.49</v>
      </c>
      <c r="D10" s="417" t="n"/>
      <c r="E10" s="417" t="n"/>
      <c r="H10" s="418" t="inlineStr">
        <is>
          <t>September</t>
        </is>
      </c>
      <c r="I10" s="419" t="n">
        <v>75143.44</v>
      </c>
      <c r="J10" s="419" t="n">
        <v>76305.52</v>
      </c>
      <c r="K10" s="418" t="inlineStr">
        <is>
          <t>September</t>
        </is>
      </c>
      <c r="L10" s="418" t="n"/>
      <c r="M10" s="418" t="n"/>
      <c r="N10" s="419" t="n">
        <v>68745.39</v>
      </c>
      <c r="O10" s="419" t="n">
        <v>3384</v>
      </c>
    </row>
    <row r="11" ht="34.95" customHeight="1">
      <c r="A11" s="416" t="inlineStr">
        <is>
          <t>October 30 2023 - November 5 2023</t>
        </is>
      </c>
      <c r="B11" s="410" t="n"/>
      <c r="C11" s="416" t="n">
        <v>16537.96</v>
      </c>
      <c r="D11" s="417" t="n"/>
      <c r="E11" s="417" t="n"/>
      <c r="H11" s="418" t="inlineStr">
        <is>
          <t>October</t>
        </is>
      </c>
      <c r="I11" s="419" t="n">
        <v>83713.46000000001</v>
      </c>
      <c r="J11" s="419" t="n">
        <v>82557.77</v>
      </c>
      <c r="K11" s="418" t="inlineStr">
        <is>
          <t>October</t>
        </is>
      </c>
      <c r="L11" s="418" t="n"/>
      <c r="M11" s="418" t="n"/>
      <c r="N11" s="419" t="n">
        <v>67822.85000000001</v>
      </c>
      <c r="O11" s="419" t="n">
        <v>3832</v>
      </c>
    </row>
    <row r="12" ht="34.95" customHeight="1">
      <c r="A12" s="416" t="inlineStr">
        <is>
          <t>November 6 2023 - November 12 2023</t>
        </is>
      </c>
      <c r="B12" s="410" t="n"/>
      <c r="C12" s="416" t="n">
        <v>16254.22</v>
      </c>
      <c r="D12" s="417" t="n"/>
      <c r="E12" s="417" t="n"/>
      <c r="H12" s="418" t="inlineStr">
        <is>
          <t>November</t>
        </is>
      </c>
      <c r="I12" s="419" t="n">
        <v>70757.44</v>
      </c>
      <c r="J12" s="419" t="n">
        <v>76685.89</v>
      </c>
      <c r="K12" s="418" t="inlineStr">
        <is>
          <t>November</t>
        </is>
      </c>
      <c r="L12" s="418" t="n"/>
      <c r="M12" s="418" t="n"/>
      <c r="N12" s="414" t="n"/>
      <c r="O12" s="414" t="n"/>
    </row>
    <row r="13" ht="34.95" customHeight="1">
      <c r="A13" s="416" t="inlineStr">
        <is>
          <t>November 13 2023 - November 19 2023</t>
        </is>
      </c>
      <c r="B13" s="410" t="n"/>
      <c r="C13" s="416" t="n">
        <v>16419.73</v>
      </c>
      <c r="D13" s="417" t="n"/>
      <c r="E13" s="417" t="n"/>
      <c r="H13" s="418" t="inlineStr">
        <is>
          <t>December</t>
        </is>
      </c>
      <c r="I13" s="419" t="n">
        <v>92026.07000000001</v>
      </c>
      <c r="J13" s="419" t="n">
        <v>84136.75999999999</v>
      </c>
      <c r="K13" s="418" t="inlineStr">
        <is>
          <t>December</t>
        </is>
      </c>
      <c r="L13" s="418" t="n"/>
      <c r="M13" s="418" t="n"/>
      <c r="N13" s="414" t="n"/>
      <c r="O13" s="414" t="n"/>
    </row>
    <row r="14" ht="34.95" customHeight="1">
      <c r="A14" s="416" t="inlineStr">
        <is>
          <t>November 20 2023 - November 26 2023</t>
        </is>
      </c>
      <c r="B14" s="410" t="n"/>
      <c r="C14" s="416" t="n">
        <v>16688.44</v>
      </c>
      <c r="D14" s="417" t="n"/>
      <c r="E14" s="417" t="n"/>
    </row>
    <row r="15" ht="34.95" customHeight="1">
      <c r="A15" s="416" t="inlineStr">
        <is>
          <t>November 27 2023 - December 03 2024</t>
        </is>
      </c>
      <c r="B15" s="410" t="n"/>
      <c r="C15" s="416" t="n">
        <v>14806.91</v>
      </c>
      <c r="D15" s="417" t="n"/>
      <c r="E15" s="417" t="n"/>
    </row>
    <row r="16">
      <c r="A16" s="416" t="n"/>
      <c r="B16" s="410" t="n"/>
      <c r="C16" s="416" t="n"/>
      <c r="D16" s="417" t="n"/>
      <c r="E16" s="417" t="n"/>
    </row>
    <row r="17" ht="34.95" customHeight="1">
      <c r="A17" s="416" t="inlineStr">
        <is>
          <t>December 04 2023 - December 10 2024</t>
        </is>
      </c>
      <c r="B17" s="410" t="n"/>
      <c r="C17" s="416" t="n">
        <v>14923.3</v>
      </c>
      <c r="D17" s="417" t="n"/>
      <c r="E17" s="417" t="n"/>
    </row>
    <row r="18" ht="34.95" customHeight="1">
      <c r="A18" s="416" t="inlineStr">
        <is>
          <t>December 11 2023 - December 17 2024</t>
        </is>
      </c>
      <c r="B18" s="410" t="n"/>
      <c r="C18" s="416" t="n">
        <v>14084.19</v>
      </c>
      <c r="D18" s="417" t="n"/>
      <c r="E18" s="417" t="n"/>
    </row>
    <row r="19" ht="34.95" customHeight="1">
      <c r="A19" s="416" t="inlineStr">
        <is>
          <t>December 18 2023 - December 24 2024</t>
        </is>
      </c>
      <c r="B19" s="410" t="n"/>
      <c r="C19" s="416" t="n">
        <v>17814.62</v>
      </c>
      <c r="D19" s="417" t="n"/>
      <c r="E19" s="417" t="n"/>
    </row>
    <row r="20" ht="34.95" customHeight="1">
      <c r="A20" s="416" t="inlineStr">
        <is>
          <t>December 25 2023 - December 31 2024</t>
        </is>
      </c>
      <c r="B20" s="410" t="n"/>
      <c r="C20" s="416" t="n">
        <v>19192.27</v>
      </c>
      <c r="D20" s="417" t="n"/>
      <c r="E20" s="417" t="n"/>
    </row>
    <row r="21">
      <c r="A21" s="416" t="inlineStr">
        <is>
          <t>Jan 1 - Jan 07 2024</t>
        </is>
      </c>
      <c r="B21" s="410" t="n"/>
      <c r="C21" s="416" t="n">
        <v>14988.73</v>
      </c>
      <c r="D21" s="417" t="n"/>
      <c r="E21" s="417" t="n"/>
    </row>
    <row r="22">
      <c r="A22" s="416" t="inlineStr">
        <is>
          <t>Jan 8 - Jan 14 2024</t>
        </is>
      </c>
      <c r="B22" s="410" t="n"/>
      <c r="C22" s="416" t="n">
        <v>10837.15</v>
      </c>
      <c r="D22" s="417" t="n"/>
      <c r="E22" s="417" t="n"/>
    </row>
    <row r="23">
      <c r="A23" s="416" t="inlineStr">
        <is>
          <t>Jan 15 - Jan 21 2024</t>
        </is>
      </c>
      <c r="B23" s="410" t="n"/>
      <c r="C23" s="416" t="n">
        <v>13313.4</v>
      </c>
      <c r="D23" s="417" t="n"/>
      <c r="E23" s="417" t="n"/>
    </row>
    <row r="24">
      <c r="A24" s="416" t="inlineStr">
        <is>
          <t>Jan 22 - Jan 28 2025</t>
        </is>
      </c>
      <c r="B24" s="410" t="n"/>
      <c r="C24" s="416" t="n">
        <v>12023.55</v>
      </c>
      <c r="D24" s="417" t="n"/>
      <c r="E24" s="417" t="n"/>
    </row>
    <row r="25">
      <c r="A25" s="416" t="inlineStr">
        <is>
          <t>Jan 29 - Feb 04 2026</t>
        </is>
      </c>
      <c r="B25" s="421" t="n"/>
      <c r="C25" s="422" t="n">
        <v>11182.05</v>
      </c>
      <c r="D25" s="423" t="n"/>
      <c r="E25" s="423" t="n"/>
    </row>
    <row r="26">
      <c r="A26" s="416" t="inlineStr">
        <is>
          <t>Feb 05 - Feb 11 2026</t>
        </is>
      </c>
      <c r="B26" s="421" t="n"/>
      <c r="C26" s="422" t="n">
        <v>10837.15</v>
      </c>
      <c r="D26" s="423" t="n"/>
      <c r="E26" s="423" t="n"/>
    </row>
    <row r="27">
      <c r="A27" s="416" t="inlineStr">
        <is>
          <t>Feb 12 - Feb 18 2024</t>
        </is>
      </c>
      <c r="B27" s="414" t="n"/>
      <c r="C27" s="424" t="n">
        <v>12977.32</v>
      </c>
      <c r="D27" s="417" t="n"/>
      <c r="E27" s="417" t="n"/>
    </row>
    <row r="28">
      <c r="A28" s="416" t="inlineStr">
        <is>
          <t>Feb 19 - Feb 25 2024</t>
        </is>
      </c>
      <c r="B28" s="410" t="n"/>
      <c r="C28" s="422" t="n">
        <v>12146.72</v>
      </c>
      <c r="D28" s="423" t="n"/>
      <c r="E28" s="423" t="n"/>
    </row>
    <row r="29">
      <c r="A29" s="425" t="inlineStr">
        <is>
          <t>Feb 26 - Mar 03, 2024</t>
        </is>
      </c>
      <c r="B29" s="410" t="n"/>
      <c r="C29" s="422" t="n">
        <v>11214.76</v>
      </c>
      <c r="D29" s="423" t="n"/>
      <c r="E29" s="423" t="n"/>
    </row>
    <row r="30">
      <c r="A30" s="425" t="inlineStr">
        <is>
          <t>Mar 04 - Mar 10, 2024</t>
        </is>
      </c>
      <c r="B30" s="410" t="n"/>
      <c r="C30" s="422" t="n">
        <v>10915</v>
      </c>
      <c r="D30" s="423" t="n"/>
      <c r="E30" s="423" t="n"/>
    </row>
    <row r="31">
      <c r="A31" s="425" t="inlineStr">
        <is>
          <t>Mar 11 - Mar 17, 2024</t>
        </is>
      </c>
      <c r="B31" s="410" t="n"/>
      <c r="C31" s="422" t="n">
        <v>8179.19</v>
      </c>
      <c r="D31" s="423" t="n"/>
      <c r="E31" s="423" t="n"/>
    </row>
    <row r="32">
      <c r="A32" s="425" t="inlineStr">
        <is>
          <t>Mar 18 - Mar 25, 2024</t>
        </is>
      </c>
      <c r="B32" s="410" t="n"/>
      <c r="C32" s="422" t="n">
        <v>10051.15</v>
      </c>
      <c r="D32" s="423" t="n"/>
      <c r="E32" s="423" t="n"/>
    </row>
    <row r="33">
      <c r="A33" s="425" t="inlineStr">
        <is>
          <t>Mar 25 - Mar 31, 2024</t>
        </is>
      </c>
      <c r="B33" s="410" t="n"/>
      <c r="C33" s="422" t="n">
        <v>11877.6</v>
      </c>
      <c r="D33" s="423" t="n"/>
      <c r="E33" s="423" t="n"/>
    </row>
    <row r="34">
      <c r="A34" s="416" t="inlineStr">
        <is>
          <t>Apr 1 - Apr 07 2024</t>
        </is>
      </c>
      <c r="B34" s="410" t="n"/>
      <c r="C34" s="422" t="n">
        <v>13819.18</v>
      </c>
      <c r="D34" s="423" t="n"/>
      <c r="E34" s="423" t="n"/>
    </row>
    <row r="35">
      <c r="A35" s="416" t="inlineStr">
        <is>
          <t>Apr 8 - Apr 14 2024</t>
        </is>
      </c>
      <c r="B35" s="410" t="n"/>
      <c r="C35" s="422" t="n">
        <v>17167.81</v>
      </c>
      <c r="D35" s="423" t="n"/>
      <c r="E35" s="423" t="n"/>
    </row>
    <row r="36">
      <c r="A36" s="416" t="inlineStr">
        <is>
          <t>Apr 15 - Apr 21 2024</t>
        </is>
      </c>
      <c r="B36" s="410" t="n"/>
      <c r="C36" s="422" t="n">
        <v>12071.78</v>
      </c>
      <c r="D36" s="423" t="n"/>
      <c r="E36" s="423" t="n"/>
    </row>
    <row r="37">
      <c r="A37" s="416" t="inlineStr">
        <is>
          <t>Apr 22 - Apr 28 2024</t>
        </is>
      </c>
      <c r="B37" s="410" t="n"/>
      <c r="C37" s="422" t="n">
        <v>12881.57</v>
      </c>
      <c r="D37" s="423" t="n"/>
      <c r="E37" s="423" t="n"/>
    </row>
    <row r="38">
      <c r="A38" s="416" t="inlineStr">
        <is>
          <t>Apr 29 - May 5 2024</t>
        </is>
      </c>
      <c r="B38" s="410" t="n"/>
      <c r="C38" s="422" t="n">
        <v>12673.64</v>
      </c>
      <c r="D38" s="423" t="n"/>
      <c r="E38" s="423" t="n"/>
    </row>
    <row r="39">
      <c r="A39" s="424" t="inlineStr">
        <is>
          <t>May 6 - May 12 2024</t>
        </is>
      </c>
      <c r="B39" s="426" t="n"/>
      <c r="C39" s="427" t="n">
        <v>15152.23</v>
      </c>
      <c r="D39" s="423" t="n"/>
      <c r="E39" s="423" t="n"/>
    </row>
    <row r="40">
      <c r="A40" s="424" t="inlineStr">
        <is>
          <t>May 13 - May 19 2024</t>
        </is>
      </c>
      <c r="B40" s="426" t="n"/>
      <c r="C40" s="427" t="n">
        <v>14598.85</v>
      </c>
      <c r="D40" s="423" t="n"/>
      <c r="E40" s="423" t="n"/>
    </row>
    <row r="41" ht="34.95" customHeight="1">
      <c r="A41" s="416" t="inlineStr">
        <is>
          <t>May 20 - May 26 2024</t>
        </is>
      </c>
      <c r="B41" s="410" t="n"/>
      <c r="C41" s="428" t="inlineStr">
        <is>
          <t>$13,235.24 + $2,003.04 = 15,238.28</t>
        </is>
      </c>
      <c r="D41" s="429" t="n"/>
      <c r="E41" s="429" t="n"/>
    </row>
    <row r="42">
      <c r="A42" s="416" t="inlineStr">
        <is>
          <t>May 27 - Jun 02 2024</t>
        </is>
      </c>
      <c r="B42" s="421" t="n"/>
      <c r="C42" s="430" t="n">
        <v>15801.56</v>
      </c>
      <c r="D42" s="431" t="n"/>
      <c r="E42" s="431" t="n"/>
    </row>
    <row r="43">
      <c r="A43" s="416" t="inlineStr">
        <is>
          <t>Jun 03 - Jun 09 2024</t>
        </is>
      </c>
      <c r="B43" s="432" t="n"/>
      <c r="C43" s="433" t="n">
        <v>13718.57</v>
      </c>
      <c r="D43" s="431" t="n"/>
      <c r="E43" s="431" t="n"/>
    </row>
    <row r="44">
      <c r="A44" s="416" t="inlineStr">
        <is>
          <t>Jun 10 - Jun 16 2024</t>
        </is>
      </c>
      <c r="B44" s="432" t="n"/>
      <c r="C44" s="433" t="n">
        <v>16076.79</v>
      </c>
      <c r="D44" s="431" t="n"/>
      <c r="E44" s="431" t="n"/>
    </row>
    <row r="45">
      <c r="A45" s="424" t="inlineStr">
        <is>
          <t>Jun 17 - Jun 23 2024</t>
        </is>
      </c>
      <c r="B45" s="434" t="n"/>
      <c r="C45" s="430" t="n">
        <v>16021.38</v>
      </c>
      <c r="D45" s="431" t="n"/>
      <c r="E45" s="431" t="n"/>
    </row>
    <row r="46">
      <c r="A46" s="424" t="inlineStr">
        <is>
          <t>Jun 24 - Jun 30 2024</t>
        </is>
      </c>
      <c r="B46" s="385" t="n"/>
      <c r="C46" s="430" t="n">
        <v>16792.57</v>
      </c>
      <c r="D46" s="431" t="n"/>
      <c r="E46" s="431" t="n"/>
    </row>
    <row r="47">
      <c r="A47" s="416" t="inlineStr">
        <is>
          <t>Jul 1 - Jul 7 2024</t>
        </is>
      </c>
      <c r="B47" s="382" t="n"/>
      <c r="C47" s="433" t="n">
        <v>17314.17</v>
      </c>
      <c r="D47" s="431" t="n"/>
      <c r="E47" s="431" t="n"/>
    </row>
    <row r="48">
      <c r="A48" s="424" t="inlineStr">
        <is>
          <t>Jul 8 - Jul 14 2024</t>
        </is>
      </c>
      <c r="B48" s="385" t="n"/>
      <c r="C48" s="430" t="n">
        <v>15062.86</v>
      </c>
      <c r="D48" s="431" t="n"/>
      <c r="E48" s="431" t="n"/>
    </row>
    <row r="49">
      <c r="A49" s="424" t="inlineStr">
        <is>
          <t>Jul 15 - Jul 21 2024</t>
        </is>
      </c>
      <c r="B49" s="385" t="n"/>
      <c r="C49" s="430">
        <f>14363.75+1000</f>
        <v/>
      </c>
      <c r="D49" s="431" t="n"/>
      <c r="E49" s="431" t="n"/>
    </row>
    <row r="50">
      <c r="A50" s="435" t="inlineStr">
        <is>
          <t>Jul 22 - Jul 28 2024</t>
        </is>
      </c>
      <c r="B50" s="385" t="n"/>
      <c r="C50" s="430" t="n">
        <v>15367.46</v>
      </c>
      <c r="D50" s="431" t="n"/>
      <c r="E50" s="431" t="n"/>
    </row>
    <row r="51">
      <c r="A51" s="418" t="inlineStr">
        <is>
          <t>Jul 29 - Aug 04 2024</t>
        </is>
      </c>
      <c r="B51" s="382" t="n"/>
      <c r="C51" s="433" t="n">
        <v>16876.78</v>
      </c>
      <c r="D51" s="431" t="n"/>
      <c r="E51" s="431" t="n"/>
    </row>
    <row r="52">
      <c r="A52" s="436" t="inlineStr">
        <is>
          <t>Aug 05 - Aug 11 2024</t>
        </is>
      </c>
      <c r="B52" s="385" t="n"/>
      <c r="C52" s="430" t="n">
        <v>16542.52</v>
      </c>
      <c r="D52" s="431" t="n"/>
      <c r="E52" s="431" t="n"/>
    </row>
    <row r="53">
      <c r="A53" s="418" t="inlineStr">
        <is>
          <t>Aug 12 - Aug 18 2024</t>
        </is>
      </c>
      <c r="B53" s="382" t="n"/>
      <c r="C53" s="433" t="n">
        <v>15998.15</v>
      </c>
      <c r="D53" s="431" t="n"/>
      <c r="E53" s="431" t="n"/>
    </row>
    <row r="54" ht="14.4" customHeight="1">
      <c r="A54" s="436" t="inlineStr">
        <is>
          <t>Aug 19 - Aug 25 2024</t>
        </is>
      </c>
      <c r="B54" s="385" t="n"/>
      <c r="C54" s="437" t="n">
        <v>14843.19</v>
      </c>
      <c r="D54" s="438" t="n"/>
      <c r="E54" s="438" t="n"/>
    </row>
    <row r="55" ht="14.4" customHeight="1">
      <c r="A55" s="418" t="inlineStr">
        <is>
          <t>Aug 26 - Sep 01 2024</t>
        </is>
      </c>
      <c r="B55" s="382" t="n"/>
      <c r="C55" s="394" t="n">
        <v>16321.93</v>
      </c>
      <c r="D55" s="438" t="n"/>
      <c r="E55" s="438" t="n"/>
    </row>
    <row r="56" ht="14.4" customHeight="1">
      <c r="A56" s="436" t="inlineStr">
        <is>
          <t>Sep 02 - Sep 08 2024</t>
        </is>
      </c>
      <c r="B56" s="385" t="n"/>
      <c r="C56" s="437" t="n">
        <v>14169.96</v>
      </c>
      <c r="D56" s="438" t="n"/>
      <c r="E56" s="438" t="n"/>
    </row>
    <row r="57" ht="14.4" customHeight="1">
      <c r="A57" s="418" t="inlineStr">
        <is>
          <t>Sep 09 - Sep 15 2024</t>
        </is>
      </c>
      <c r="B57" s="382" t="n"/>
      <c r="C57" s="394" t="n">
        <v>15887.78</v>
      </c>
      <c r="D57" s="438" t="n"/>
      <c r="E57" s="438" t="n"/>
    </row>
    <row r="58" ht="14.4" customHeight="1">
      <c r="A58" s="418" t="inlineStr">
        <is>
          <t>Sep 16 - Sep 22 2024</t>
        </is>
      </c>
      <c r="B58" s="382" t="n"/>
      <c r="C58" s="394" t="n">
        <v>13026.28</v>
      </c>
      <c r="D58" s="438" t="n"/>
      <c r="E58" s="438" t="n"/>
    </row>
    <row r="59" ht="14.4" customHeight="1">
      <c r="A59" s="418" t="inlineStr">
        <is>
          <t>Sep 23 - Sep 29 2024</t>
        </is>
      </c>
      <c r="B59" s="382" t="n"/>
      <c r="C59" s="394" t="n">
        <v>14420.09</v>
      </c>
      <c r="D59" s="438" t="n"/>
      <c r="E59" s="438" t="n"/>
    </row>
    <row r="60" ht="14.4" customHeight="1">
      <c r="A60" s="418" t="inlineStr">
        <is>
          <t>Sep 30 - Oct 06 2024</t>
        </is>
      </c>
      <c r="B60" s="382" t="n"/>
      <c r="C60" s="394" t="n">
        <v>14926.92</v>
      </c>
      <c r="D60" s="438" t="n"/>
      <c r="E60" s="438" t="n"/>
    </row>
    <row r="61" ht="14.4" customHeight="1">
      <c r="A61" s="418" t="inlineStr">
        <is>
          <t>Oct 07 - Oct 13 2024</t>
        </is>
      </c>
      <c r="B61" s="382" t="n"/>
      <c r="C61" s="394" t="n">
        <v>14709.53</v>
      </c>
      <c r="D61" s="438" t="n"/>
      <c r="E61" s="438" t="n"/>
    </row>
    <row r="62" ht="14.4" customHeight="1">
      <c r="A62" s="418" t="inlineStr">
        <is>
          <t>Oct 14 - Oct 20 2024</t>
        </is>
      </c>
      <c r="B62" s="382" t="n"/>
      <c r="C62" s="394" t="n">
        <v>16819.7</v>
      </c>
      <c r="D62" s="438" t="n"/>
      <c r="E62" s="438" t="n"/>
    </row>
    <row r="63" ht="14.4" customHeight="1">
      <c r="A63" s="418" t="inlineStr">
        <is>
          <t>Oct 21 - Oct 27 2024</t>
        </is>
      </c>
      <c r="B63" s="382" t="n"/>
      <c r="C63" s="394" t="n">
        <v>14491.27</v>
      </c>
      <c r="D63" s="438" t="n"/>
      <c r="E63" s="438" t="n"/>
    </row>
    <row r="64" ht="14.4" customHeight="1">
      <c r="A64" s="418" t="inlineStr">
        <is>
          <t>Oct 28 - Nov 03 2024</t>
        </is>
      </c>
      <c r="B64" s="382" t="n"/>
      <c r="C64" s="394" t="n">
        <v>12463.06</v>
      </c>
      <c r="D64" s="438" t="n"/>
      <c r="E64" s="438" t="n"/>
    </row>
    <row r="65" ht="14.4" customHeight="1">
      <c r="A65" s="418" t="inlineStr">
        <is>
          <t>Nov 4 - Nov 10 2024</t>
        </is>
      </c>
      <c r="B65" s="382" t="n"/>
      <c r="C65" s="394" t="n">
        <v>13104.97</v>
      </c>
      <c r="D65" s="438" t="n"/>
      <c r="E65" s="438" t="n"/>
    </row>
    <row r="66" ht="15" customHeight="1" thickBot="1">
      <c r="A66" s="418" t="inlineStr">
        <is>
          <t>Nov 11 - Nov 17 2024</t>
        </is>
      </c>
      <c r="B66" s="382" t="n"/>
      <c r="C66" s="394" t="n">
        <v>12458.71</v>
      </c>
      <c r="D66" s="438" t="n"/>
      <c r="E66" s="438" t="n"/>
    </row>
    <row r="67" ht="18" customHeight="1" thickBot="1">
      <c r="A67" s="418" t="inlineStr">
        <is>
          <t>Nov 18 - Nov 24 2024</t>
        </is>
      </c>
      <c r="B67" s="382" t="n"/>
      <c r="C67" s="394" t="n">
        <v>12487.38</v>
      </c>
      <c r="D67" s="438" t="n"/>
      <c r="E67" s="438" t="n"/>
      <c r="H67" s="439" t="n"/>
      <c r="I67" s="440" t="n"/>
    </row>
    <row r="68" ht="18" customHeight="1" thickBot="1">
      <c r="A68" s="418" t="inlineStr">
        <is>
          <t>Nov 25 - Dec 01 2024</t>
        </is>
      </c>
      <c r="B68" s="382" t="n"/>
      <c r="C68" s="394" t="n">
        <v>14655.04</v>
      </c>
      <c r="D68" s="438" t="n"/>
      <c r="E68" s="438" t="n"/>
      <c r="H68" s="441" t="n"/>
      <c r="I68" s="440" t="n"/>
    </row>
    <row r="69">
      <c r="A69" s="436" t="inlineStr">
        <is>
          <t>Dec 02 - Dec 08 2024</t>
        </is>
      </c>
      <c r="B69" s="385" t="n"/>
      <c r="C69" s="437" t="n">
        <v>13708.62</v>
      </c>
      <c r="D69" s="438" t="n"/>
      <c r="E69" s="438" t="n"/>
      <c r="H69" s="442" t="n"/>
      <c r="I69" s="443" t="n"/>
    </row>
    <row r="70" ht="14.4" customHeight="1">
      <c r="A70" s="418" t="inlineStr">
        <is>
          <t>Dec 09 - Dec 15 2024</t>
        </is>
      </c>
      <c r="B70" s="382" t="n"/>
      <c r="C70" s="394" t="n">
        <v>16310.34</v>
      </c>
      <c r="D70" s="394" t="inlineStr">
        <is>
          <t>Bill Count</t>
        </is>
      </c>
      <c r="E70" s="394" t="inlineStr">
        <is>
          <t>TB Total</t>
        </is>
      </c>
      <c r="F70" s="382" t="inlineStr">
        <is>
          <t>In-Store</t>
        </is>
      </c>
      <c r="G70" s="382" t="inlineStr">
        <is>
          <t>Skip</t>
        </is>
      </c>
      <c r="H70" s="382" t="inlineStr">
        <is>
          <t>DD</t>
        </is>
      </c>
      <c r="I70" s="382" t="inlineStr">
        <is>
          <t>Uber (TB)</t>
        </is>
      </c>
      <c r="J70" s="382" t="inlineStr">
        <is>
          <t>KKW Earnings</t>
        </is>
      </c>
      <c r="K70" s="382" t="inlineStr">
        <is>
          <t>KKW Marketing</t>
        </is>
      </c>
      <c r="L70" s="382" t="inlineStr">
        <is>
          <t>Smash Earnings</t>
        </is>
      </c>
      <c r="M70" s="382" t="inlineStr">
        <is>
          <t>Smash Marketing</t>
        </is>
      </c>
      <c r="N70" s="382" t="inlineStr">
        <is>
          <t>Uber Total</t>
        </is>
      </c>
    </row>
    <row r="71" ht="14.4" customHeight="1">
      <c r="A71" s="418" t="inlineStr">
        <is>
          <t>Dec 16 - Dec 22 2024</t>
        </is>
      </c>
      <c r="B71" s="382" t="n"/>
      <c r="C71" s="394" t="n">
        <v>17615.42</v>
      </c>
      <c r="D71" s="394" t="n"/>
      <c r="E71" s="394" t="n"/>
      <c r="F71" s="382" t="n"/>
      <c r="G71" s="382" t="n"/>
      <c r="H71" s="382" t="n"/>
      <c r="I71" s="382" t="n"/>
      <c r="J71" s="382" t="n"/>
      <c r="K71" s="382" t="n"/>
      <c r="L71" s="382" t="n"/>
      <c r="M71" s="382" t="n"/>
      <c r="N71" s="382" t="n"/>
    </row>
    <row r="72" ht="14.4" customHeight="1">
      <c r="A72" s="418" t="inlineStr">
        <is>
          <t>Dec 23 - Dec 29 2024</t>
        </is>
      </c>
      <c r="B72" s="382" t="n"/>
      <c r="C72" s="394" t="n">
        <v>21769.94</v>
      </c>
      <c r="D72" s="394" t="n"/>
      <c r="E72" s="394" t="n"/>
      <c r="F72" s="382" t="n"/>
      <c r="G72" s="382" t="n">
        <v>396.9</v>
      </c>
      <c r="H72" s="382" t="n">
        <v>339.49</v>
      </c>
      <c r="I72" s="382" t="n">
        <v>2630.08</v>
      </c>
      <c r="J72" s="382" t="n"/>
      <c r="K72" s="382" t="n"/>
      <c r="L72" s="382" t="n"/>
      <c r="M72" s="382" t="n"/>
      <c r="N72" s="382" t="n"/>
    </row>
    <row r="73" ht="14.4" customHeight="1">
      <c r="A73" s="418" t="inlineStr">
        <is>
          <t>Dec 30 - Jan 05 2025</t>
        </is>
      </c>
      <c r="B73" s="382" t="n"/>
      <c r="C73" s="394" t="n">
        <v>17723.83</v>
      </c>
      <c r="D73" s="394" t="n"/>
      <c r="E73" s="394" t="n"/>
      <c r="F73" s="382" t="n"/>
      <c r="G73" s="382" t="n">
        <v>71.95999999999999</v>
      </c>
      <c r="H73" s="382" t="n">
        <v>468.65</v>
      </c>
      <c r="I73" s="382" t="n">
        <v>1724.06</v>
      </c>
      <c r="J73" s="382" t="n"/>
      <c r="K73" s="382" t="n"/>
      <c r="L73" s="382" t="n"/>
      <c r="M73" s="382" t="n"/>
      <c r="N73" s="382" t="n"/>
    </row>
    <row r="74" ht="14.4" customHeight="1">
      <c r="A74" s="418" t="inlineStr">
        <is>
          <t>Jan 06 - Jan 12 2025</t>
        </is>
      </c>
      <c r="B74" s="382" t="n"/>
      <c r="C74" s="394" t="n">
        <v>13819.59</v>
      </c>
      <c r="D74" s="394" t="n"/>
      <c r="E74" s="394" t="n"/>
      <c r="F74" s="382" t="n"/>
      <c r="G74" s="382" t="n"/>
      <c r="H74" s="382" t="n"/>
      <c r="I74" s="382" t="n"/>
      <c r="J74" s="382" t="n"/>
      <c r="K74" s="382" t="n"/>
      <c r="L74" s="382" t="n"/>
      <c r="M74" s="382" t="n"/>
      <c r="N74" s="382" t="n"/>
    </row>
    <row r="75" ht="14.4" customHeight="1">
      <c r="A75" s="418" t="inlineStr">
        <is>
          <t>Jan 13 - Jan 19 2025</t>
        </is>
      </c>
      <c r="B75" s="382" t="n"/>
      <c r="C75" s="382">
        <f>SUM(F75,G75,H75,N75)</f>
        <v/>
      </c>
      <c r="D75" s="382" t="n"/>
      <c r="E75" s="382" t="n"/>
      <c r="F75" s="394" t="n">
        <v>14797.45</v>
      </c>
      <c r="G75" s="394" t="n">
        <v>138.55</v>
      </c>
      <c r="H75" s="394" t="n">
        <v>549.91</v>
      </c>
      <c r="I75" s="382" t="n">
        <v>2238.24</v>
      </c>
      <c r="J75" s="444" t="n">
        <v>2246.27</v>
      </c>
      <c r="K75" s="445" t="n">
        <v>294.96</v>
      </c>
      <c r="L75" s="445" t="n"/>
      <c r="M75" s="445" t="n"/>
      <c r="N75" s="382">
        <f>(J75-K75)</f>
        <v/>
      </c>
    </row>
    <row r="76" ht="14.4" customHeight="1">
      <c r="A76" s="418" t="inlineStr">
        <is>
          <t>Jan 20 - Jan 26 2025</t>
        </is>
      </c>
      <c r="B76" s="382" t="n"/>
      <c r="C76" s="382">
        <f>SUM(F76,G76,H76,N76)</f>
        <v/>
      </c>
      <c r="D76" s="382" t="n"/>
      <c r="E76" s="382" t="n"/>
      <c r="F76" s="382" t="n">
        <v>11263.85</v>
      </c>
      <c r="G76" s="382" t="n">
        <v>35</v>
      </c>
      <c r="H76" s="382" t="n">
        <v>480.57</v>
      </c>
      <c r="I76" s="382" t="n">
        <v>2568.55</v>
      </c>
      <c r="J76" s="444" t="n">
        <v>2568.55</v>
      </c>
      <c r="K76" s="444" t="n">
        <v>432.88</v>
      </c>
      <c r="L76" s="444" t="n"/>
      <c r="M76" s="444" t="n"/>
      <c r="N76" s="382">
        <f>(J76-K76)</f>
        <v/>
      </c>
    </row>
    <row r="77" ht="14.4" customHeight="1">
      <c r="A77" s="418" t="inlineStr">
        <is>
          <t>Jan 27 - Feb 02 2025</t>
        </is>
      </c>
      <c r="B77" s="382" t="n"/>
      <c r="C77" s="382">
        <f>SUM(F77,G77,H77,N77)</f>
        <v/>
      </c>
      <c r="D77" s="382" t="n"/>
      <c r="E77" s="382" t="n"/>
      <c r="F77" s="382" t="n">
        <v>12102.9</v>
      </c>
      <c r="G77" s="382" t="n">
        <v>89.28</v>
      </c>
      <c r="H77" s="382" t="n">
        <v>454.7</v>
      </c>
      <c r="I77" s="382" t="n">
        <v>2514.6</v>
      </c>
      <c r="J77" s="444" t="n">
        <v>2539.78</v>
      </c>
      <c r="K77" s="444" t="n">
        <v>418.54</v>
      </c>
      <c r="L77" s="444" t="n"/>
      <c r="M77" s="444" t="n"/>
      <c r="N77" s="382">
        <f>(J77-K77)</f>
        <v/>
      </c>
    </row>
    <row r="78" ht="14.4" customHeight="1">
      <c r="A78" s="418" t="inlineStr">
        <is>
          <t>Feb 03 - Feb 09 2025</t>
        </is>
      </c>
      <c r="B78" s="382" t="n"/>
      <c r="C78" s="382">
        <f>SUM(F78,G78,H78,N78)</f>
        <v/>
      </c>
      <c r="D78" s="382" t="n"/>
      <c r="E78" s="382" t="n"/>
      <c r="F78" s="382" t="n">
        <v>10274.77</v>
      </c>
      <c r="G78" s="382" t="n">
        <v>195.67</v>
      </c>
      <c r="H78" s="382" t="n">
        <v>599.59</v>
      </c>
      <c r="I78" s="382" t="n">
        <v>3203.38</v>
      </c>
      <c r="J78" s="444" t="n">
        <v>3150.61</v>
      </c>
      <c r="K78" s="444" t="n">
        <v>426.86</v>
      </c>
      <c r="L78" s="444" t="n"/>
      <c r="M78" s="444" t="n"/>
      <c r="N78" s="382">
        <f>(J78-K78)</f>
        <v/>
      </c>
    </row>
    <row r="79" ht="14.4" customHeight="1">
      <c r="A79" s="418" t="inlineStr">
        <is>
          <t>Feb 10 - Feb 16 2025</t>
        </is>
      </c>
      <c r="B79" s="382" t="n"/>
      <c r="C79" s="382">
        <f>SUM(F79,G79,H79,N79)</f>
        <v/>
      </c>
      <c r="D79" s="382" t="n"/>
      <c r="E79" s="382" t="n"/>
      <c r="F79" s="382" t="n">
        <v>10539.78</v>
      </c>
      <c r="G79" s="382" t="n">
        <v>234.24</v>
      </c>
      <c r="H79" s="382" t="n">
        <v>187.04</v>
      </c>
      <c r="I79" s="382" t="n">
        <v>2082.29</v>
      </c>
      <c r="J79" s="445" t="n">
        <v>2170.1</v>
      </c>
      <c r="K79" s="444" t="n">
        <v>327.36</v>
      </c>
      <c r="L79" s="444" t="n"/>
      <c r="M79" s="444" t="n"/>
      <c r="N79" s="382">
        <f>(J79-K79)</f>
        <v/>
      </c>
    </row>
    <row r="80" ht="14.4" customHeight="1">
      <c r="A80" s="418" t="inlineStr">
        <is>
          <t>Feb 17 - Feb 23 2025</t>
        </is>
      </c>
      <c r="B80" s="382" t="n"/>
      <c r="C80" s="382">
        <f>SUM(F80,G80,H80,N80)</f>
        <v/>
      </c>
      <c r="D80" s="382" t="n"/>
      <c r="E80" s="382" t="n"/>
      <c r="F80" s="394" t="n">
        <v>15612.65</v>
      </c>
      <c r="G80" s="394" t="n">
        <v>126.49</v>
      </c>
      <c r="H80" s="394" t="n">
        <v>204.9</v>
      </c>
      <c r="I80" s="394" t="n">
        <v>2375.33</v>
      </c>
      <c r="J80" s="445" t="n">
        <v>2375.33</v>
      </c>
      <c r="K80" s="444" t="n">
        <v>429.87</v>
      </c>
      <c r="L80" s="444" t="n"/>
      <c r="M80" s="444" t="n"/>
      <c r="N80" s="382">
        <f>(J80-K80)</f>
        <v/>
      </c>
    </row>
    <row r="81" ht="14.4" customHeight="1">
      <c r="A81" s="418" t="inlineStr">
        <is>
          <t>Feb 24 - Mar 02 2025</t>
        </is>
      </c>
      <c r="B81" s="382" t="n"/>
      <c r="C81" s="382">
        <f>SUM(F81,G81,H81,N81)</f>
        <v/>
      </c>
      <c r="D81" s="382" t="n"/>
      <c r="E81" s="382" t="n"/>
      <c r="F81" s="394" t="n">
        <v>9357.280000000001</v>
      </c>
      <c r="G81" s="394" t="n">
        <v>156.53</v>
      </c>
      <c r="H81" s="394" t="n">
        <v>255.33</v>
      </c>
      <c r="I81" s="394" t="n">
        <v>2145.99</v>
      </c>
      <c r="J81" s="445" t="n">
        <v>2145.99</v>
      </c>
      <c r="K81" s="445" t="n">
        <v>279.38</v>
      </c>
      <c r="L81" s="445" t="n"/>
      <c r="M81" s="445" t="n"/>
      <c r="N81" s="382">
        <f>(J81-K81)</f>
        <v/>
      </c>
    </row>
    <row r="82" ht="14.4" customHeight="1">
      <c r="A82" s="418" t="inlineStr">
        <is>
          <t>Mar 03 - Mar 09 2025</t>
        </is>
      </c>
      <c r="B82" s="382" t="n"/>
      <c r="C82" s="382">
        <f>SUM(F82,G82,H82,N82)</f>
        <v/>
      </c>
      <c r="D82" s="382" t="n"/>
      <c r="E82" s="382" t="n"/>
      <c r="F82" s="394" t="n">
        <v>11083.03</v>
      </c>
      <c r="G82" s="394" t="n">
        <v>92.94</v>
      </c>
      <c r="H82" s="394" t="n">
        <v>242.7</v>
      </c>
      <c r="I82" s="394" t="n">
        <v>2140.3</v>
      </c>
      <c r="J82" s="445" t="n">
        <v>2140.3</v>
      </c>
      <c r="K82" s="444" t="n">
        <v>502.46</v>
      </c>
      <c r="L82" s="444" t="n"/>
      <c r="M82" s="444" t="n"/>
      <c r="N82" s="382">
        <f>(J82-K82)</f>
        <v/>
      </c>
    </row>
    <row r="83" ht="14.4" customHeight="1">
      <c r="A83" s="418" t="inlineStr">
        <is>
          <t>Mar 10 - Mar 16 2025</t>
        </is>
      </c>
      <c r="B83" s="382" t="n"/>
      <c r="C83" s="382">
        <f>SUM(F83,G83,H83,N83)</f>
        <v/>
      </c>
      <c r="D83" s="382" t="n"/>
      <c r="E83" s="382" t="n"/>
      <c r="F83" s="394" t="n">
        <v>12203.82</v>
      </c>
      <c r="G83" s="394" t="n">
        <v>403.24</v>
      </c>
      <c r="H83" s="394" t="n">
        <v>572.37</v>
      </c>
      <c r="I83" s="394" t="n">
        <v>1726.85</v>
      </c>
      <c r="J83" s="444" t="n">
        <v>1726.85</v>
      </c>
      <c r="K83" s="444" t="n">
        <v>366.8</v>
      </c>
      <c r="L83" s="444" t="n"/>
      <c r="M83" s="444" t="n"/>
      <c r="N83" s="382">
        <f>(J83-K83)</f>
        <v/>
      </c>
    </row>
    <row r="84" ht="14.4" customHeight="1">
      <c r="A84" s="418" t="inlineStr">
        <is>
          <t>Mar 17 - Mar 23 2025</t>
        </is>
      </c>
      <c r="B84" s="382" t="n"/>
      <c r="C84" s="382">
        <f>SUM(F84,G84,H84,N84)</f>
        <v/>
      </c>
      <c r="D84" s="382" t="n"/>
      <c r="E84" s="382" t="n"/>
      <c r="F84" s="394" t="n">
        <v>11772.36</v>
      </c>
      <c r="G84" s="394" t="n">
        <v>307.37</v>
      </c>
      <c r="H84" s="394" t="n">
        <v>229.5</v>
      </c>
      <c r="I84" s="394" t="n">
        <v>3043.9</v>
      </c>
      <c r="J84" s="445" t="n">
        <v>3043.9</v>
      </c>
      <c r="K84" s="445" t="n">
        <v>1001.62</v>
      </c>
      <c r="L84" s="445" t="n"/>
      <c r="M84" s="445" t="n"/>
      <c r="N84" s="382">
        <f>(J84-K84)</f>
        <v/>
      </c>
    </row>
    <row r="85" ht="14.4" customHeight="1">
      <c r="A85" s="394" t="inlineStr">
        <is>
          <t>Mar 24 - Mar 30 2025</t>
        </is>
      </c>
      <c r="B85" s="394" t="n"/>
      <c r="C85" s="382">
        <f>SUM(F85,G85,H85,N85)</f>
        <v/>
      </c>
      <c r="D85" s="394" t="n"/>
      <c r="E85" s="394" t="n"/>
      <c r="F85" s="394" t="n">
        <v>17239.64</v>
      </c>
      <c r="G85" s="394" t="n">
        <v>75.97</v>
      </c>
      <c r="H85" s="394" t="n">
        <v>329.42</v>
      </c>
      <c r="I85" s="394" t="n">
        <v>3407.34</v>
      </c>
      <c r="J85" s="445" t="n">
        <v>3802.37</v>
      </c>
      <c r="K85" s="445" t="n">
        <v>411.28</v>
      </c>
      <c r="L85" s="445" t="n"/>
      <c r="M85" s="445" t="n"/>
      <c r="N85" s="394">
        <f>(J85-K85)</f>
        <v/>
      </c>
    </row>
    <row r="86" ht="14.4" customHeight="1">
      <c r="A86" s="394" t="inlineStr">
        <is>
          <t>Mar 31 - Apr 6 2025</t>
        </is>
      </c>
      <c r="B86" s="394" t="n"/>
      <c r="C86" s="382">
        <f>SUM(F86,G86,H86,N86)</f>
        <v/>
      </c>
      <c r="D86" s="394" t="n"/>
      <c r="E86" s="394" t="n"/>
      <c r="F86" s="394" t="n">
        <v>15982.93</v>
      </c>
      <c r="G86" s="394" t="n">
        <v>99.56999999999999</v>
      </c>
      <c r="H86" s="394" t="n">
        <v>325.63</v>
      </c>
      <c r="I86" s="394" t="n">
        <v>2164.85</v>
      </c>
      <c r="J86" s="445" t="n">
        <v>2918.88</v>
      </c>
      <c r="K86" s="446" t="n">
        <v>265.57</v>
      </c>
      <c r="L86" s="446" t="n"/>
      <c r="M86" s="446" t="n"/>
      <c r="N86" s="394">
        <f>(J86-K86)</f>
        <v/>
      </c>
    </row>
    <row r="87" ht="14.4" customHeight="1">
      <c r="A87" s="382" t="inlineStr">
        <is>
          <t>Apr 7 - Apr 13 2025</t>
        </is>
      </c>
      <c r="B87" s="382" t="n"/>
      <c r="C87" s="382">
        <f>SUM(F87,G87,H87,N87)</f>
        <v/>
      </c>
      <c r="D87" s="394" t="n"/>
      <c r="E87" s="394" t="n"/>
      <c r="F87" s="394" t="n">
        <v>12364.38</v>
      </c>
      <c r="G87" s="394" t="n">
        <v>46.86</v>
      </c>
      <c r="H87" s="394" t="n">
        <v>327.77</v>
      </c>
      <c r="I87" s="394" t="n">
        <v>2583.97</v>
      </c>
      <c r="J87" s="445" t="n">
        <v>3341.02</v>
      </c>
      <c r="K87" s="444" t="n">
        <v>739.03</v>
      </c>
      <c r="L87" s="444" t="n"/>
      <c r="M87" s="444" t="n"/>
      <c r="N87" s="394">
        <f>(J87-K87)</f>
        <v/>
      </c>
    </row>
    <row r="88" ht="14.4" customHeight="1">
      <c r="A88" s="382" t="inlineStr">
        <is>
          <t>Apr 14 - Apr 20 2025</t>
        </is>
      </c>
      <c r="B88" s="382" t="n"/>
      <c r="C88" s="382">
        <f>SUM(F88,G88,H88,N88)</f>
        <v/>
      </c>
      <c r="D88" s="382" t="n"/>
      <c r="E88" s="382" t="n"/>
      <c r="F88" s="394" t="n">
        <v>16212.3</v>
      </c>
      <c r="G88" s="394" t="n">
        <v>0</v>
      </c>
      <c r="H88" s="394" t="n">
        <v>49.86</v>
      </c>
      <c r="I88" s="394" t="n">
        <v>2561.66</v>
      </c>
      <c r="J88" s="444" t="n">
        <v>3613.35</v>
      </c>
      <c r="K88" s="444" t="n">
        <v>755.03</v>
      </c>
      <c r="L88" s="444" t="n"/>
      <c r="M88" s="444" t="n"/>
      <c r="N88" s="394">
        <f>(J88-K88)</f>
        <v/>
      </c>
    </row>
    <row r="89" ht="14.4" customHeight="1">
      <c r="A89" s="382" t="inlineStr">
        <is>
          <t>Apr 21 - Apr 27 2025</t>
        </is>
      </c>
      <c r="B89" s="382" t="n"/>
      <c r="C89" s="382">
        <f>SUM(F89,G89,H89,N89)</f>
        <v/>
      </c>
      <c r="D89" s="382" t="n"/>
      <c r="E89" s="382" t="n"/>
      <c r="F89" s="394" t="n">
        <v>13051.45</v>
      </c>
      <c r="G89" s="394" t="n">
        <v>16.8</v>
      </c>
      <c r="H89" s="394" t="n">
        <v>223.46</v>
      </c>
      <c r="I89" s="394" t="n">
        <v>2466.4</v>
      </c>
      <c r="J89" s="445" t="n">
        <v>3152.21</v>
      </c>
      <c r="K89" s="444" t="n">
        <v>273.75</v>
      </c>
      <c r="L89" s="444" t="n"/>
      <c r="M89" s="444" t="n"/>
      <c r="N89" s="394">
        <f>(J89-K89)</f>
        <v/>
      </c>
    </row>
    <row r="90" ht="14.4" customHeight="1">
      <c r="A90" s="382" t="inlineStr">
        <is>
          <t>Apr 28 - May 04 2025</t>
        </is>
      </c>
      <c r="B90" s="382" t="n"/>
      <c r="C90" s="382">
        <f>SUM(F90,G90,H90,N90)</f>
        <v/>
      </c>
      <c r="D90" s="382" t="n"/>
      <c r="E90" s="382" t="n"/>
      <c r="F90" s="394" t="n">
        <v>15402.32</v>
      </c>
      <c r="G90" s="394" t="n">
        <v>63.37</v>
      </c>
      <c r="H90" s="394" t="n">
        <v>188.26</v>
      </c>
      <c r="I90" s="394" t="n">
        <v>1723.69</v>
      </c>
      <c r="J90" s="445" t="n">
        <v>2141.96</v>
      </c>
      <c r="K90" s="444" t="n">
        <v>176</v>
      </c>
      <c r="L90" s="444" t="n"/>
      <c r="M90" s="444" t="n"/>
      <c r="N90" s="394">
        <f>(J90-K90)</f>
        <v/>
      </c>
    </row>
    <row r="91" ht="14.4" customHeight="1">
      <c r="A91" s="382" t="inlineStr">
        <is>
          <t>May 05 - May 11 2025</t>
        </is>
      </c>
      <c r="B91" s="382" t="n"/>
      <c r="C91" s="382">
        <f>SUM(F91,G91,H91,N91)</f>
        <v/>
      </c>
      <c r="D91" s="382" t="n"/>
      <c r="E91" s="420" t="n">
        <v>16181.36</v>
      </c>
      <c r="F91" s="394" t="n">
        <v>14028.63</v>
      </c>
      <c r="G91" s="394" t="n">
        <v>91.55</v>
      </c>
      <c r="H91" s="394" t="n">
        <v>91.14</v>
      </c>
      <c r="I91" s="394" t="n">
        <v>1970.04</v>
      </c>
      <c r="J91" s="445" t="n">
        <v>2491.78</v>
      </c>
      <c r="K91" s="444" t="n">
        <v>422.66</v>
      </c>
      <c r="L91" s="444" t="n"/>
      <c r="M91" s="444" t="n"/>
      <c r="N91" s="394">
        <f>(J91-K91)</f>
        <v/>
      </c>
    </row>
    <row r="92" ht="14.4" customHeight="1">
      <c r="A92" s="382" t="inlineStr">
        <is>
          <t>May 12 - May 18 2025</t>
        </is>
      </c>
      <c r="B92" s="382" t="n"/>
      <c r="C92" s="382">
        <f>SUM(F92,G92,H92,N92)</f>
        <v/>
      </c>
      <c r="D92" s="382" t="n"/>
      <c r="E92" s="420" t="n">
        <v>17390.45</v>
      </c>
      <c r="F92" s="394" t="n">
        <v>15192.66</v>
      </c>
      <c r="G92" s="394" t="n">
        <v>30.08</v>
      </c>
      <c r="H92" s="394" t="n">
        <v>136.91</v>
      </c>
      <c r="I92" s="394" t="n">
        <v>2030.8</v>
      </c>
      <c r="J92" s="444" t="n">
        <v>2580.15</v>
      </c>
      <c r="K92" s="444" t="n">
        <v>208</v>
      </c>
      <c r="L92" s="444" t="n"/>
      <c r="M92" s="444" t="n"/>
      <c r="N92" s="394">
        <f>(J92-K92)</f>
        <v/>
      </c>
    </row>
    <row r="93" ht="14.4" customHeight="1">
      <c r="A93" s="382" t="inlineStr">
        <is>
          <t>May 19 - May 25 2025</t>
        </is>
      </c>
      <c r="B93" s="382" t="n"/>
      <c r="C93" s="382">
        <f>SUM(F93,G93,H93,N93)</f>
        <v/>
      </c>
      <c r="D93" s="382" t="n"/>
      <c r="E93" s="420" t="n">
        <v>16865.13</v>
      </c>
      <c r="F93" s="394" t="n">
        <v>14131.51</v>
      </c>
      <c r="G93" s="394" t="n">
        <v>98.45999999999999</v>
      </c>
      <c r="H93" s="394" t="n">
        <v>148.87</v>
      </c>
      <c r="I93" s="394" t="n">
        <v>2486.29</v>
      </c>
      <c r="J93" s="445" t="n">
        <v>3107.07</v>
      </c>
      <c r="K93" s="444" t="n">
        <v>320</v>
      </c>
      <c r="L93" s="444" t="n"/>
      <c r="M93" s="444" t="n"/>
      <c r="N93" s="394">
        <f>(J93-K93)</f>
        <v/>
      </c>
    </row>
    <row r="94" ht="14.4" customHeight="1">
      <c r="A94" s="382" t="inlineStr">
        <is>
          <t>May 26 - June 01 2025</t>
        </is>
      </c>
      <c r="B94" s="382" t="n"/>
      <c r="C94" s="382">
        <f>SUM(F94,G94,H94,N94)</f>
        <v/>
      </c>
      <c r="D94" s="382" t="n"/>
      <c r="E94" s="391" t="n">
        <v>19146.4</v>
      </c>
      <c r="F94" s="389" t="n">
        <v>16228.53</v>
      </c>
      <c r="G94" s="389" t="n">
        <v>21.8</v>
      </c>
      <c r="H94" s="389" t="n">
        <v>251.15</v>
      </c>
      <c r="I94" s="389" t="n">
        <v>2644.92</v>
      </c>
      <c r="J94" s="390" t="n">
        <v>3015.42</v>
      </c>
      <c r="K94" s="383" t="n">
        <v>240</v>
      </c>
      <c r="L94" s="444" t="n"/>
      <c r="M94" s="444" t="n"/>
      <c r="N94" s="394">
        <f>(J94-K94)</f>
        <v/>
      </c>
    </row>
    <row r="95" ht="14.4" customHeight="1">
      <c r="A95" s="382" t="inlineStr">
        <is>
          <t>June 02 - June 08 2025</t>
        </is>
      </c>
      <c r="B95" s="382" t="n"/>
      <c r="C95" s="382">
        <f>SUM(F95,G95,H95,N95)</f>
        <v/>
      </c>
      <c r="D95" s="382" t="n"/>
      <c r="E95" s="391" t="n">
        <v>21760.9</v>
      </c>
      <c r="F95" s="389" t="n">
        <v>18673.66</v>
      </c>
      <c r="G95" s="389" t="n">
        <v>58.35</v>
      </c>
      <c r="H95" s="389" t="n">
        <v>67.93000000000001</v>
      </c>
      <c r="I95" s="389" t="n">
        <v>2960.96</v>
      </c>
      <c r="J95" s="390" t="n">
        <v>3616.18</v>
      </c>
      <c r="K95" s="383" t="n">
        <v>416</v>
      </c>
      <c r="L95" s="444" t="n"/>
      <c r="M95" s="444" t="n"/>
      <c r="N95" s="394">
        <f>(J95-K95)</f>
        <v/>
      </c>
    </row>
    <row r="96" ht="14.4" customHeight="1">
      <c r="A96" s="382" t="inlineStr">
        <is>
          <t>June 09 - June 15 2025</t>
        </is>
      </c>
      <c r="B96" s="382" t="n"/>
      <c r="C96" s="382">
        <f>SUM(F96,G96,H96,N96)</f>
        <v/>
      </c>
      <c r="D96" s="382" t="n"/>
      <c r="E96" s="391" t="n">
        <v>17684.01</v>
      </c>
      <c r="F96" s="389" t="n">
        <v>14687.63</v>
      </c>
      <c r="G96" s="389" t="n">
        <v>19.62</v>
      </c>
      <c r="H96" s="389" t="n">
        <v>358.51</v>
      </c>
      <c r="I96" s="389" t="n">
        <v>2618.25</v>
      </c>
      <c r="J96" s="390" t="n">
        <v>3119.21</v>
      </c>
      <c r="K96" s="383" t="n">
        <v>272</v>
      </c>
      <c r="L96" s="382" t="n"/>
      <c r="M96" s="382" t="n"/>
      <c r="N96" s="394">
        <f>(J96-K96)</f>
        <v/>
      </c>
    </row>
    <row r="97" ht="14.4" customHeight="1">
      <c r="A97" s="394" t="inlineStr">
        <is>
          <t>June 16 - June 22 2025</t>
        </is>
      </c>
      <c r="B97" s="394" t="n"/>
      <c r="C97" s="382">
        <f>SUM(F97,G97,H97,N97)</f>
        <v/>
      </c>
      <c r="D97" s="394" t="n"/>
      <c r="E97" s="391" t="n">
        <v>17394.72</v>
      </c>
      <c r="F97" s="389" t="n">
        <v>14622.01</v>
      </c>
      <c r="G97" s="389" t="n">
        <v>18.66</v>
      </c>
      <c r="H97" s="389" t="n">
        <v>268.59</v>
      </c>
      <c r="I97" s="389" t="n">
        <v>2485.46</v>
      </c>
      <c r="J97" s="390" t="n">
        <v>2895.42</v>
      </c>
      <c r="K97" s="395" t="n">
        <v>288</v>
      </c>
      <c r="L97" s="394" t="n"/>
      <c r="M97" s="394" t="n"/>
      <c r="N97" s="394">
        <f>(J97-K97)</f>
        <v/>
      </c>
    </row>
    <row r="98" ht="14.4" customHeight="1">
      <c r="A98" s="394" t="inlineStr">
        <is>
          <t>June 23 - June 29 2025</t>
        </is>
      </c>
      <c r="B98" s="394" t="n"/>
      <c r="C98" s="382">
        <f>SUM(F98,G98,H98,N98)</f>
        <v/>
      </c>
      <c r="D98" s="394" t="n"/>
      <c r="E98" s="391" t="n">
        <v>17356.78</v>
      </c>
      <c r="F98" s="389" t="n">
        <v>14263.59</v>
      </c>
      <c r="G98" s="389" t="n">
        <v>190.74</v>
      </c>
      <c r="H98" s="389" t="n">
        <v>109.76</v>
      </c>
      <c r="I98" s="389" t="n">
        <v>2792.69</v>
      </c>
      <c r="J98" s="390" t="n">
        <v>3260.36</v>
      </c>
      <c r="K98" s="395" t="n">
        <v>348.68</v>
      </c>
      <c r="L98" s="394" t="n"/>
      <c r="M98" s="394" t="n"/>
      <c r="N98" s="394">
        <f>(J98-K98)</f>
        <v/>
      </c>
    </row>
    <row r="99" ht="14.4" customHeight="1">
      <c r="A99" s="394" t="inlineStr">
        <is>
          <t>June 30 - July 06 2025</t>
        </is>
      </c>
      <c r="B99" s="394" t="n"/>
      <c r="C99" s="382">
        <f>SUM(F99,G99,H99,N99)</f>
        <v/>
      </c>
      <c r="D99" s="394" t="n"/>
      <c r="E99" s="391" t="n">
        <v>18326.25</v>
      </c>
      <c r="F99" s="389" t="n">
        <v>15286</v>
      </c>
      <c r="G99" s="389" t="n">
        <v>251.99</v>
      </c>
      <c r="H99" s="389" t="n">
        <v>238.03</v>
      </c>
      <c r="I99" s="389" t="n">
        <v>2550.23</v>
      </c>
      <c r="J99" s="390" t="n">
        <v>3041.18</v>
      </c>
      <c r="K99" s="395" t="n">
        <v>63.7</v>
      </c>
      <c r="L99" s="394" t="n"/>
      <c r="M99" s="394" t="n"/>
      <c r="N99" s="394">
        <f>(J99-K99)</f>
        <v/>
      </c>
    </row>
    <row r="100" ht="14.4" customHeight="1">
      <c r="A100" s="394" t="inlineStr">
        <is>
          <t>July 07 - July 13 2025</t>
        </is>
      </c>
      <c r="B100" s="394" t="n"/>
      <c r="C100" s="382">
        <f>SUM(F100,G100,H100,N100)</f>
        <v/>
      </c>
      <c r="D100" s="394" t="n"/>
      <c r="E100" s="391" t="n">
        <v>17307.89</v>
      </c>
      <c r="F100" s="389" t="n">
        <v>15576.3</v>
      </c>
      <c r="G100" s="389" t="n">
        <v>74.20999999999999</v>
      </c>
      <c r="H100" s="389" t="n">
        <v>159.33</v>
      </c>
      <c r="I100" s="389" t="n">
        <v>1498.05</v>
      </c>
      <c r="J100" s="390" t="n">
        <v>1965.48</v>
      </c>
      <c r="K100" s="148" t="n">
        <v>12.68</v>
      </c>
      <c r="L100" s="394" t="n"/>
      <c r="M100" s="394" t="n"/>
      <c r="N100" s="394">
        <f>(J100-K100)</f>
        <v/>
      </c>
    </row>
    <row r="101" ht="14.4" customHeight="1">
      <c r="A101" s="394" t="inlineStr">
        <is>
          <t>July 14 - July 20 2025</t>
        </is>
      </c>
      <c r="B101" s="394" t="n"/>
      <c r="C101" s="382">
        <f>SUM(F101,G101,H101,N101)</f>
        <v/>
      </c>
      <c r="D101" s="11" t="n">
        <v>468</v>
      </c>
      <c r="E101" s="391" t="n">
        <v>16318.32</v>
      </c>
      <c r="F101" s="389" t="n">
        <v>14369.87</v>
      </c>
      <c r="G101" s="389" t="n">
        <v>121.34</v>
      </c>
      <c r="H101" s="389" t="n">
        <v>78.54000000000001</v>
      </c>
      <c r="I101" s="389" t="n">
        <v>1748.57</v>
      </c>
      <c r="J101" s="390" t="n">
        <v>2041.22</v>
      </c>
      <c r="K101" s="383" t="n">
        <v>31.7</v>
      </c>
      <c r="L101" s="394" t="n"/>
      <c r="M101" s="394" t="n"/>
      <c r="N101" s="394">
        <f>(J101-K101)</f>
        <v/>
      </c>
    </row>
    <row r="102" ht="14.4" customHeight="1">
      <c r="A102" s="394" t="inlineStr">
        <is>
          <t>July 21 - July 27 2025</t>
        </is>
      </c>
      <c r="B102" s="394" t="n"/>
      <c r="C102" s="382">
        <f>SUM(F102,G102,H102,N102)</f>
        <v/>
      </c>
      <c r="D102" s="11" t="n">
        <v>550</v>
      </c>
      <c r="E102" s="391" t="n">
        <v>19250.84</v>
      </c>
      <c r="F102" s="389" t="n">
        <v>16442.69</v>
      </c>
      <c r="G102" s="389" t="n">
        <v>52.11</v>
      </c>
      <c r="H102" s="389" t="n">
        <v>504.12</v>
      </c>
      <c r="I102" s="389" t="n">
        <v>2251.92</v>
      </c>
      <c r="J102" s="390" t="n">
        <v>2640.27</v>
      </c>
      <c r="K102" s="383" t="n">
        <v>50.71</v>
      </c>
      <c r="L102" s="394" t="n"/>
      <c r="M102" s="394" t="n"/>
      <c r="N102" s="394">
        <f>(J102-K102)</f>
        <v/>
      </c>
    </row>
    <row r="103" ht="14.4" customHeight="1">
      <c r="A103" s="394" t="inlineStr">
        <is>
          <t>July 28 - Aug 03 2025</t>
        </is>
      </c>
      <c r="B103" s="394" t="n"/>
      <c r="C103" s="382">
        <f>SUM(F103,G103,H103,N103)</f>
        <v/>
      </c>
      <c r="D103" s="11" t="n">
        <v>506</v>
      </c>
      <c r="E103" s="391" t="n">
        <v>17443.35</v>
      </c>
      <c r="F103" s="389" t="n">
        <v>15595.52</v>
      </c>
      <c r="G103" s="389" t="n">
        <v>96.27</v>
      </c>
      <c r="H103" s="389" t="n">
        <v>18.59</v>
      </c>
      <c r="I103" s="389" t="n">
        <v>1732.97</v>
      </c>
      <c r="J103" s="390" t="n">
        <v>2099.68</v>
      </c>
      <c r="K103" s="383" t="n">
        <v>28.52</v>
      </c>
      <c r="L103" s="394" t="n"/>
      <c r="M103" s="394" t="n"/>
      <c r="N103" s="394">
        <f>(J103-K103)</f>
        <v/>
      </c>
    </row>
    <row r="104" ht="14.4" customHeight="1">
      <c r="A104" s="394" t="inlineStr">
        <is>
          <t>Aug 04 - Aug 10 2025</t>
        </is>
      </c>
      <c r="B104" s="394" t="n"/>
      <c r="C104" s="382">
        <f>SUM(F104,G104,H104,N104)</f>
        <v/>
      </c>
      <c r="D104" s="11" t="n">
        <v>481</v>
      </c>
      <c r="E104" s="391" t="n">
        <v>19115.15</v>
      </c>
      <c r="F104" s="389" t="n">
        <v>17187.14</v>
      </c>
      <c r="G104" s="389" t="n">
        <v>48.28</v>
      </c>
      <c r="H104" s="389" t="n">
        <v>149.36</v>
      </c>
      <c r="I104" s="389" t="n">
        <v>1730.37</v>
      </c>
      <c r="J104" s="390" t="n">
        <v>1899.55</v>
      </c>
      <c r="K104" s="383" t="n">
        <v>0</v>
      </c>
      <c r="L104" s="394" t="n"/>
      <c r="M104" s="394" t="n"/>
      <c r="N104" s="394">
        <f>(J104-K104)</f>
        <v/>
      </c>
    </row>
    <row r="105" ht="14.4" customHeight="1">
      <c r="A105" s="394" t="inlineStr">
        <is>
          <t>Aug 11 - Aug 17 2025</t>
        </is>
      </c>
      <c r="B105" s="394" t="n"/>
      <c r="C105" s="382">
        <f>SUM(F105,G105,H105,N105)</f>
        <v/>
      </c>
      <c r="D105" s="11" t="n">
        <v>544</v>
      </c>
      <c r="E105" s="391" t="n">
        <v>17474.33</v>
      </c>
      <c r="F105" s="389" t="n">
        <v>16262.77</v>
      </c>
      <c r="G105" s="389" t="n">
        <v>73.77</v>
      </c>
      <c r="H105" s="389" t="n">
        <v>301.37</v>
      </c>
      <c r="I105" s="389" t="n">
        <v>836.42</v>
      </c>
      <c r="J105" s="390" t="n">
        <v>1027.64</v>
      </c>
      <c r="K105" s="383" t="n">
        <v>0</v>
      </c>
      <c r="L105" s="394" t="n"/>
      <c r="M105" s="394" t="n"/>
      <c r="N105" s="394">
        <f>(J105-K105)</f>
        <v/>
      </c>
    </row>
    <row r="106" ht="14.4" customHeight="1">
      <c r="A106" s="394" t="inlineStr">
        <is>
          <t>Aug 18 - Aug 24 2025</t>
        </is>
      </c>
      <c r="B106" s="394" t="n"/>
      <c r="C106" s="382">
        <f>SUM(F106,G106,H106,N106)</f>
        <v/>
      </c>
      <c r="D106" s="11" t="n">
        <v>471</v>
      </c>
      <c r="E106" s="391" t="n">
        <v>16199.2</v>
      </c>
      <c r="F106" s="389" t="n">
        <v>14382.84</v>
      </c>
      <c r="G106" s="389" t="n">
        <v>16.79</v>
      </c>
      <c r="H106" s="389" t="n">
        <v>176.02</v>
      </c>
      <c r="I106" s="389" t="n">
        <v>1623.55</v>
      </c>
      <c r="J106" s="390" t="n">
        <v>1786.32</v>
      </c>
      <c r="K106" s="383" t="n">
        <v>0</v>
      </c>
      <c r="L106" s="394" t="n">
        <v>0</v>
      </c>
      <c r="M106" s="394" t="n">
        <v>0</v>
      </c>
      <c r="N106" s="394">
        <f>(J106-K106)</f>
        <v/>
      </c>
    </row>
    <row r="107" ht="14.4" customHeight="1">
      <c r="A107" s="394" t="inlineStr">
        <is>
          <t>Aug 25 - Aug 31 2025</t>
        </is>
      </c>
      <c r="B107" s="394" t="n"/>
      <c r="C107" s="382">
        <f>SUM(F107,G107,H107,N107)</f>
        <v/>
      </c>
      <c r="D107" s="56" t="n">
        <v>506</v>
      </c>
      <c r="E107" s="391" t="n">
        <v>19083.93</v>
      </c>
      <c r="F107" s="389" t="n">
        <v>17664.64</v>
      </c>
      <c r="G107" s="389" t="n">
        <v>40.2</v>
      </c>
      <c r="H107" s="389" t="n">
        <v>284.79</v>
      </c>
      <c r="I107" s="389" t="n">
        <v>1094.3</v>
      </c>
      <c r="J107" s="383" t="n">
        <v>1312.57</v>
      </c>
      <c r="K107" s="383" t="n">
        <v>0</v>
      </c>
      <c r="L107" s="394" t="n">
        <v>0</v>
      </c>
      <c r="M107" s="394" t="n">
        <v>0</v>
      </c>
      <c r="N107" s="394">
        <f>(J107-K107)</f>
        <v/>
      </c>
    </row>
    <row r="108" ht="14.4" customHeight="1">
      <c r="A108" s="394" t="inlineStr">
        <is>
          <t>Sep 01 - Sep 07 2025</t>
        </is>
      </c>
      <c r="B108" s="394" t="n"/>
      <c r="C108" s="382">
        <f>SUM(F108,G108,H108,N108)</f>
        <v/>
      </c>
      <c r="D108" s="56" t="n">
        <v>422</v>
      </c>
      <c r="E108" s="391" t="n">
        <v>15524.34</v>
      </c>
      <c r="F108" s="389" t="n">
        <v>13926.86</v>
      </c>
      <c r="G108" s="118" t="n">
        <v>0</v>
      </c>
      <c r="H108" s="389" t="n">
        <v>101.18</v>
      </c>
      <c r="I108" s="389" t="n">
        <v>1496.3</v>
      </c>
      <c r="J108" s="390" t="n">
        <v>1799.91</v>
      </c>
      <c r="K108" s="383" t="n">
        <v>0</v>
      </c>
      <c r="L108" s="390" t="n">
        <v>35.97</v>
      </c>
      <c r="M108" s="383" t="n">
        <v>13.58</v>
      </c>
      <c r="N108" s="394">
        <f>(J108-K108)</f>
        <v/>
      </c>
    </row>
    <row r="109" ht="14.4" customHeight="1">
      <c r="A109" s="394" t="inlineStr">
        <is>
          <t>Sep 08 - Sep 14 2025</t>
        </is>
      </c>
      <c r="B109" s="394" t="n"/>
      <c r="C109" s="382">
        <f>SUM(F109,G109,H109,N109)</f>
        <v/>
      </c>
      <c r="D109" s="11" t="n">
        <v>424</v>
      </c>
      <c r="E109" s="391" t="n">
        <v>15558.56</v>
      </c>
      <c r="F109" s="389" t="n">
        <v>14364.77</v>
      </c>
      <c r="G109" s="389" t="n">
        <v>89.95999999999999</v>
      </c>
      <c r="H109" s="389" t="n">
        <v>90.51000000000001</v>
      </c>
      <c r="I109" s="389" t="n">
        <v>1013.32</v>
      </c>
      <c r="J109" s="390" t="n">
        <v>1324.11</v>
      </c>
      <c r="K109" s="383" t="n">
        <v>0</v>
      </c>
      <c r="L109" s="390" t="n">
        <v>71.95</v>
      </c>
      <c r="M109" s="383" t="n">
        <v>20.37</v>
      </c>
      <c r="N109" s="394">
        <f>(J109-K109)</f>
        <v/>
      </c>
    </row>
    <row r="110" ht="14.4" customHeight="1">
      <c r="A110" s="394" t="inlineStr">
        <is>
          <t>Sep 15 - Sep 21 2025</t>
        </is>
      </c>
      <c r="B110" s="394" t="n"/>
      <c r="C110" s="382">
        <f>SUM(F110,G110,H110,N110)</f>
        <v/>
      </c>
      <c r="D110" s="11" t="n">
        <v>448</v>
      </c>
      <c r="E110" s="391" t="n">
        <v>16173.27</v>
      </c>
      <c r="F110" s="389" t="n">
        <v>15074.13</v>
      </c>
      <c r="G110" s="389" t="n">
        <v>300.69</v>
      </c>
      <c r="H110" s="389" t="n">
        <v>50.8</v>
      </c>
      <c r="I110" s="389" t="n">
        <v>747.65</v>
      </c>
      <c r="J110" s="390" t="n">
        <v>1128.56</v>
      </c>
      <c r="K110" s="383" t="n">
        <v>0</v>
      </c>
      <c r="L110" s="390" t="n">
        <v>64.75</v>
      </c>
      <c r="M110" s="383" t="n">
        <v>20.97</v>
      </c>
      <c r="N110" s="394">
        <f>(J110-K110)</f>
        <v/>
      </c>
    </row>
    <row r="111" ht="14.4" customHeight="1">
      <c r="A111" s="394" t="inlineStr">
        <is>
          <t>Sep 22 - Sep 28 2025</t>
        </is>
      </c>
      <c r="B111" s="394" t="n"/>
      <c r="C111" s="382">
        <f>SUM(F111,G111,H111,N111)</f>
        <v/>
      </c>
      <c r="D111" s="11" t="n">
        <v>401</v>
      </c>
      <c r="E111" s="391" t="n">
        <v>14572.18</v>
      </c>
      <c r="F111" s="389" t="n">
        <v>12695.29</v>
      </c>
      <c r="G111" s="389" t="n">
        <v>206.01</v>
      </c>
      <c r="H111" s="389" t="n">
        <v>384.94</v>
      </c>
      <c r="I111" s="382" t="n"/>
      <c r="J111" s="390" t="n">
        <v>1332.02</v>
      </c>
      <c r="K111" s="383" t="n">
        <v>0</v>
      </c>
      <c r="L111" s="390" t="n">
        <v>56.36</v>
      </c>
      <c r="M111" s="383" t="n">
        <v>20.37</v>
      </c>
      <c r="N111" s="394">
        <f>(J111-K111)</f>
        <v/>
      </c>
    </row>
    <row r="112" ht="14.4" customHeight="1">
      <c r="A112" s="394" t="inlineStr">
        <is>
          <t>Sep 29 - Oct 05 2025</t>
        </is>
      </c>
      <c r="B112" s="394" t="n"/>
      <c r="C112" s="382">
        <f>SUM(F112,G112,H112,N112)</f>
        <v/>
      </c>
      <c r="D112" s="11" t="n">
        <v>410</v>
      </c>
      <c r="E112" s="391" t="n">
        <v>14113</v>
      </c>
      <c r="F112" s="389" t="n">
        <v>13440.59</v>
      </c>
      <c r="G112" s="389" t="n">
        <v>105.57</v>
      </c>
      <c r="H112" s="389" t="n">
        <v>128.54</v>
      </c>
      <c r="I112" s="382" t="n"/>
      <c r="J112" s="390" t="n">
        <v>721.95</v>
      </c>
      <c r="K112" s="383" t="n">
        <v>0</v>
      </c>
      <c r="L112" s="390" t="n">
        <v>0</v>
      </c>
      <c r="M112" s="383" t="n">
        <v>0</v>
      </c>
      <c r="N112" s="394">
        <f>(J112-K112)</f>
        <v/>
      </c>
    </row>
    <row r="113" ht="14.4" customHeight="1">
      <c r="A113" s="394" t="inlineStr">
        <is>
          <t>Oct 6 - Oct 12 2025</t>
        </is>
      </c>
      <c r="B113" s="394" t="n"/>
      <c r="C113" s="382">
        <f>SUM(F113,G113,H113,N113)</f>
        <v/>
      </c>
      <c r="D113" s="11" t="n">
        <v>399</v>
      </c>
      <c r="E113" s="391" t="n">
        <v>14272.3</v>
      </c>
      <c r="F113" s="389" t="n">
        <v>12482.04</v>
      </c>
      <c r="G113" s="389" t="n">
        <v>216.85</v>
      </c>
      <c r="H113" s="389" t="n">
        <v>387.18</v>
      </c>
      <c r="I113" s="389" t="n">
        <v>1186.23</v>
      </c>
      <c r="J113" s="383" t="n">
        <v>1439.29</v>
      </c>
      <c r="K113" s="383" t="n">
        <v>0</v>
      </c>
      <c r="L113" s="390" t="n">
        <v>0</v>
      </c>
      <c r="M113" s="383" t="n">
        <v>0</v>
      </c>
      <c r="N113" s="394">
        <f>(J113-K113)</f>
        <v/>
      </c>
    </row>
    <row r="114" ht="14.4" customHeight="1">
      <c r="A114" s="394" t="inlineStr">
        <is>
          <t>Oct 13 - Oct 19 2025</t>
        </is>
      </c>
      <c r="B114" s="394" t="n"/>
      <c r="C114" s="382">
        <f>SUM(F114,G114,H114,N114)</f>
        <v/>
      </c>
      <c r="D114" s="11" t="n"/>
      <c r="E114" s="394" t="n">
        <v>16467.97</v>
      </c>
      <c r="F114" s="394" t="n">
        <v>15056.75</v>
      </c>
      <c r="G114" s="394" t="n">
        <v>106.02</v>
      </c>
      <c r="H114" s="394" t="n">
        <v>265.57</v>
      </c>
      <c r="I114" s="394" t="n">
        <v>1039.63</v>
      </c>
      <c r="J114" s="447" t="n">
        <v>1226.42</v>
      </c>
      <c r="K114" s="383" t="n">
        <v>0</v>
      </c>
      <c r="L114" s="390" t="n">
        <v>0</v>
      </c>
      <c r="M114" s="383" t="n">
        <v>0</v>
      </c>
      <c r="N114" s="394">
        <f>(J114-K114)</f>
        <v/>
      </c>
    </row>
    <row r="115" ht="14.4" customHeight="1">
      <c r="A115" s="394" t="inlineStr">
        <is>
          <t>Oct 20 - Oct 26 2025</t>
        </is>
      </c>
      <c r="B115" s="394" t="n"/>
      <c r="C115" s="382">
        <f>SUM(F115,G115,H115,N115)</f>
        <v/>
      </c>
      <c r="D115" s="299" t="n">
        <v>402</v>
      </c>
      <c r="E115" s="394" t="n">
        <v>13914.64</v>
      </c>
      <c r="F115" s="394" t="n">
        <v>12581.93</v>
      </c>
      <c r="G115" s="394" t="n">
        <v>16.75</v>
      </c>
      <c r="H115" s="394" t="n">
        <v>105.62</v>
      </c>
      <c r="I115" s="394" t="n">
        <v>1210.34</v>
      </c>
      <c r="J115" s="148" t="n">
        <v>1218.73</v>
      </c>
      <c r="K115" s="383" t="n">
        <v>0</v>
      </c>
      <c r="L115" s="383" t="n">
        <v>17.99</v>
      </c>
      <c r="M115" s="383" t="n">
        <v>0</v>
      </c>
      <c r="N115" s="394">
        <f>(J115-K115)+(L115-M115)</f>
        <v/>
      </c>
    </row>
    <row r="116" ht="14.4" customHeight="1">
      <c r="A116" s="394" t="inlineStr">
        <is>
          <t>Oct 27 - Nov 02 2025</t>
        </is>
      </c>
      <c r="B116" s="394" t="n"/>
      <c r="C116" s="382">
        <f>SUM(F116,G116,H116,N116)</f>
        <v/>
      </c>
      <c r="D116" s="303" t="n">
        <v>419</v>
      </c>
      <c r="E116" s="394" t="n">
        <v>15460.77</v>
      </c>
      <c r="F116" s="394" t="n">
        <v>14139.67</v>
      </c>
      <c r="G116" s="394" t="n">
        <v>262.04</v>
      </c>
      <c r="H116" s="394" t="n">
        <v>274.76</v>
      </c>
      <c r="I116" s="394" t="n">
        <v>784.3</v>
      </c>
      <c r="J116" s="383" t="n">
        <v>896.83</v>
      </c>
      <c r="K116" s="383" t="n">
        <v>0</v>
      </c>
      <c r="L116" s="390" t="n">
        <v>0</v>
      </c>
      <c r="M116" s="383" t="n">
        <v>0</v>
      </c>
      <c r="N116" s="394">
        <f>(J116-K116)+(L116-M116)</f>
        <v/>
      </c>
    </row>
    <row r="117" ht="14.4" customHeight="1">
      <c r="A117" s="394" t="inlineStr">
        <is>
          <t>Nov 03 - Nov 09 2025</t>
        </is>
      </c>
      <c r="B117" s="394" t="n"/>
      <c r="C117" s="382">
        <f>SUM(F117,G117,H117,N117)</f>
        <v/>
      </c>
      <c r="D117" s="394" t="inlineStr">
        <is>
          <t>424</t>
        </is>
      </c>
      <c r="E117" s="394" t="n">
        <v>14992.51</v>
      </c>
      <c r="F117" s="394" t="n">
        <v>12944.71</v>
      </c>
      <c r="G117" s="394" t="n">
        <v>166.23</v>
      </c>
      <c r="H117" s="394" t="n">
        <v>191.44</v>
      </c>
      <c r="I117" s="394" t="n">
        <v>1690.13</v>
      </c>
      <c r="J117" s="383" t="n">
        <v>1800.36</v>
      </c>
      <c r="K117" s="383" t="n">
        <v>0</v>
      </c>
      <c r="L117" s="390" t="n">
        <v>0</v>
      </c>
      <c r="M117" s="383" t="n">
        <v>0</v>
      </c>
      <c r="N117" s="394">
        <f>(J117-K117)+(L117-M117)</f>
        <v/>
      </c>
    </row>
    <row r="118" ht="14.4" customHeight="1">
      <c r="A118" s="394" t="inlineStr">
        <is>
          <t>Nov 10 - Nov 16 2025</t>
        </is>
      </c>
      <c r="B118" s="394" t="n"/>
      <c r="C118" s="382">
        <f>SUM(F118,G118,H118,N118)</f>
        <v/>
      </c>
      <c r="D118" s="303" t="inlineStr">
        <is>
          <t>405</t>
        </is>
      </c>
      <c r="E118" s="394" t="n">
        <v>14148.97</v>
      </c>
      <c r="F118" s="394" t="n">
        <v>12257.74</v>
      </c>
      <c r="G118" s="394" t="n">
        <v>319.62</v>
      </c>
      <c r="H118" s="394" t="n">
        <v>181.59</v>
      </c>
      <c r="I118" s="394" t="n">
        <v>1390.02</v>
      </c>
      <c r="J118" s="383" t="n">
        <v>1390.02</v>
      </c>
      <c r="K118" s="383" t="n">
        <v>0</v>
      </c>
      <c r="L118" s="390" t="n">
        <v>0</v>
      </c>
      <c r="M118" s="383" t="n">
        <v>0</v>
      </c>
      <c r="N118" s="394">
        <f>(J118-K118)+(L118-M118)</f>
        <v/>
      </c>
    </row>
    <row r="119" ht="14.4" customHeight="1">
      <c r="A119" s="2" t="inlineStr">
        <is>
          <t>Nov 17 - Nov 23 2025</t>
        </is>
      </c>
      <c r="B119" s="394" t="n"/>
      <c r="C119" s="382">
        <f>SUM(F119,G119,H119,N119)</f>
        <v/>
      </c>
      <c r="D119" s="303" t="inlineStr">
        <is>
          <t>409</t>
        </is>
      </c>
      <c r="E119" s="299" t="n">
        <v>13645.93</v>
      </c>
      <c r="F119" s="394" t="n">
        <v>12298.1</v>
      </c>
      <c r="G119" s="394" t="n">
        <v>200.82</v>
      </c>
      <c r="H119" s="394" t="n">
        <v>215.03</v>
      </c>
      <c r="I119" s="394" t="n">
        <v>931.98</v>
      </c>
      <c r="J119" s="383" t="n">
        <v>931.98</v>
      </c>
      <c r="K119" s="383" t="n">
        <v>0</v>
      </c>
      <c r="L119" s="390" t="n">
        <v>0</v>
      </c>
      <c r="M119" s="383" t="n">
        <v>0</v>
      </c>
      <c r="N119" s="394">
        <f>(J119-K119)+(L119-M119)</f>
        <v/>
      </c>
    </row>
    <row r="120" ht="14.4" customHeight="1">
      <c r="A120" s="2" t="inlineStr">
        <is>
          <t>Nov 24 - Nov 30 2025</t>
        </is>
      </c>
      <c r="B120" s="394" t="n"/>
      <c r="C120" s="382">
        <f>SUM(F120,G120,H120,N120)</f>
        <v/>
      </c>
      <c r="D120" s="394" t="n">
        <v>426</v>
      </c>
      <c r="E120" s="394" t="n">
        <v>16367.82</v>
      </c>
      <c r="F120" s="303" t="n">
        <v>14586.76</v>
      </c>
      <c r="G120" s="299" t="n">
        <v>140.06</v>
      </c>
      <c r="H120" s="394" t="n">
        <v>209.52</v>
      </c>
      <c r="I120" s="394" t="n">
        <v>1431.48</v>
      </c>
      <c r="J120" s="383" t="n">
        <v>1452.53</v>
      </c>
      <c r="K120" s="383" t="n">
        <v>0</v>
      </c>
      <c r="L120" s="383" t="n">
        <v>247.02</v>
      </c>
      <c r="M120" s="383" t="n">
        <v>75.29000000000001</v>
      </c>
      <c r="N120" s="394">
        <f>(J120-K120)+(L120-M120)</f>
        <v/>
      </c>
    </row>
    <row r="121" ht="14.4" customHeight="1">
      <c r="A121" s="2" t="inlineStr">
        <is>
          <t>Dec 01 - Dec 07 2025</t>
        </is>
      </c>
      <c r="B121" s="394" t="n"/>
      <c r="C121" s="382">
        <f>SUM(F121,G121,H121,N121)</f>
        <v/>
      </c>
      <c r="D121" s="394" t="n">
        <v>345</v>
      </c>
      <c r="E121" s="394" t="n">
        <v>12906.63</v>
      </c>
      <c r="F121" s="394" t="n">
        <v>11121.57</v>
      </c>
      <c r="G121" s="394" t="n">
        <v>94.62</v>
      </c>
      <c r="H121" s="394" t="n">
        <v>226.27</v>
      </c>
      <c r="I121" s="394" t="n">
        <v>1464.17</v>
      </c>
      <c r="J121" s="383" t="n">
        <v>1431.79</v>
      </c>
      <c r="K121" s="383" t="n">
        <v>0</v>
      </c>
      <c r="L121" s="383" t="n">
        <v>32.38</v>
      </c>
      <c r="M121" s="383" t="n">
        <v>0</v>
      </c>
      <c r="N121" s="394">
        <f>(J121-K121)+(L121-M121)</f>
        <v/>
      </c>
    </row>
    <row r="122" ht="14.4" customHeight="1">
      <c r="A122" s="118" t="inlineStr">
        <is>
          <t>Dec 08 - Dec 14 2025</t>
        </is>
      </c>
      <c r="B122" s="394" t="n"/>
      <c r="C122" s="382">
        <f>SUM(F122,G122,H122,N122)</f>
        <v/>
      </c>
      <c r="D122" s="394" t="inlineStr">
        <is>
          <t>381</t>
        </is>
      </c>
      <c r="E122" s="394" t="n">
        <v>14096.42</v>
      </c>
      <c r="F122" s="394" t="n">
        <v>12319.92</v>
      </c>
      <c r="G122" s="394" t="n">
        <v>31.19</v>
      </c>
      <c r="H122" s="394" t="n">
        <v>408.04</v>
      </c>
      <c r="I122" s="394" t="n">
        <v>1337.27</v>
      </c>
      <c r="J122" s="373" t="n">
        <v>1304.94</v>
      </c>
      <c r="K122" s="373" t="n">
        <v>0</v>
      </c>
      <c r="L122" s="373" t="n">
        <v>32.33</v>
      </c>
      <c r="M122" s="373" t="n">
        <v>0</v>
      </c>
      <c r="N122" s="394">
        <f>(J122-K122)+(L122-M122)</f>
        <v/>
      </c>
    </row>
    <row r="123" ht="14.4" customHeight="1">
      <c r="A123" s="11" t="inlineStr">
        <is>
          <t>Dec 15 - Dec 21 2025</t>
        </is>
      </c>
      <c r="B123" s="394" t="n"/>
      <c r="C123" s="382">
        <f>SUM(F123,G123,H123,N123)</f>
        <v/>
      </c>
      <c r="D123" s="300" t="inlineStr">
        <is>
          <t>412</t>
        </is>
      </c>
      <c r="E123" s="394" t="n">
        <v>14227.25</v>
      </c>
      <c r="F123" s="394" t="n">
        <v>12411.62</v>
      </c>
      <c r="G123" s="394" t="n">
        <v>342.55</v>
      </c>
      <c r="H123" s="394" t="n">
        <v>284.56</v>
      </c>
      <c r="I123" s="394" t="n">
        <v>1188.52</v>
      </c>
      <c r="J123" s="448" t="n">
        <v>1188.52</v>
      </c>
      <c r="K123" s="448" t="n">
        <v>41.96</v>
      </c>
      <c r="L123" s="391" t="n">
        <v>0</v>
      </c>
      <c r="M123" s="373" t="n">
        <v>0</v>
      </c>
      <c r="N123" s="394">
        <f>(J123-K123)+(L123-M123)</f>
        <v/>
      </c>
    </row>
    <row r="124" ht="14.4" customHeight="1">
      <c r="A124" s="11" t="inlineStr">
        <is>
          <t>Dec 22 - Dec 28 2025</t>
        </is>
      </c>
      <c r="B124" s="394" t="n"/>
      <c r="C124" s="382">
        <f>SUM(F124,G124,H124,N124)</f>
        <v/>
      </c>
      <c r="D124" s="300" t="n">
        <v>493</v>
      </c>
      <c r="E124" s="394" t="n">
        <v>18278.39</v>
      </c>
      <c r="F124" s="394" t="n">
        <v>16380.94</v>
      </c>
      <c r="G124" s="394" t="n">
        <v>124.14</v>
      </c>
      <c r="H124" s="394" t="n">
        <v>177.73</v>
      </c>
      <c r="I124" s="394" t="n">
        <v>1595.58</v>
      </c>
      <c r="J124" s="373" t="n">
        <v>1595.58</v>
      </c>
      <c r="K124" s="373" t="n">
        <v>83.92</v>
      </c>
      <c r="L124" s="391" t="n">
        <v>0</v>
      </c>
      <c r="M124" s="373" t="n">
        <v>0</v>
      </c>
      <c r="N124" s="394">
        <f>(J124-K124)+(L124-M124)</f>
        <v/>
      </c>
    </row>
    <row r="125" ht="14.4" customHeight="1">
      <c r="A125" s="30" t="inlineStr">
        <is>
          <t>Dec 29 - Jan 04 2026</t>
        </is>
      </c>
      <c r="B125" s="399" t="n"/>
      <c r="C125" s="449">
        <f>SUM(F125,G125,H125,N125)</f>
        <v/>
      </c>
      <c r="D125" s="308" t="inlineStr">
        <is>
          <t>520</t>
        </is>
      </c>
      <c r="E125" s="399" t="n">
        <v>20220.2</v>
      </c>
      <c r="F125" s="399" t="n">
        <v>16916.08</v>
      </c>
      <c r="G125" s="399" t="n">
        <v>431.32</v>
      </c>
      <c r="H125" s="399" t="n">
        <v>619.24</v>
      </c>
      <c r="I125" s="399" t="n">
        <v>2253.56</v>
      </c>
      <c r="J125" s="400" t="n">
        <v>2269.06</v>
      </c>
      <c r="K125" s="400" t="n">
        <v>214.05</v>
      </c>
      <c r="L125" s="450" t="n">
        <v>0</v>
      </c>
      <c r="M125" s="400" t="n">
        <v>0</v>
      </c>
      <c r="N125" s="399">
        <f>(J125-K125)+(L125-M125)</f>
        <v/>
      </c>
    </row>
    <row r="126" ht="14.4" customHeight="1">
      <c r="A126" s="30" t="inlineStr">
        <is>
          <t>Jan 05 - Jan 11 2026</t>
        </is>
      </c>
      <c r="B126" s="399" t="n"/>
      <c r="C126" s="449">
        <f>SUM(F126,G126,H126,N126)</f>
        <v/>
      </c>
      <c r="D126" s="308" t="inlineStr">
        <is>
          <t>392</t>
        </is>
      </c>
      <c r="E126" s="109" t="n">
        <v>13041.41</v>
      </c>
      <c r="F126" s="399" t="n">
        <v>11353.52</v>
      </c>
      <c r="G126" s="399" t="n">
        <v>139.19</v>
      </c>
      <c r="H126" s="399" t="n">
        <v>73.3</v>
      </c>
      <c r="I126" s="399" t="n">
        <v>1475.4</v>
      </c>
      <c r="J126" s="400" t="n">
        <v>1475.4</v>
      </c>
      <c r="K126" s="400" t="n">
        <v>104.9</v>
      </c>
      <c r="L126" s="450" t="n">
        <v>0</v>
      </c>
      <c r="M126" s="400" t="n">
        <v>0</v>
      </c>
      <c r="N126" s="399">
        <f>(J126-K126)+(L126-M126)</f>
        <v/>
      </c>
    </row>
    <row r="127" ht="14.4" customHeight="1">
      <c r="A127" s="30" t="inlineStr">
        <is>
          <t>Jan 12 - Jan 18 2026</t>
        </is>
      </c>
      <c r="B127" s="399" t="n"/>
      <c r="C127" s="449">
        <f>SUM(F127,G127,H127,N127)</f>
        <v/>
      </c>
      <c r="D127" s="399" t="inlineStr">
        <is>
          <t>391</t>
        </is>
      </c>
      <c r="E127" s="399" t="n">
        <v>14648.31</v>
      </c>
      <c r="F127" s="399" t="n">
        <v>12652.81</v>
      </c>
      <c r="G127" s="399" t="n">
        <v>232.94</v>
      </c>
      <c r="H127" s="399" t="n">
        <v>330.21</v>
      </c>
      <c r="I127" s="399" t="n">
        <v>1432.35</v>
      </c>
      <c r="J127" s="400" t="n">
        <v>1432.35</v>
      </c>
      <c r="K127" s="400" t="n">
        <v>83.92</v>
      </c>
      <c r="L127" s="450" t="n">
        <v>0</v>
      </c>
      <c r="M127" s="400" t="n">
        <v>0</v>
      </c>
      <c r="N127" s="399">
        <f>(J127-K127)+(L127-M127)</f>
        <v/>
      </c>
    </row>
    <row r="128" ht="14.4" customHeight="1">
      <c r="A128" s="30" t="inlineStr">
        <is>
          <t>Jan 19 - Jan 25 2026</t>
        </is>
      </c>
      <c r="B128" s="399" t="n"/>
      <c r="C128" s="449">
        <f>SUM(F128,G128,H128,N128)</f>
        <v/>
      </c>
      <c r="D128" s="399" t="inlineStr">
        <is>
          <t>318</t>
        </is>
      </c>
      <c r="E128" s="399" t="n">
        <v>11047.93</v>
      </c>
      <c r="F128" s="399" t="n">
        <v>9211.32</v>
      </c>
      <c r="G128" s="399" t="n">
        <v>77.78</v>
      </c>
      <c r="H128" s="399" t="n">
        <v>165.21</v>
      </c>
      <c r="I128" s="399" t="n">
        <v>1593.62</v>
      </c>
      <c r="J128" s="400" t="n">
        <v>1596.82</v>
      </c>
      <c r="K128" s="400" t="n">
        <v>146.86</v>
      </c>
      <c r="L128" s="450" t="n">
        <v>0</v>
      </c>
      <c r="M128" s="400" t="n">
        <v>0</v>
      </c>
      <c r="N128" s="399">
        <f>(J128-K128)+(L128-M128)</f>
        <v/>
      </c>
    </row>
    <row r="129" ht="14.4" customHeight="1">
      <c r="A129" s="30" t="inlineStr">
        <is>
          <t>Jan 26 - Feb 01 2026</t>
        </is>
      </c>
      <c r="B129" s="399" t="n"/>
      <c r="C129" s="449">
        <f>SUM(F129,G129,H129,N129)</f>
        <v/>
      </c>
      <c r="D129" s="394" t="inlineStr">
        <is>
          <t>403</t>
        </is>
      </c>
      <c r="E129" s="394" t="n">
        <v>13762.54</v>
      </c>
      <c r="F129" s="394" t="n">
        <v>10890.59</v>
      </c>
      <c r="G129" s="394" t="n">
        <v>158.31</v>
      </c>
      <c r="H129" s="394" t="n">
        <v>321.04</v>
      </c>
      <c r="I129" s="394" t="n">
        <v>2392.6</v>
      </c>
      <c r="J129" s="383" t="n">
        <v>2392.6</v>
      </c>
      <c r="K129" s="383" t="n">
        <v>238.59</v>
      </c>
      <c r="L129" s="450" t="n">
        <v>0</v>
      </c>
      <c r="M129" s="400" t="n">
        <v>0</v>
      </c>
      <c r="N129" s="399">
        <f>(J129-K129)+(L129-M129)</f>
        <v/>
      </c>
    </row>
    <row r="130" ht="14.4" customHeight="1">
      <c r="A130" s="30" t="inlineStr">
        <is>
          <t>Feb 02 - Feb 08 2026</t>
        </is>
      </c>
      <c r="B130" s="399" t="n"/>
      <c r="C130" s="449">
        <f>SUM(F130,G130,H130,N130)</f>
        <v/>
      </c>
      <c r="D130" s="394" t="inlineStr">
        <is>
          <t>388</t>
        </is>
      </c>
      <c r="E130" s="394" t="n">
        <v>14010.06</v>
      </c>
      <c r="F130" s="394" t="n">
        <v>11235.93</v>
      </c>
      <c r="G130" s="394" t="n">
        <v>181.24</v>
      </c>
      <c r="H130" s="394" t="n">
        <v>334.1</v>
      </c>
      <c r="I130" s="394" t="n">
        <v>2258.79</v>
      </c>
      <c r="J130" s="383" t="n">
        <v>2311.77</v>
      </c>
      <c r="K130" s="400" t="n">
        <v>0</v>
      </c>
      <c r="L130" s="450" t="n">
        <v>0</v>
      </c>
      <c r="M130" s="400" t="n">
        <v>0</v>
      </c>
      <c r="N130" s="399">
        <f>(J130-K130)+(L130-M130)</f>
        <v/>
      </c>
    </row>
    <row r="131" ht="14.4" customHeight="1">
      <c r="A131" s="11" t="inlineStr">
        <is>
          <t>Feb 09 - Feb 15 2026</t>
        </is>
      </c>
      <c r="B131" s="399" t="n"/>
      <c r="C131" s="449">
        <f>SUM(F131,G131,H131,N131)</f>
        <v/>
      </c>
      <c r="D131" s="394" t="inlineStr">
        <is>
          <t>457</t>
        </is>
      </c>
      <c r="E131" s="394" t="n">
        <v>17037.02</v>
      </c>
      <c r="F131" s="394" t="n">
        <v>15142.87</v>
      </c>
      <c r="G131" s="394" t="n">
        <v>11.74</v>
      </c>
      <c r="H131" s="394" t="n">
        <v>387.34</v>
      </c>
      <c r="I131" s="394" t="n">
        <v>1495.07</v>
      </c>
      <c r="J131" s="389" t="n">
        <v>1442.09</v>
      </c>
      <c r="K131" s="389" t="n">
        <v>101.88</v>
      </c>
      <c r="L131" s="450" t="n">
        <v>0</v>
      </c>
      <c r="M131" s="400" t="n">
        <v>0</v>
      </c>
      <c r="N131" s="399">
        <f>(J131-K131)+(L131-M131)</f>
        <v/>
      </c>
    </row>
    <row r="132" ht="14.4" customHeight="1">
      <c r="A132" s="11" t="inlineStr">
        <is>
          <t>Feb 16 - Feb 22 2026</t>
        </is>
      </c>
      <c r="B132" s="399" t="n"/>
      <c r="C132" s="449">
        <f>SUM(F132,G132,H132,N132)</f>
        <v/>
      </c>
      <c r="D132" s="394" t="inlineStr">
        <is>
          <t>425</t>
        </is>
      </c>
      <c r="E132" s="394" t="n">
        <v>15314.7</v>
      </c>
      <c r="F132" s="394" t="n">
        <v>12611.59</v>
      </c>
      <c r="G132" s="394" t="n">
        <v>205.05</v>
      </c>
      <c r="H132" s="394" t="n">
        <v>422.72</v>
      </c>
      <c r="I132" s="394" t="n">
        <v>2075.34</v>
      </c>
      <c r="J132" s="389" t="n">
        <v>1962.57</v>
      </c>
      <c r="K132" s="389" t="n">
        <v>101.88</v>
      </c>
      <c r="L132" s="450" t="n">
        <v>0</v>
      </c>
      <c r="M132" s="400" t="n">
        <v>0</v>
      </c>
      <c r="N132" s="399">
        <f>(J132-K132)+(L132-M132)</f>
        <v/>
      </c>
    </row>
    <row r="133" ht="14.4" customHeight="1">
      <c r="A133" s="11" t="inlineStr">
        <is>
          <t>Feb 23 - Mar 1 2026</t>
        </is>
      </c>
      <c r="B133" s="399" t="n"/>
      <c r="C133" s="449">
        <f>SUM(F133,G133,H133,N133)</f>
        <v/>
      </c>
      <c r="D133" s="394" t="inlineStr">
        <is>
          <t>362</t>
        </is>
      </c>
      <c r="E133" s="394" t="n">
        <v>14122.67</v>
      </c>
      <c r="F133" s="394" t="n">
        <v>12083.89</v>
      </c>
      <c r="G133" s="394" t="n">
        <v>103.53</v>
      </c>
      <c r="H133" s="394" t="n">
        <v>84.15000000000001</v>
      </c>
      <c r="I133" s="394" t="n">
        <v>1851.1</v>
      </c>
      <c r="J133" s="389" t="n">
        <v>1801.33</v>
      </c>
      <c r="K133" s="389" t="n">
        <v>67.92</v>
      </c>
      <c r="L133" s="450" t="n">
        <v>0</v>
      </c>
      <c r="M133" s="400" t="n">
        <v>0</v>
      </c>
      <c r="N133" s="399">
        <f>(J133-K133)+(L133-M133)</f>
        <v/>
      </c>
    </row>
    <row r="134" ht="14.4" customHeight="1">
      <c r="A134" s="11" t="inlineStr">
        <is>
          <t>Mar 02 - Mar 08 2026</t>
        </is>
      </c>
      <c r="B134" s="399" t="n"/>
      <c r="C134" s="449">
        <f>SUM(F134,G134,H134,N134)</f>
        <v/>
      </c>
      <c r="D134" s="394" t="inlineStr">
        <is>
          <t>355</t>
        </is>
      </c>
      <c r="E134" s="394" t="n">
        <v>12691.12</v>
      </c>
      <c r="F134" s="394" t="n">
        <v>10699.07</v>
      </c>
      <c r="G134" s="394" t="n">
        <v>107.74</v>
      </c>
      <c r="H134" s="394" t="n">
        <v>219.77</v>
      </c>
      <c r="I134" s="394" t="n">
        <v>1664.54</v>
      </c>
      <c r="J134" s="389" t="n">
        <v>1649.28</v>
      </c>
      <c r="K134" s="389" t="n">
        <v>169.8</v>
      </c>
      <c r="L134" s="389" t="n">
        <v>35.98</v>
      </c>
      <c r="M134" s="389" t="n">
        <v>15.38</v>
      </c>
      <c r="N134" s="399">
        <f>(J134-K134)+(L134-M134)</f>
        <v/>
      </c>
    </row>
    <row r="135" ht="14.4" customHeight="1">
      <c r="A135" s="11" t="inlineStr">
        <is>
          <t>Mar 09 - Mar 15 2026</t>
        </is>
      </c>
      <c r="B135" s="399" t="n"/>
      <c r="C135" s="449">
        <f>SUM(F135,G135,H135,N135)</f>
        <v/>
      </c>
      <c r="D135" s="394" t="inlineStr">
        <is>
          <t>340</t>
        </is>
      </c>
      <c r="E135" s="394" t="n">
        <v>12362.53</v>
      </c>
      <c r="F135" s="394" t="n">
        <v>10560.06</v>
      </c>
      <c r="G135" s="394" t="n">
        <v>46.5</v>
      </c>
      <c r="H135" s="394" t="n">
        <v>0</v>
      </c>
      <c r="I135" s="394" t="n">
        <v>1755.97</v>
      </c>
      <c r="J135" s="389" t="n">
        <v>1646.78</v>
      </c>
      <c r="K135" s="389" t="n">
        <v>101.88</v>
      </c>
      <c r="L135" s="450" t="n">
        <v>0</v>
      </c>
      <c r="M135" s="400" t="n">
        <v>0</v>
      </c>
      <c r="N135" s="399">
        <f>(J135-K135)+(L135-M135)</f>
        <v/>
      </c>
    </row>
    <row r="136" ht="14.4" customHeight="1">
      <c r="A136" s="11" t="inlineStr">
        <is>
          <t>Mar 16 - Mar 22 2026</t>
        </is>
      </c>
      <c r="B136" s="399" t="n"/>
      <c r="C136" s="449">
        <f>SUM(F136,G136,H136,N136)</f>
        <v/>
      </c>
      <c r="D136" s="394" t="inlineStr">
        <is>
          <t>473</t>
        </is>
      </c>
      <c r="E136" s="394" t="n">
        <v>24836.08</v>
      </c>
      <c r="F136" s="394" t="n">
        <v>21982.72</v>
      </c>
      <c r="G136" s="394" t="n">
        <v>349.54</v>
      </c>
      <c r="H136" s="394" t="n">
        <v>0</v>
      </c>
      <c r="I136" s="394" t="n">
        <v>2503.82</v>
      </c>
      <c r="J136" s="312" t="n">
        <v>2591.13</v>
      </c>
      <c r="K136" s="118" t="n">
        <v>152.82</v>
      </c>
      <c r="L136" s="450" t="n">
        <v>0</v>
      </c>
      <c r="M136" s="400" t="n">
        <v>0</v>
      </c>
      <c r="N136" s="399">
        <f>(J136-K136)+(L136-M136)</f>
        <v/>
      </c>
    </row>
    <row r="137" ht="14.4" customHeight="1">
      <c r="A137" s="11" t="inlineStr">
        <is>
          <t>Mar 23 - Mar 29 2026</t>
        </is>
      </c>
      <c r="B137" s="399" t="n"/>
      <c r="C137" s="449">
        <f>SUM(F137,G137,H137,N137)</f>
        <v/>
      </c>
      <c r="D137" s="394" t="inlineStr">
        <is>
          <t>412</t>
        </is>
      </c>
      <c r="E137" s="394" t="n">
        <v>15012.25</v>
      </c>
      <c r="F137" s="394" t="n">
        <v>13417.62</v>
      </c>
      <c r="G137" s="394" t="n">
        <v>84.5</v>
      </c>
      <c r="H137" s="394" t="n">
        <v>202.42</v>
      </c>
      <c r="I137" s="394" t="n">
        <v>1307.71</v>
      </c>
      <c r="J137" s="389" t="n">
        <v>1352.94</v>
      </c>
      <c r="K137" s="389" t="n">
        <v>101.88</v>
      </c>
      <c r="L137" s="450" t="n">
        <v>0</v>
      </c>
      <c r="M137" s="400" t="n">
        <v>0</v>
      </c>
      <c r="N137" s="399">
        <f>(J137-K137)+(L137-M137)</f>
        <v/>
      </c>
    </row>
    <row r="138" ht="14.4" customHeight="1">
      <c r="A138" s="11" t="inlineStr">
        <is>
          <t>Mar 30 - Apr 05 2026</t>
        </is>
      </c>
      <c r="B138" s="399" t="n"/>
      <c r="C138" s="449">
        <f>SUM(F138,G138,H138,N138)</f>
        <v/>
      </c>
      <c r="D138" s="394" t="inlineStr">
        <is>
          <t>456</t>
        </is>
      </c>
      <c r="E138" s="394" t="n">
        <v>17000.66</v>
      </c>
      <c r="F138" s="394" t="n">
        <v>15373.95</v>
      </c>
      <c r="G138" s="394" t="n">
        <v>31</v>
      </c>
      <c r="H138" s="394" t="n">
        <v>365.15</v>
      </c>
      <c r="I138" s="394" t="n">
        <v>1230.56</v>
      </c>
      <c r="J138" s="389" t="n">
        <v>1175.48</v>
      </c>
      <c r="K138" s="389" t="n">
        <v>33.96</v>
      </c>
      <c r="L138" s="389" t="n">
        <v>40.37</v>
      </c>
      <c r="M138" s="389" t="n">
        <v>16.18</v>
      </c>
      <c r="N138" s="399">
        <f>(J138-K138)+(L138-M138)</f>
        <v/>
      </c>
    </row>
    <row r="139" ht="14.4" customHeight="1">
      <c r="A139" s="2" t="inlineStr">
        <is>
          <t>Apr 06 - Apr 12</t>
        </is>
      </c>
      <c r="B139" s="399" t="n"/>
      <c r="C139" s="449">
        <f>SUM(F139,G139,H139,N139)</f>
        <v/>
      </c>
      <c r="D139" s="401" t="inlineStr">
        <is>
          <t>422</t>
        </is>
      </c>
      <c r="E139" s="401" t="n">
        <v>15514.34</v>
      </c>
      <c r="F139" s="401" t="n">
        <v>13690.81</v>
      </c>
      <c r="G139" s="401" t="n">
        <v>35.72</v>
      </c>
      <c r="H139" s="401" t="n">
        <v>450.58</v>
      </c>
      <c r="I139" s="401" t="n">
        <v>1337.23</v>
      </c>
      <c r="J139" s="389" t="n">
        <v>1305.28</v>
      </c>
      <c r="K139" s="451" t="n">
        <v>0</v>
      </c>
      <c r="L139" s="450" t="n">
        <v>0</v>
      </c>
      <c r="M139" s="400" t="n">
        <v>0</v>
      </c>
      <c r="N139" s="399">
        <f>(J139-K139)+(L139-M139)</f>
        <v/>
      </c>
    </row>
    <row r="140" ht="14.4" customHeight="1">
      <c r="A140" s="11" t="inlineStr">
        <is>
          <t>Apr 13 - Apr 19</t>
        </is>
      </c>
      <c r="B140" s="399" t="n"/>
      <c r="C140" s="449">
        <f>SUM(F140,G140,H140,N140)</f>
        <v/>
      </c>
      <c r="D140" s="402" t="inlineStr">
        <is>
          <t>421</t>
        </is>
      </c>
      <c r="E140" s="402" t="n">
        <v>15918.27</v>
      </c>
      <c r="F140" s="402" t="n">
        <v>13968.1</v>
      </c>
      <c r="G140" s="402" t="n">
        <v>132.69</v>
      </c>
      <c r="H140" s="402" t="n">
        <v>387.69</v>
      </c>
      <c r="I140" s="402" t="n">
        <v>1429.79</v>
      </c>
      <c r="J140" s="389" t="inlineStr">
        <is>
          <t>$1,516.35</t>
        </is>
      </c>
      <c r="K140" s="389" t="n">
        <v>0</v>
      </c>
      <c r="L140" s="450" t="n">
        <v>0</v>
      </c>
      <c r="M140" s="400" t="n">
        <v>0</v>
      </c>
      <c r="N140" s="399" t="n">
        <v>1516.35</v>
      </c>
    </row>
    <row r="141" ht="14.4" customHeight="1">
      <c r="A141" s="11" t="inlineStr">
        <is>
          <t>Apr 20 - Apr 26</t>
        </is>
      </c>
      <c r="B141" s="399" t="n"/>
      <c r="C141" s="449">
        <f>SUM(F141,G141,H141,N141)</f>
        <v/>
      </c>
      <c r="D141" s="402" t="inlineStr">
        <is>
          <t>426</t>
        </is>
      </c>
      <c r="E141" s="402" t="n">
        <v>14784.64</v>
      </c>
      <c r="F141" s="402" t="n">
        <v>12887.62</v>
      </c>
      <c r="G141" s="402" t="n">
        <v>0</v>
      </c>
      <c r="H141" s="402" t="n">
        <v>89.75</v>
      </c>
      <c r="I141" s="402" t="n">
        <v>1807.27</v>
      </c>
      <c r="J141" s="389" t="n">
        <v>1800.88</v>
      </c>
      <c r="K141" s="389" t="n">
        <v>265.38</v>
      </c>
      <c r="L141" s="450" t="n">
        <v>0</v>
      </c>
      <c r="M141" s="400" t="n">
        <v>0</v>
      </c>
      <c r="N141" s="399">
        <f>(J141-K141)+(L141-M141)</f>
        <v/>
      </c>
    </row>
    <row r="142" ht="14.4" customHeight="1">
      <c r="A142" s="399" t="inlineStr">
        <is>
          <t>Apr 27 - May 03</t>
        </is>
      </c>
      <c r="B142" s="399" t="n"/>
      <c r="C142" s="449">
        <f>SUM(F142,G142,H142,N142)</f>
        <v/>
      </c>
      <c r="D142" s="323" t="n">
        <v>469</v>
      </c>
      <c r="E142" s="402" t="n">
        <v>15974.43</v>
      </c>
      <c r="F142" s="402" t="n">
        <v>13940.75</v>
      </c>
      <c r="G142" s="402" t="n">
        <v>38.9</v>
      </c>
      <c r="H142" s="402" t="n">
        <v>240.08</v>
      </c>
      <c r="I142" s="402" t="n">
        <v>1754.7</v>
      </c>
      <c r="J142" s="339" t="inlineStr">
        <is>
          <t>$1,703.70</t>
        </is>
      </c>
      <c r="K142" s="339" t="inlineStr">
        <is>
          <t>$146.72</t>
        </is>
      </c>
      <c r="L142" s="402" t="n">
        <v>0</v>
      </c>
      <c r="M142" s="402" t="n">
        <v>0</v>
      </c>
      <c r="N142" s="399">
        <f>(J142-K142)+(L142-M142)</f>
        <v/>
      </c>
      <c r="O142" s="402" t="n"/>
      <c r="P142" s="402" t="n"/>
      <c r="Q142" s="402" t="n"/>
      <c r="R142" s="402" t="n"/>
      <c r="S142" s="402" t="n"/>
      <c r="T142" s="402" t="n"/>
      <c r="U142" s="402" t="n"/>
      <c r="V142" s="402" t="n"/>
      <c r="W142" s="402" t="n"/>
      <c r="X142" s="402" t="n"/>
      <c r="Y142" s="402" t="n"/>
      <c r="Z142" s="402" t="n"/>
      <c r="AA142" s="402" t="n"/>
    </row>
    <row r="143" ht="14.4" customHeight="1">
      <c r="A143" s="399" t="inlineStr">
        <is>
          <t>May 4 - May 10</t>
        </is>
      </c>
      <c r="B143" s="399" t="n"/>
      <c r="C143" s="449">
        <f>SUM(F143,G143,H143,N143)</f>
        <v/>
      </c>
      <c r="D143" s="323" t="n">
        <v>487</v>
      </c>
      <c r="E143" s="402" t="n">
        <v>17148.84</v>
      </c>
      <c r="F143" s="402" t="n">
        <v>14275.98</v>
      </c>
      <c r="G143" s="402" t="n">
        <v>127.87</v>
      </c>
      <c r="H143" s="402" t="n">
        <v>267.42</v>
      </c>
      <c r="I143" s="402" t="n">
        <v>2477.57</v>
      </c>
      <c r="J143" s="406" t="n">
        <v>2360.58</v>
      </c>
      <c r="K143" s="406" t="n">
        <v>322.98</v>
      </c>
      <c r="L143" s="402" t="n">
        <v>0</v>
      </c>
      <c r="M143" s="402" t="n">
        <v>0</v>
      </c>
      <c r="N143" s="399">
        <f>(J143-K143)+(L143-M143)</f>
        <v/>
      </c>
      <c r="O143" s="402" t="n"/>
      <c r="P143" s="402" t="n"/>
      <c r="Q143" s="402" t="n"/>
      <c r="R143" s="402" t="n"/>
      <c r="S143" s="402" t="n"/>
      <c r="T143" s="402" t="n"/>
      <c r="U143" s="402" t="n"/>
      <c r="V143" s="402" t="n"/>
      <c r="W143" s="402" t="n"/>
      <c r="X143" s="402" t="n"/>
      <c r="Y143" s="402" t="n"/>
      <c r="Z143" s="402" t="n"/>
      <c r="AA143" s="402" t="n"/>
    </row>
    <row r="144" ht="14.4" customHeight="1">
      <c r="A144" s="399" t="inlineStr">
        <is>
          <t>May 11 - May 17</t>
        </is>
      </c>
      <c r="B144" s="399" t="n"/>
      <c r="C144" s="449" t="n"/>
      <c r="D144" s="323" t="n">
        <v>455</v>
      </c>
      <c r="E144" s="402" t="n">
        <v>19078.48</v>
      </c>
      <c r="F144" s="402" t="n">
        <v>16351.38</v>
      </c>
      <c r="G144" s="402" t="n">
        <v>63.72</v>
      </c>
      <c r="H144" s="402" t="n">
        <v>242.19</v>
      </c>
      <c r="I144" s="402" t="n">
        <v>2421.19</v>
      </c>
      <c r="J144" s="406" t="n"/>
      <c r="K144" s="406" t="n"/>
      <c r="L144" s="402" t="n"/>
      <c r="M144" s="402" t="n"/>
      <c r="N144" s="399" t="n"/>
      <c r="O144" s="402" t="n"/>
      <c r="P144" s="402" t="n"/>
      <c r="Q144" s="402" t="n"/>
      <c r="R144" s="402" t="n"/>
      <c r="S144" s="402" t="n"/>
      <c r="T144" s="402" t="n"/>
      <c r="U144" s="402" t="n"/>
      <c r="V144" s="402" t="n"/>
      <c r="W144" s="402" t="n"/>
      <c r="X144" s="402" t="n"/>
      <c r="Y144" s="402" t="n"/>
      <c r="Z144" s="402" t="n"/>
      <c r="AA144" s="402" t="n"/>
    </row>
    <row r="145" ht="27.6" customHeight="1">
      <c r="A145" s="399" t="n"/>
      <c r="B145" s="399" t="n"/>
      <c r="C145" s="449" t="n"/>
      <c r="D145" s="323" t="n"/>
      <c r="E145" s="402" t="n"/>
      <c r="F145" s="402" t="n"/>
      <c r="G145" s="402" t="n"/>
      <c r="H145" s="402" t="n"/>
      <c r="I145" s="402" t="n"/>
      <c r="J145" s="406" t="n"/>
      <c r="K145" s="406" t="n"/>
      <c r="L145" s="402" t="n"/>
      <c r="M145" s="402" t="n"/>
      <c r="N145" s="399" t="n"/>
      <c r="O145" s="402" t="n"/>
      <c r="P145" s="402" t="n"/>
      <c r="Q145" s="402" t="n"/>
      <c r="R145" s="402" t="n"/>
      <c r="S145" s="402" t="n"/>
      <c r="T145" s="402" t="n"/>
      <c r="U145" s="402" t="n"/>
      <c r="V145" s="402" t="n"/>
      <c r="W145" s="402" t="n"/>
      <c r="X145" s="402" t="n"/>
      <c r="Y145" s="402" t="n"/>
      <c r="Z145" s="402" t="n"/>
      <c r="AA145" s="402" t="n"/>
    </row>
    <row r="146" ht="14.4" customHeight="1">
      <c r="A146" s="403" t="inlineStr">
        <is>
          <t>May 11 - May 17</t>
        </is>
      </c>
      <c r="B146" s="403" t="n"/>
      <c r="C146" s="452">
        <f>SUM(F144,G144,H144,N144)</f>
        <v/>
      </c>
      <c r="D146" s="323" t="n">
        <v>461</v>
      </c>
      <c r="E146" s="402" t="n">
        <v>16630.39</v>
      </c>
      <c r="F146" s="402" t="n">
        <v>14190.46</v>
      </c>
      <c r="G146" s="402" t="n">
        <v>55.19</v>
      </c>
      <c r="H146" s="402" t="n">
        <v>344.17</v>
      </c>
      <c r="I146" s="402" t="n">
        <v>2040.57</v>
      </c>
      <c r="J146" s="406" t="n">
        <v>2027.38</v>
      </c>
      <c r="K146" s="406" t="n">
        <v>337.74</v>
      </c>
      <c r="L146" s="402" t="n">
        <v>0</v>
      </c>
      <c r="M146" s="402" t="n">
        <v>0</v>
      </c>
      <c r="N146" s="399">
        <f>(J144-K144)+(L144-M144)</f>
        <v/>
      </c>
      <c r="O146" s="402" t="n"/>
      <c r="P146" s="402" t="n"/>
      <c r="Q146" s="402" t="n"/>
      <c r="R146" s="402" t="n"/>
      <c r="S146" s="402" t="n"/>
      <c r="T146" s="402" t="n"/>
      <c r="U146" s="402" t="n"/>
      <c r="V146" s="402" t="n"/>
      <c r="W146" s="402" t="n"/>
      <c r="X146" s="402" t="n"/>
      <c r="Y146" s="402" t="n"/>
      <c r="Z146" s="402" t="n"/>
      <c r="AA146" s="402" t="n"/>
    </row>
    <row r="147" ht="14.4" customHeight="1">
      <c r="A147" s="403" t="inlineStr">
        <is>
          <t>May 18 - May 24</t>
        </is>
      </c>
      <c r="B147" s="403" t="n"/>
      <c r="C147" s="452">
        <f>SUM(F145,G145,H145,N145)</f>
        <v/>
      </c>
      <c r="D147" s="323" t="n">
        <v>458</v>
      </c>
      <c r="E147" s="402" t="n">
        <v>15889.77</v>
      </c>
      <c r="F147" s="402" t="n">
        <v>13236.13</v>
      </c>
      <c r="G147" s="402" t="n">
        <v>48.33</v>
      </c>
      <c r="H147" s="402" t="n">
        <v>530.02</v>
      </c>
      <c r="I147" s="402" t="n">
        <v>2075.29</v>
      </c>
      <c r="J147" s="406" t="n">
        <v>2107.12</v>
      </c>
      <c r="K147" s="406" t="n">
        <v>293.44</v>
      </c>
      <c r="L147" s="402" t="n">
        <v>0</v>
      </c>
      <c r="M147" s="402" t="n">
        <v>0</v>
      </c>
      <c r="N147" s="399">
        <f>(J145-K145)+(L145-M145)</f>
        <v/>
      </c>
      <c r="O147" s="402" t="n"/>
      <c r="P147" s="402" t="n"/>
      <c r="Q147" s="402" t="n"/>
      <c r="R147" s="402" t="n"/>
      <c r="S147" s="402" t="n"/>
      <c r="T147" s="402" t="n"/>
      <c r="U147" s="402" t="n"/>
      <c r="V147" s="402" t="n"/>
      <c r="W147" s="402" t="n"/>
      <c r="X147" s="402" t="n"/>
      <c r="Y147" s="402" t="n"/>
      <c r="Z147" s="402" t="n"/>
      <c r="AA147" s="402" t="n"/>
    </row>
    <row r="148" ht="14.4" customHeight="1">
      <c r="A148" s="403" t="inlineStr">
        <is>
          <t>May 25 - May 31</t>
        </is>
      </c>
      <c r="B148" s="403" t="n"/>
      <c r="C148" s="452" t="n"/>
      <c r="D148" s="323" t="n">
        <v>455</v>
      </c>
      <c r="E148" s="402" t="n">
        <v>19078.48</v>
      </c>
      <c r="F148" s="402" t="n">
        <v>16351.38</v>
      </c>
      <c r="G148" s="402" t="n">
        <v>63.72</v>
      </c>
      <c r="H148" s="402" t="n">
        <v>242.19</v>
      </c>
      <c r="I148" s="402" t="n">
        <v>2421.19</v>
      </c>
      <c r="J148" s="406" t="n"/>
      <c r="K148" s="406" t="n"/>
      <c r="L148" s="402" t="n"/>
      <c r="M148" s="402" t="n"/>
      <c r="N148" s="399" t="n"/>
      <c r="O148" s="402" t="n"/>
      <c r="P148" s="402" t="n"/>
      <c r="Q148" s="402" t="n"/>
      <c r="R148" s="402" t="n"/>
      <c r="S148" s="402" t="n"/>
      <c r="T148" s="402" t="n"/>
      <c r="U148" s="402" t="n"/>
      <c r="V148" s="402" t="n"/>
      <c r="W148" s="402" t="n"/>
      <c r="X148" s="402" t="n"/>
      <c r="Y148" s="402" t="n"/>
      <c r="Z148" s="402" t="n"/>
      <c r="AA148" s="402" t="n"/>
    </row>
    <row r="149" ht="14.4" customHeight="1">
      <c r="A149" s="403" t="n"/>
      <c r="B149" s="403" t="n"/>
      <c r="C149" s="452" t="n"/>
      <c r="D149" s="323" t="n"/>
      <c r="E149" s="402" t="n"/>
      <c r="F149" s="402" t="n"/>
      <c r="G149" s="402" t="n"/>
      <c r="H149" s="402" t="n"/>
      <c r="I149" s="402" t="n"/>
      <c r="J149" s="406" t="n"/>
      <c r="K149" s="406" t="n"/>
      <c r="L149" s="402" t="n"/>
      <c r="M149" s="402" t="n"/>
      <c r="N149" s="399" t="n"/>
      <c r="O149" s="402" t="n"/>
      <c r="P149" s="402" t="n"/>
      <c r="Q149" s="402" t="n"/>
      <c r="R149" s="402" t="n"/>
      <c r="S149" s="402" t="n"/>
      <c r="T149" s="402" t="n"/>
      <c r="U149" s="402" t="n"/>
      <c r="V149" s="402" t="n"/>
      <c r="W149" s="402" t="n"/>
      <c r="X149" s="402" t="n"/>
      <c r="Y149" s="402" t="n"/>
      <c r="Z149" s="402" t="n"/>
      <c r="AA149" s="402" t="n"/>
    </row>
    <row r="150" ht="14.4" customHeight="1">
      <c r="A150" s="453" t="inlineStr">
        <is>
          <t>Karachi Kababwala</t>
        </is>
      </c>
      <c r="B150" s="358" t="n"/>
      <c r="C150" s="355" t="n"/>
      <c r="D150" s="453" t="n"/>
      <c r="E150" s="453" t="n"/>
      <c r="F150" s="45" t="n"/>
      <c r="G150" s="45" t="n"/>
      <c r="H150" s="45" t="n"/>
      <c r="I150" s="30" t="n"/>
      <c r="J150" s="399" t="n"/>
      <c r="K150" s="399" t="n"/>
      <c r="L150" s="399" t="n"/>
      <c r="M150" s="399" t="n"/>
      <c r="N150" s="399" t="n"/>
    </row>
    <row r="151" ht="14.4" customHeight="1">
      <c r="A151" s="454" t="inlineStr">
        <is>
          <t>Statement For Selected Period</t>
        </is>
      </c>
      <c r="B151" s="399" t="n"/>
      <c r="C151" s="454" t="inlineStr">
        <is>
          <t>Total Revenue</t>
        </is>
      </c>
      <c r="D151" s="454" t="n"/>
      <c r="E151" s="454" t="n"/>
      <c r="F151" s="399" t="n"/>
      <c r="G151" s="399" t="n"/>
      <c r="H151" s="399" t="n"/>
      <c r="I151" s="399" t="n"/>
      <c r="J151" s="399" t="n"/>
      <c r="K151" s="399" t="n"/>
      <c r="L151" s="399" t="n"/>
      <c r="M151" s="399" t="n"/>
      <c r="N151" s="399" t="n"/>
    </row>
    <row r="152" ht="14.4" customHeight="1">
      <c r="A152" s="11" t="inlineStr">
        <is>
          <t>Mar 09 - Mar 15 2026</t>
        </is>
      </c>
      <c r="B152" s="382" t="n"/>
      <c r="C152" s="382" t="n">
        <v>12151.46</v>
      </c>
      <c r="D152" s="382" t="n"/>
      <c r="E152" s="382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</row>
    <row r="153">
      <c r="A153" s="11" t="inlineStr">
        <is>
          <t>Mar 16 - Mar 22 2026</t>
        </is>
      </c>
      <c r="B153" s="382" t="n"/>
      <c r="C153" s="449" t="n">
        <v>24770.57</v>
      </c>
      <c r="D153" s="382" t="n"/>
      <c r="E153" s="382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</row>
    <row r="154">
      <c r="A154" s="11" t="inlineStr">
        <is>
          <t>Mar 23 - Mar 29 2026</t>
        </is>
      </c>
      <c r="B154" s="382" t="n"/>
      <c r="C154" s="382" t="n">
        <v>14955.6</v>
      </c>
      <c r="D154" s="382" t="n"/>
      <c r="E154" s="382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</row>
    <row r="155">
      <c r="A155" s="11" t="inlineStr">
        <is>
          <t>Mar 30 - Apr 05 2026</t>
        </is>
      </c>
      <c r="B155" s="382" t="n"/>
      <c r="C155" s="449" t="n">
        <v>16935.81</v>
      </c>
      <c r="D155" s="382" t="n"/>
      <c r="E155" s="382" t="n"/>
      <c r="F155" s="382" t="n"/>
      <c r="G155" s="382" t="n"/>
      <c r="H155" s="382" t="n"/>
      <c r="I155" s="382" t="n"/>
      <c r="J155" s="382" t="n"/>
      <c r="K155" s="382" t="n"/>
      <c r="L155" s="382" t="n"/>
      <c r="M155" s="382" t="n"/>
      <c r="N155" s="382" t="n"/>
    </row>
    <row r="156">
      <c r="A156" s="2" t="inlineStr">
        <is>
          <t>Apr 06 - Apr 12</t>
        </is>
      </c>
      <c r="B156" s="399" t="n"/>
      <c r="C156" s="449" t="n">
        <v>15482.39</v>
      </c>
    </row>
    <row r="157">
      <c r="A157" s="2" t="inlineStr">
        <is>
          <t>Apr 13 - Apr 19</t>
        </is>
      </c>
      <c r="B157" s="399" t="n"/>
      <c r="C157" s="449" t="n">
        <v>16004.83</v>
      </c>
    </row>
    <row r="158">
      <c r="A158" s="2" t="inlineStr">
        <is>
          <t>Apr 20 - Apr 26</t>
        </is>
      </c>
      <c r="B158" s="399" t="n"/>
      <c r="C158" s="449" t="n">
        <v>14512.87</v>
      </c>
    </row>
    <row r="159">
      <c r="A159" s="2" t="inlineStr">
        <is>
          <t>Apr 27 - May 03</t>
        </is>
      </c>
      <c r="B159" s="399" t="n"/>
      <c r="C159" s="449" t="n">
        <v>15776.71</v>
      </c>
    </row>
    <row r="160">
      <c r="A160" s="2" t="inlineStr">
        <is>
          <t>May 4 - May 10</t>
        </is>
      </c>
      <c r="B160" s="399" t="n"/>
      <c r="C160" s="449" t="n">
        <v>16708.87</v>
      </c>
    </row>
    <row r="161">
      <c r="A161" s="2" t="inlineStr">
        <is>
          <t>May 11 - May 17</t>
        </is>
      </c>
      <c r="B161" s="399" t="n"/>
      <c r="C161" s="449" t="n">
        <v>16279.46</v>
      </c>
    </row>
    <row r="162">
      <c r="A162" s="2" t="inlineStr">
        <is>
          <t>May 18 - May 24</t>
        </is>
      </c>
      <c r="B162" s="399" t="n"/>
      <c r="C162" s="449" t="n">
        <v>15628.16</v>
      </c>
    </row>
  </sheetData>
  <mergeCells count="2">
    <mergeCell ref="K1:O1"/>
    <mergeCell ref="H1:I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2"/>
  <sheetViews>
    <sheetView topLeftCell="A74" zoomScaleNormal="100" workbookViewId="0">
      <pane ySplit="2" topLeftCell="A132" activePane="bottomLeft" state="frozen"/>
      <selection activeCell="F74" sqref="F74"/>
      <selection pane="bottomLeft" activeCell="D155" sqref="D155"/>
    </sheetView>
  </sheetViews>
  <sheetFormatPr baseColWidth="8" defaultRowHeight="14.4"/>
  <cols>
    <col width="31.109375" customWidth="1" min="1" max="1"/>
    <col width="30.33203125" customWidth="1" style="14" min="3" max="3"/>
    <col width="18" customWidth="1" style="14" min="4" max="4"/>
    <col width="30.33203125" customWidth="1" style="14" min="5" max="5"/>
    <col width="18" customWidth="1" min="6" max="6"/>
    <col width="15.6640625" customWidth="1" min="7" max="7"/>
    <col width="16.5546875" customWidth="1" min="8" max="8"/>
    <col width="17" customWidth="1" min="9" max="9"/>
    <col width="18.5546875" customWidth="1" min="10" max="10"/>
    <col width="23.109375" customWidth="1" min="11" max="13"/>
    <col width="15.109375" customWidth="1" min="14" max="14"/>
    <col width="16.109375" customWidth="1" min="15" max="15"/>
  </cols>
  <sheetData>
    <row r="1" ht="32.4" customHeight="1">
      <c r="A1" s="360" t="inlineStr">
        <is>
          <t>Statement For Selected Period</t>
        </is>
      </c>
      <c r="B1" s="19" t="n"/>
      <c r="C1" s="361" t="inlineStr">
        <is>
          <t>Total Revenue</t>
        </is>
      </c>
      <c r="D1" s="163" t="n"/>
      <c r="E1" s="163" t="n"/>
      <c r="I1" s="360" t="n">
        <v>2021</v>
      </c>
      <c r="J1" s="355" t="n"/>
      <c r="K1" s="360" t="n">
        <v>2022</v>
      </c>
      <c r="L1" s="358" t="n"/>
      <c r="M1" s="358" t="n"/>
      <c r="N1" s="355" t="n"/>
      <c r="O1" s="361" t="n">
        <v>2023</v>
      </c>
      <c r="P1" s="355" t="n"/>
    </row>
    <row r="2" ht="27.6" customHeight="1">
      <c r="A2" s="2" t="inlineStr">
        <is>
          <t>August 28 2023 - September 3 2023</t>
        </is>
      </c>
      <c r="B2" s="19" t="n"/>
      <c r="C2" s="16" t="n">
        <v>26049.7</v>
      </c>
      <c r="D2" s="229" t="n"/>
      <c r="E2" s="229" t="n"/>
      <c r="I2" s="2" t="inlineStr">
        <is>
          <t>January</t>
        </is>
      </c>
      <c r="J2" s="1" t="n"/>
      <c r="K2" s="2" t="inlineStr">
        <is>
          <t>January</t>
        </is>
      </c>
      <c r="L2" s="2" t="n"/>
      <c r="M2" s="2" t="n"/>
      <c r="N2" s="455" t="n"/>
      <c r="O2" s="2" t="inlineStr">
        <is>
          <t>January</t>
        </is>
      </c>
      <c r="P2" s="455" t="n"/>
    </row>
    <row r="3" ht="27.6" customHeight="1">
      <c r="A3" s="2" t="inlineStr">
        <is>
          <t>September 4 2023 - September 10 2023</t>
        </is>
      </c>
      <c r="B3" s="11" t="n"/>
      <c r="C3" s="16" t="n">
        <v>22729.95</v>
      </c>
      <c r="D3" s="229" t="n"/>
      <c r="E3" s="229" t="n"/>
      <c r="I3" s="2" t="inlineStr">
        <is>
          <t>February</t>
        </is>
      </c>
      <c r="J3" s="1" t="n"/>
      <c r="K3" s="2" t="inlineStr">
        <is>
          <t>February</t>
        </is>
      </c>
      <c r="L3" s="2" t="n"/>
      <c r="M3" s="2" t="n"/>
      <c r="N3" s="455" t="n"/>
      <c r="O3" s="2" t="inlineStr">
        <is>
          <t>February</t>
        </is>
      </c>
      <c r="P3" s="455" t="n"/>
    </row>
    <row r="4" ht="27.6" customHeight="1">
      <c r="A4" s="2" t="inlineStr">
        <is>
          <t>September 11 2023 - September 17 2023</t>
        </is>
      </c>
      <c r="B4" s="19" t="n"/>
      <c r="C4" s="16" t="n">
        <v>19150.68</v>
      </c>
      <c r="D4" s="229" t="n"/>
      <c r="E4" s="229" t="n"/>
      <c r="I4" s="2" t="inlineStr">
        <is>
          <t>March</t>
        </is>
      </c>
      <c r="J4" s="1" t="n"/>
      <c r="K4" s="2" t="inlineStr">
        <is>
          <t>March</t>
        </is>
      </c>
      <c r="L4" s="2" t="n"/>
      <c r="M4" s="2" t="n"/>
      <c r="N4" s="455" t="n"/>
      <c r="O4" s="2" t="inlineStr">
        <is>
          <t>March</t>
        </is>
      </c>
      <c r="P4" s="455" t="n"/>
    </row>
    <row r="5" ht="27.6" customHeight="1">
      <c r="A5" s="2" t="inlineStr">
        <is>
          <t>September 18 2023 - September 24 2023</t>
        </is>
      </c>
      <c r="B5" s="19" t="n"/>
      <c r="C5" s="16" t="n">
        <v>20976.15</v>
      </c>
      <c r="D5" s="229" t="n"/>
      <c r="E5" s="229" t="n"/>
      <c r="I5" s="2" t="inlineStr">
        <is>
          <t>April</t>
        </is>
      </c>
      <c r="J5" s="1" t="n"/>
      <c r="K5" s="2" t="inlineStr">
        <is>
          <t>April</t>
        </is>
      </c>
      <c r="L5" s="2" t="n"/>
      <c r="M5" s="2" t="n"/>
      <c r="N5" s="455" t="n"/>
      <c r="O5" s="2" t="inlineStr">
        <is>
          <t>April</t>
        </is>
      </c>
      <c r="P5" s="455" t="n"/>
    </row>
    <row r="6" ht="27.6" customHeight="1">
      <c r="A6" s="2" t="inlineStr">
        <is>
          <t>September 25 2023 - October 1 2023</t>
        </is>
      </c>
      <c r="B6" s="19" t="n"/>
      <c r="C6" s="16" t="n">
        <v>19281.47</v>
      </c>
      <c r="D6" s="229" t="n"/>
      <c r="E6" s="229" t="n"/>
      <c r="I6" s="2" t="inlineStr">
        <is>
          <t>May</t>
        </is>
      </c>
      <c r="J6" s="1" t="n"/>
      <c r="K6" s="2" t="inlineStr">
        <is>
          <t>May</t>
        </is>
      </c>
      <c r="L6" s="2" t="n"/>
      <c r="M6" s="2" t="n"/>
      <c r="N6" s="455" t="n"/>
      <c r="O6" s="2" t="inlineStr">
        <is>
          <t>May</t>
        </is>
      </c>
      <c r="P6" s="455" t="n"/>
    </row>
    <row r="7" ht="27.6" customHeight="1">
      <c r="A7" s="2" t="inlineStr">
        <is>
          <t>October 2 2023 - October 8 2023</t>
        </is>
      </c>
      <c r="B7" s="19" t="n"/>
      <c r="C7" s="24" t="n">
        <v>21980.84</v>
      </c>
      <c r="D7" s="230" t="n"/>
      <c r="E7" s="230" t="n"/>
      <c r="I7" s="2" t="inlineStr">
        <is>
          <t>June</t>
        </is>
      </c>
      <c r="J7" s="1" t="n"/>
      <c r="K7" s="2" t="inlineStr">
        <is>
          <t>June</t>
        </is>
      </c>
      <c r="L7" s="2" t="n"/>
      <c r="M7" s="2" t="n"/>
      <c r="N7" s="455" t="n"/>
      <c r="O7" s="2" t="inlineStr">
        <is>
          <t>June</t>
        </is>
      </c>
      <c r="P7" s="455" t="n"/>
    </row>
    <row r="8" ht="27.6" customHeight="1">
      <c r="A8" s="2" t="inlineStr">
        <is>
          <t>October 9 2023 - October 15 2023</t>
        </is>
      </c>
      <c r="B8" s="19" t="n"/>
      <c r="C8" s="16" t="n">
        <v>22217.19</v>
      </c>
      <c r="D8" s="229" t="n"/>
      <c r="E8" s="229" t="n"/>
      <c r="I8" s="2" t="inlineStr">
        <is>
          <t>July</t>
        </is>
      </c>
      <c r="J8" s="455" t="n"/>
      <c r="K8" s="2" t="inlineStr">
        <is>
          <t>July</t>
        </is>
      </c>
      <c r="L8" s="2" t="n"/>
      <c r="M8" s="2" t="n"/>
      <c r="N8" s="455" t="n"/>
      <c r="O8" s="2" t="inlineStr">
        <is>
          <t>July</t>
        </is>
      </c>
      <c r="P8" s="455" t="n"/>
    </row>
    <row r="9" ht="27.6" customHeight="1">
      <c r="A9" s="2" t="inlineStr">
        <is>
          <t>October 16 2023 - October 22 2023</t>
        </is>
      </c>
      <c r="B9" s="19" t="n"/>
      <c r="C9" s="16" t="n">
        <v>20227.23</v>
      </c>
      <c r="D9" s="229" t="n"/>
      <c r="E9" s="229" t="n"/>
      <c r="I9" s="2" t="inlineStr">
        <is>
          <t>August</t>
        </is>
      </c>
      <c r="J9" s="455" t="n"/>
      <c r="K9" s="2" t="inlineStr">
        <is>
          <t>August</t>
        </is>
      </c>
      <c r="L9" s="2" t="n"/>
      <c r="M9" s="2" t="n"/>
      <c r="N9" s="455" t="n"/>
      <c r="O9" s="2" t="inlineStr">
        <is>
          <t>August</t>
        </is>
      </c>
      <c r="P9" s="455" t="n"/>
    </row>
    <row r="10" ht="27.6" customHeight="1">
      <c r="A10" s="2" t="inlineStr">
        <is>
          <t>October 23 2023 - October 29 2023</t>
        </is>
      </c>
      <c r="B10" s="19" t="n"/>
      <c r="C10" s="16" t="n">
        <v>21580.85</v>
      </c>
      <c r="D10" s="229" t="n"/>
      <c r="E10" s="229" t="n"/>
      <c r="I10" s="2" t="inlineStr">
        <is>
          <t>September</t>
        </is>
      </c>
      <c r="J10" s="455" t="n"/>
      <c r="K10" s="2" t="inlineStr">
        <is>
          <t>September</t>
        </is>
      </c>
      <c r="L10" s="2" t="n"/>
      <c r="M10" s="2" t="n"/>
      <c r="N10" s="455" t="n"/>
      <c r="O10" s="2" t="inlineStr">
        <is>
          <t>September</t>
        </is>
      </c>
      <c r="P10" s="455" t="n"/>
    </row>
    <row r="11" ht="27.6" customHeight="1">
      <c r="A11" s="2" t="inlineStr">
        <is>
          <t>October 30 2023 - November 5 2023</t>
        </is>
      </c>
      <c r="B11" s="19" t="n"/>
      <c r="C11" s="16" t="n">
        <v>21160.1</v>
      </c>
      <c r="D11" s="229" t="n"/>
      <c r="E11" s="229" t="n"/>
      <c r="I11" s="2" t="inlineStr">
        <is>
          <t>October</t>
        </is>
      </c>
      <c r="J11" s="455" t="n"/>
      <c r="K11" s="2" t="inlineStr">
        <is>
          <t>October</t>
        </is>
      </c>
      <c r="L11" s="2" t="n"/>
      <c r="M11" s="2" t="n"/>
      <c r="N11" s="455" t="n"/>
      <c r="O11" s="2" t="inlineStr">
        <is>
          <t>October</t>
        </is>
      </c>
      <c r="P11" s="455" t="n"/>
    </row>
    <row r="12" ht="27.6" customHeight="1">
      <c r="A12" s="2" t="inlineStr">
        <is>
          <t>November 6 2023 - November 12 2023</t>
        </is>
      </c>
      <c r="B12" s="19" t="n"/>
      <c r="C12" s="16" t="n">
        <v>21675.23</v>
      </c>
      <c r="D12" s="229" t="n"/>
      <c r="E12" s="229" t="n"/>
      <c r="I12" s="2" t="inlineStr">
        <is>
          <t>November</t>
        </is>
      </c>
      <c r="J12" s="455" t="n"/>
      <c r="K12" s="2" t="inlineStr">
        <is>
          <t>November</t>
        </is>
      </c>
      <c r="L12" s="2" t="n"/>
      <c r="M12" s="2" t="n"/>
      <c r="N12" s="455" t="n"/>
      <c r="O12" s="2" t="inlineStr">
        <is>
          <t>November</t>
        </is>
      </c>
      <c r="P12" s="1" t="n"/>
    </row>
    <row r="13" ht="27.6" customHeight="1">
      <c r="A13" s="2" t="inlineStr">
        <is>
          <t>November 13 2023 - November 19 2023</t>
        </is>
      </c>
      <c r="B13" s="19" t="n"/>
      <c r="C13" s="16" t="n">
        <v>21532.99</v>
      </c>
      <c r="D13" s="229" t="n"/>
      <c r="E13" s="229" t="n"/>
      <c r="I13" s="2" t="inlineStr">
        <is>
          <t>December</t>
        </is>
      </c>
      <c r="J13" s="455" t="n"/>
      <c r="K13" s="2" t="inlineStr">
        <is>
          <t>December</t>
        </is>
      </c>
      <c r="L13" s="2" t="n"/>
      <c r="M13" s="2" t="n"/>
      <c r="N13" s="455" t="n"/>
      <c r="O13" s="2" t="inlineStr">
        <is>
          <t>December</t>
        </is>
      </c>
      <c r="P13" s="1" t="n"/>
    </row>
    <row r="14" ht="27.6" customHeight="1">
      <c r="A14" s="2" t="inlineStr">
        <is>
          <t>November 20 2023 - November 26 2023</t>
        </is>
      </c>
      <c r="B14" s="19" t="n"/>
      <c r="C14" s="16" t="n">
        <v>21351.69</v>
      </c>
      <c r="D14" s="229" t="n"/>
      <c r="E14" s="229" t="n"/>
      <c r="I14" s="5" t="n"/>
      <c r="J14" s="456" t="n"/>
      <c r="K14" s="5" t="n"/>
      <c r="L14" s="5" t="n"/>
      <c r="M14" s="5" t="n"/>
      <c r="N14" s="456" t="n"/>
      <c r="O14" s="5" t="n"/>
    </row>
    <row r="15" ht="27.6" customHeight="1">
      <c r="A15" s="2" t="inlineStr">
        <is>
          <t>November 27 2023 - December 03 2024</t>
        </is>
      </c>
      <c r="B15" s="19" t="n"/>
      <c r="C15" s="16" t="n">
        <v>18942.47</v>
      </c>
      <c r="D15" s="229" t="n"/>
      <c r="E15" s="229" t="n"/>
      <c r="I15" s="5" t="n"/>
      <c r="J15" s="456" t="n"/>
      <c r="K15" s="5" t="n"/>
      <c r="L15" s="5" t="n"/>
      <c r="M15" s="5" t="n"/>
      <c r="N15" s="456" t="n"/>
      <c r="O15" s="5" t="n"/>
    </row>
    <row r="16" ht="27.6" customHeight="1">
      <c r="A16" s="2" t="inlineStr">
        <is>
          <t>December 04 2023 - December 10 2024</t>
        </is>
      </c>
      <c r="B16" s="19" t="n"/>
      <c r="C16" s="16" t="n">
        <v>18663.72</v>
      </c>
      <c r="D16" s="229" t="n"/>
      <c r="E16" s="229" t="n"/>
      <c r="I16" s="5" t="n"/>
      <c r="J16" s="456" t="n"/>
      <c r="K16" s="5" t="n"/>
      <c r="L16" s="5" t="n"/>
      <c r="M16" s="5" t="n"/>
      <c r="N16" s="456" t="n"/>
      <c r="O16" s="5" t="n"/>
    </row>
    <row r="17" ht="27.6" customHeight="1">
      <c r="A17" s="2" t="inlineStr">
        <is>
          <t>December 11 2023 - December 17 2024</t>
        </is>
      </c>
      <c r="B17" s="19" t="n"/>
      <c r="C17" s="16" t="n">
        <v>17784.97</v>
      </c>
      <c r="D17" s="229" t="n"/>
      <c r="E17" s="229" t="n"/>
      <c r="I17" s="5" t="n"/>
      <c r="J17" s="456" t="n"/>
      <c r="K17" s="5" t="n"/>
      <c r="L17" s="5" t="n"/>
      <c r="M17" s="5" t="n"/>
      <c r="N17" s="456" t="n"/>
      <c r="O17" s="5" t="n"/>
    </row>
    <row r="18" ht="27.6" customHeight="1">
      <c r="A18" s="2" t="inlineStr">
        <is>
          <t>December 18 2023 - December 24 2024</t>
        </is>
      </c>
      <c r="B18" s="19" t="n"/>
      <c r="C18" s="16" t="n">
        <v>20137.82</v>
      </c>
      <c r="D18" s="229" t="n"/>
      <c r="E18" s="229" t="n"/>
      <c r="I18" s="5" t="n"/>
      <c r="J18" s="456" t="n"/>
      <c r="K18" s="5" t="n"/>
      <c r="L18" s="5" t="n"/>
      <c r="M18" s="5" t="n"/>
      <c r="N18" s="456" t="n"/>
      <c r="O18" s="5" t="n"/>
    </row>
    <row r="19" ht="27.6" customHeight="1">
      <c r="A19" s="2" t="inlineStr">
        <is>
          <t>December 25 2023 - December 31 2024</t>
        </is>
      </c>
      <c r="B19" s="19" t="n"/>
      <c r="C19" s="25" t="n">
        <v>29483.6</v>
      </c>
      <c r="D19" s="231" t="n"/>
      <c r="E19" s="231" t="n"/>
      <c r="I19" s="5" t="n"/>
      <c r="J19" s="456" t="n"/>
      <c r="K19" s="5" t="n"/>
      <c r="L19" s="5" t="n"/>
      <c r="M19" s="5" t="n"/>
      <c r="N19" s="456" t="n"/>
      <c r="O19" s="5" t="n"/>
    </row>
    <row r="20">
      <c r="A20" s="2" t="inlineStr">
        <is>
          <t>Jan 1 - Jan 07 2024</t>
        </is>
      </c>
      <c r="B20" s="19" t="n"/>
      <c r="C20" s="25" t="n">
        <v>19057.18</v>
      </c>
      <c r="D20" s="231" t="n"/>
      <c r="E20" s="231" t="n"/>
      <c r="I20" s="5" t="n"/>
      <c r="J20" s="456" t="n"/>
      <c r="K20" s="5" t="n"/>
      <c r="L20" s="5" t="n"/>
      <c r="M20" s="5" t="n"/>
      <c r="N20" s="456" t="n"/>
      <c r="O20" s="5" t="n"/>
    </row>
    <row r="21">
      <c r="A21" s="2" t="inlineStr">
        <is>
          <t>Jan 8 - Jan 14 2024</t>
        </is>
      </c>
      <c r="B21" s="19" t="n"/>
      <c r="C21" s="25" t="n">
        <v>16748.41</v>
      </c>
      <c r="D21" s="231" t="n"/>
      <c r="E21" s="231" t="n"/>
      <c r="I21" s="5" t="n"/>
      <c r="J21" s="456" t="n"/>
      <c r="K21" s="5" t="n"/>
      <c r="L21" s="5" t="n"/>
      <c r="M21" s="5" t="n"/>
      <c r="N21" s="456" t="n"/>
      <c r="O21" s="5" t="n"/>
    </row>
    <row r="22">
      <c r="A22" s="2" t="inlineStr">
        <is>
          <t>Jan 15 - Jan 21 2024</t>
        </is>
      </c>
      <c r="B22" s="19" t="n"/>
      <c r="C22" s="16" t="n">
        <v>17827.58</v>
      </c>
      <c r="D22" s="229" t="n"/>
      <c r="E22" s="229" t="n"/>
      <c r="I22" s="5" t="n"/>
      <c r="J22" s="456" t="n"/>
      <c r="K22" s="5" t="n"/>
      <c r="L22" s="5" t="n"/>
      <c r="M22" s="5" t="n"/>
      <c r="N22" s="456" t="n"/>
      <c r="O22" s="5" t="n"/>
    </row>
    <row r="23">
      <c r="A23" s="2" t="inlineStr">
        <is>
          <t>Jan 22 - Jan 28 2025</t>
        </is>
      </c>
      <c r="B23" s="19" t="n"/>
      <c r="C23" s="25" t="n">
        <v>15105.89</v>
      </c>
      <c r="D23" s="231" t="n"/>
      <c r="E23" s="231" t="n"/>
      <c r="I23" s="5" t="n"/>
      <c r="J23" s="456" t="n"/>
      <c r="K23" s="5" t="n"/>
      <c r="L23" s="5" t="n"/>
      <c r="M23" s="5" t="n"/>
      <c r="N23" s="456" t="n"/>
      <c r="O23" s="5" t="n"/>
    </row>
    <row r="24">
      <c r="A24" s="2" t="inlineStr">
        <is>
          <t>Jan 29 - Feb 04 2026</t>
        </is>
      </c>
      <c r="B24" s="1" t="n"/>
      <c r="C24" s="17" t="n">
        <v>15592.57</v>
      </c>
      <c r="D24" s="232" t="n"/>
      <c r="E24" s="232" t="n"/>
      <c r="I24" s="5" t="n"/>
      <c r="J24" s="456" t="n"/>
      <c r="K24" s="5" t="n"/>
      <c r="L24" s="5" t="n"/>
      <c r="M24" s="5" t="n"/>
      <c r="N24" s="456" t="n"/>
      <c r="O24" s="5" t="n"/>
    </row>
    <row r="25">
      <c r="A25" s="2" t="inlineStr">
        <is>
          <t>Feb 05 - Feb 11 2026</t>
        </is>
      </c>
      <c r="B25" s="1" t="n"/>
      <c r="C25" s="25" t="n">
        <v>15907.12</v>
      </c>
      <c r="D25" s="231" t="n"/>
      <c r="E25" s="231" t="n"/>
      <c r="I25" s="5" t="n"/>
      <c r="J25" s="456" t="n"/>
      <c r="K25" s="5" t="n"/>
      <c r="L25" s="5" t="n"/>
      <c r="M25" s="5" t="n"/>
      <c r="N25" s="456" t="n"/>
      <c r="O25" s="5" t="n"/>
    </row>
    <row r="26">
      <c r="A26" s="2" t="inlineStr">
        <is>
          <t>Feb 12 - Feb 18 2024</t>
        </is>
      </c>
      <c r="B26" s="9" t="n"/>
      <c r="C26" s="25" t="n">
        <v>15923.94</v>
      </c>
      <c r="D26" s="231" t="n"/>
      <c r="E26" s="231" t="n"/>
      <c r="I26" s="5" t="n"/>
      <c r="J26" s="456" t="n"/>
      <c r="K26" s="5" t="n"/>
      <c r="L26" s="5" t="n"/>
      <c r="M26" s="5" t="n"/>
      <c r="N26" s="456" t="n"/>
      <c r="O26" s="5" t="n"/>
    </row>
    <row r="27">
      <c r="A27" s="2" t="inlineStr">
        <is>
          <t>Feb 19 - Feb 25 2024</t>
        </is>
      </c>
      <c r="B27" s="19" t="n"/>
      <c r="C27" s="17" t="n">
        <v>17147.16</v>
      </c>
      <c r="D27" s="232" t="n"/>
      <c r="E27" s="232" t="n"/>
      <c r="I27" s="5" t="n"/>
      <c r="J27" s="456" t="n"/>
      <c r="K27" s="5" t="n"/>
      <c r="L27" s="5" t="n"/>
      <c r="M27" s="5" t="n"/>
      <c r="N27" s="456" t="n"/>
      <c r="O27" s="5" t="n"/>
    </row>
    <row r="28">
      <c r="A28" s="45" t="inlineStr">
        <is>
          <t>Feb 26 - Mar 03, 2024</t>
        </is>
      </c>
      <c r="B28" s="19" t="n"/>
      <c r="C28" s="17" t="n">
        <v>14994.2</v>
      </c>
      <c r="D28" s="232" t="n"/>
      <c r="E28" s="232" t="n"/>
      <c r="I28" s="5" t="n"/>
      <c r="J28" s="456" t="n"/>
      <c r="K28" s="5" t="n"/>
      <c r="L28" s="5" t="n"/>
      <c r="M28" s="5" t="n"/>
      <c r="N28" s="456" t="n"/>
      <c r="O28" s="5" t="n"/>
    </row>
    <row r="29">
      <c r="A29" s="45" t="inlineStr">
        <is>
          <t>Mar 04 - Mar 10, 2024</t>
        </is>
      </c>
      <c r="B29" s="19" t="n"/>
      <c r="C29" s="17" t="n">
        <v>16291.42</v>
      </c>
      <c r="D29" s="232" t="n"/>
      <c r="E29" s="232" t="n"/>
      <c r="I29" s="5" t="n"/>
      <c r="J29" s="456" t="n"/>
      <c r="K29" s="5" t="n"/>
      <c r="L29" s="5" t="n"/>
      <c r="M29" s="5" t="n"/>
      <c r="N29" s="456" t="n"/>
      <c r="O29" s="5" t="n"/>
    </row>
    <row r="30">
      <c r="A30" s="45" t="inlineStr">
        <is>
          <t>Mar 11 - Mar 17, 2024</t>
        </is>
      </c>
      <c r="B30" s="19" t="n"/>
      <c r="C30" s="17" t="n">
        <v>12530.45</v>
      </c>
      <c r="D30" s="232" t="n"/>
      <c r="E30" s="232" t="n"/>
      <c r="I30" s="5" t="n"/>
      <c r="J30" s="456" t="n"/>
      <c r="K30" s="5" t="n"/>
      <c r="L30" s="5" t="n"/>
      <c r="M30" s="5" t="n"/>
      <c r="N30" s="456" t="n"/>
      <c r="O30" s="5" t="n"/>
    </row>
    <row r="31">
      <c r="A31" s="45" t="inlineStr">
        <is>
          <t>Mar 18 - Mar 25, 2024</t>
        </is>
      </c>
      <c r="B31" s="19" t="n"/>
      <c r="C31" s="28" t="n">
        <v>14591.22</v>
      </c>
      <c r="D31" s="232" t="n"/>
      <c r="E31" s="232" t="n"/>
      <c r="I31" s="5" t="n"/>
      <c r="J31" s="456" t="n"/>
      <c r="K31" s="5" t="n"/>
      <c r="L31" s="5" t="n"/>
      <c r="M31" s="5" t="n"/>
      <c r="N31" s="456" t="n"/>
      <c r="O31" s="5" t="n"/>
    </row>
    <row r="32">
      <c r="A32" s="45" t="inlineStr">
        <is>
          <t>Mar 25 - Mar 31, 2024</t>
        </is>
      </c>
      <c r="B32" s="48" t="n"/>
      <c r="C32" s="17" t="n">
        <v>16213.1</v>
      </c>
      <c r="D32" s="232" t="n"/>
      <c r="E32" s="232" t="n"/>
      <c r="I32" s="5" t="n"/>
      <c r="J32" s="456" t="n"/>
      <c r="K32" s="5" t="n"/>
      <c r="L32" s="5" t="n"/>
      <c r="M32" s="5" t="n"/>
      <c r="N32" s="456" t="n"/>
      <c r="O32" s="5" t="n"/>
    </row>
    <row r="33">
      <c r="A33" s="2" t="inlineStr">
        <is>
          <t>Apr 1 - Apr 07 2024</t>
        </is>
      </c>
      <c r="B33" s="48" t="n"/>
      <c r="C33" s="17" t="n">
        <v>16391.15</v>
      </c>
      <c r="D33" s="232" t="n"/>
      <c r="E33" s="232" t="n"/>
      <c r="I33" s="5" t="n"/>
      <c r="J33" s="456" t="n"/>
      <c r="K33" s="5" t="n"/>
      <c r="L33" s="5" t="n"/>
      <c r="M33" s="5" t="n"/>
      <c r="N33" s="456" t="n"/>
      <c r="O33" s="5" t="n"/>
    </row>
    <row r="34">
      <c r="A34" s="27" t="inlineStr">
        <is>
          <t>Apr 8 - Apr 14 2024</t>
        </is>
      </c>
      <c r="B34" s="50" t="n"/>
      <c r="C34" s="28" t="inlineStr">
        <is>
          <t xml:space="preserve">21,423.57	</t>
        </is>
      </c>
      <c r="D34" s="232" t="n"/>
      <c r="E34" s="232" t="n"/>
      <c r="I34" s="5" t="n"/>
      <c r="J34" s="456" t="n"/>
      <c r="K34" s="5" t="n"/>
      <c r="L34" s="5" t="n"/>
      <c r="M34" s="5" t="n"/>
      <c r="N34" s="456" t="n"/>
      <c r="O34" s="5" t="n"/>
    </row>
    <row r="35">
      <c r="A35" s="27" t="inlineStr">
        <is>
          <t>Apr 15 - Apr 21 2024</t>
        </is>
      </c>
      <c r="B35" s="52" t="n"/>
      <c r="C35" s="28" t="n">
        <v>16814.71</v>
      </c>
      <c r="D35" s="232" t="n"/>
      <c r="E35" s="232" t="n"/>
      <c r="I35" s="5" t="n"/>
      <c r="J35" s="456" t="n"/>
      <c r="K35" s="5" t="n"/>
      <c r="L35" s="5" t="n"/>
      <c r="M35" s="5" t="n"/>
      <c r="N35" s="456" t="n"/>
      <c r="O35" s="5" t="n"/>
    </row>
    <row r="36">
      <c r="A36" s="2" t="inlineStr">
        <is>
          <t>Apr 22 - Apr 28 2024</t>
        </is>
      </c>
      <c r="B36" s="19" t="n"/>
      <c r="C36" s="17" t="n">
        <v>14692.87</v>
      </c>
      <c r="D36" s="232" t="n"/>
      <c r="E36" s="232" t="n"/>
      <c r="I36" s="5" t="n"/>
      <c r="J36" s="456" t="n"/>
      <c r="K36" s="5" t="n"/>
      <c r="L36" s="5" t="n"/>
      <c r="M36" s="5" t="n"/>
      <c r="N36" s="456" t="n"/>
      <c r="O36" s="5" t="n"/>
    </row>
    <row r="37">
      <c r="A37" s="2" t="inlineStr">
        <is>
          <t>Apr 29 - May 5 2024</t>
        </is>
      </c>
      <c r="B37" s="19" t="n"/>
      <c r="C37" s="17" t="n">
        <v>16252.68</v>
      </c>
      <c r="D37" s="232" t="n"/>
      <c r="E37" s="232" t="n"/>
      <c r="I37" s="5" t="n"/>
      <c r="J37" s="456" t="n"/>
      <c r="K37" s="5" t="n"/>
      <c r="L37" s="5" t="n"/>
      <c r="M37" s="5" t="n"/>
      <c r="N37" s="456" t="n"/>
      <c r="O37" s="5" t="n"/>
    </row>
    <row r="38">
      <c r="A38" s="2" t="inlineStr">
        <is>
          <t>May 6 - May 12 2024</t>
        </is>
      </c>
      <c r="B38" s="9" t="n"/>
      <c r="C38" s="17" t="n">
        <v>14728.67</v>
      </c>
      <c r="D38" s="232" t="n"/>
      <c r="E38" s="232" t="n"/>
      <c r="I38" s="5" t="n"/>
      <c r="J38" s="456" t="n"/>
      <c r="K38" s="5" t="n"/>
      <c r="L38" s="5" t="n"/>
      <c r="M38" s="5" t="n"/>
      <c r="N38" s="456" t="n"/>
      <c r="O38" s="5" t="n"/>
    </row>
    <row r="39">
      <c r="A39" s="27" t="inlineStr">
        <is>
          <t>May 13 - May 19 2024</t>
        </is>
      </c>
      <c r="B39" s="52" t="n"/>
      <c r="C39" s="28" t="n">
        <v>16675.46</v>
      </c>
      <c r="D39" s="232" t="n"/>
      <c r="E39" s="232" t="n"/>
      <c r="I39" s="5" t="n"/>
      <c r="J39" s="456" t="n"/>
      <c r="K39" s="5" t="n"/>
      <c r="L39" s="5" t="n"/>
      <c r="M39" s="5" t="n"/>
      <c r="N39" s="456" t="n"/>
      <c r="O39" s="5" t="n"/>
    </row>
    <row r="40">
      <c r="A40" s="27" t="inlineStr">
        <is>
          <t>May 20 - May 26 2024</t>
        </is>
      </c>
      <c r="B40" s="52" t="n"/>
      <c r="C40" s="28" t="n">
        <v>15420.47</v>
      </c>
      <c r="D40" s="232" t="n"/>
      <c r="E40" s="232" t="n"/>
      <c r="I40" s="5" t="n"/>
      <c r="J40" s="456" t="n"/>
      <c r="K40" s="5" t="n"/>
      <c r="L40" s="5" t="n"/>
      <c r="M40" s="5" t="n"/>
      <c r="N40" s="456" t="n"/>
      <c r="O40" s="5" t="n"/>
    </row>
    <row r="41">
      <c r="A41" s="27" t="inlineStr">
        <is>
          <t>May 27 - Jun 02 2024</t>
        </is>
      </c>
      <c r="B41" s="52" t="n"/>
      <c r="C41" s="28" t="n">
        <v>15964.98</v>
      </c>
      <c r="D41" s="232" t="n"/>
      <c r="E41" s="232" t="n"/>
      <c r="I41" s="5" t="n"/>
      <c r="J41" s="456" t="n"/>
      <c r="K41" s="5" t="n"/>
      <c r="L41" s="5" t="n"/>
      <c r="M41" s="5" t="n"/>
      <c r="N41" s="456" t="n"/>
      <c r="O41" s="5" t="n"/>
    </row>
    <row r="42">
      <c r="A42" s="2" t="inlineStr">
        <is>
          <t>Jun 03 - Jun 09 2024</t>
        </is>
      </c>
      <c r="B42" s="1" t="n"/>
      <c r="C42" s="17" t="n">
        <v>16516.16</v>
      </c>
      <c r="D42" s="232" t="n"/>
      <c r="E42" s="232" t="n"/>
    </row>
    <row r="43">
      <c r="A43" s="2" t="inlineStr">
        <is>
          <t>Jun 10 - Jun 16 2024</t>
        </is>
      </c>
      <c r="B43" s="1" t="n"/>
      <c r="C43" s="17" t="n">
        <v>17167.97</v>
      </c>
      <c r="D43" s="232" t="n"/>
      <c r="E43" s="232" t="n"/>
    </row>
    <row r="44">
      <c r="A44" s="27" t="inlineStr">
        <is>
          <t>Jun 17 - Jun 23 2024</t>
        </is>
      </c>
      <c r="B44" s="29" t="n"/>
      <c r="C44" s="28" t="n">
        <v>17725.56</v>
      </c>
      <c r="D44" s="232" t="n"/>
      <c r="E44" s="232" t="n"/>
    </row>
    <row r="45">
      <c r="A45" s="27" t="inlineStr">
        <is>
          <t>Jun 24 - Jun 30 2024</t>
        </is>
      </c>
      <c r="B45" s="52" t="n"/>
      <c r="C45" s="28" t="n">
        <v>19207.7</v>
      </c>
      <c r="D45" s="232" t="n"/>
      <c r="E45" s="232" t="n"/>
      <c r="I45" s="5" t="n"/>
      <c r="J45" s="456" t="n"/>
      <c r="K45" s="5" t="n"/>
      <c r="L45" s="5" t="n"/>
      <c r="M45" s="5" t="n"/>
      <c r="N45" s="456" t="n"/>
      <c r="O45" s="5" t="n"/>
    </row>
    <row r="46">
      <c r="A46" s="2" t="inlineStr">
        <is>
          <t>Jul 1 - Jul 7 2024</t>
        </is>
      </c>
      <c r="B46" s="19" t="n"/>
      <c r="C46" s="17" t="n">
        <v>18274.48</v>
      </c>
      <c r="D46" s="232" t="n"/>
      <c r="E46" s="232" t="n"/>
      <c r="I46" s="5" t="n"/>
      <c r="J46" s="456" t="n"/>
      <c r="K46" s="5" t="n"/>
      <c r="L46" s="5" t="n"/>
      <c r="M46" s="5" t="n"/>
      <c r="N46" s="456" t="n"/>
      <c r="O46" s="5" t="n"/>
    </row>
    <row r="47">
      <c r="A47" s="27" t="inlineStr">
        <is>
          <t>Jul 8 - Jul 14 2024</t>
        </is>
      </c>
      <c r="B47" s="29" t="n"/>
      <c r="C47" s="28" t="n">
        <v>15121.44</v>
      </c>
      <c r="D47" s="232" t="n"/>
      <c r="E47" s="232" t="n"/>
      <c r="I47" s="5" t="n"/>
      <c r="J47" s="456" t="n"/>
      <c r="K47" s="5" t="n"/>
      <c r="L47" s="5" t="n"/>
      <c r="M47" s="5" t="n"/>
      <c r="N47" s="456" t="n"/>
      <c r="O47" s="5" t="n"/>
    </row>
    <row r="48">
      <c r="A48" s="27" t="inlineStr">
        <is>
          <t>Jul 15 - Jul 21 2024</t>
        </is>
      </c>
      <c r="B48" s="52" t="n"/>
      <c r="C48" s="28" t="n">
        <v>17213.23</v>
      </c>
      <c r="D48" s="232" t="n"/>
      <c r="E48" s="232" t="n"/>
      <c r="I48" s="5" t="n"/>
      <c r="J48" s="456" t="n"/>
      <c r="K48" s="5" t="n"/>
      <c r="L48" s="5" t="n"/>
      <c r="M48" s="5" t="n"/>
      <c r="N48" s="456" t="n"/>
      <c r="O48" s="5" t="n"/>
    </row>
    <row r="49">
      <c r="A49" s="27" t="inlineStr">
        <is>
          <t>Jul 22 - Jul 28 2024</t>
        </is>
      </c>
      <c r="B49" s="52" t="n"/>
      <c r="C49" s="28" t="n">
        <v>16555.99</v>
      </c>
      <c r="D49" s="232" t="n"/>
      <c r="E49" s="232" t="n"/>
      <c r="I49" s="5" t="n"/>
      <c r="J49" s="456" t="n"/>
      <c r="K49" s="5" t="n"/>
      <c r="L49" s="5" t="n"/>
      <c r="M49" s="5" t="n"/>
      <c r="N49" s="456" t="n"/>
      <c r="O49" s="5" t="n"/>
    </row>
    <row r="50">
      <c r="A50" s="27" t="inlineStr">
        <is>
          <t>Jul 29 - Aug 04 2024</t>
        </is>
      </c>
      <c r="B50" s="52" t="n"/>
      <c r="C50" s="28" t="n">
        <v>17876.72</v>
      </c>
      <c r="D50" s="232" t="n"/>
      <c r="E50" s="232" t="n"/>
      <c r="I50" s="5" t="n"/>
      <c r="J50" s="456" t="n"/>
      <c r="K50" s="5" t="n"/>
      <c r="L50" s="5" t="n"/>
      <c r="M50" s="5" t="n"/>
      <c r="N50" s="456" t="n"/>
      <c r="O50" s="5" t="n"/>
    </row>
    <row r="51">
      <c r="A51" s="27" t="inlineStr">
        <is>
          <t>Aug 05 - Aug 11 2024</t>
        </is>
      </c>
      <c r="B51" s="52" t="n"/>
      <c r="C51" s="28" t="n">
        <v>17313.24</v>
      </c>
      <c r="D51" s="232" t="n"/>
      <c r="E51" s="232" t="n"/>
      <c r="I51" s="5" t="n"/>
      <c r="J51" s="456" t="n"/>
      <c r="K51" s="5" t="n"/>
      <c r="L51" s="5" t="n"/>
      <c r="M51" s="5" t="n"/>
      <c r="N51" s="456" t="n"/>
      <c r="O51" s="5" t="n"/>
    </row>
    <row r="52">
      <c r="A52" s="2" t="inlineStr">
        <is>
          <t>Aug 12 - Aug 18 2024</t>
        </is>
      </c>
      <c r="B52" s="118" t="n"/>
      <c r="C52" s="119" t="n">
        <v>17470.75</v>
      </c>
      <c r="D52" s="233" t="n"/>
      <c r="E52" s="233" t="n"/>
    </row>
    <row r="53">
      <c r="A53" s="2" t="inlineStr">
        <is>
          <t>Aug 19 - Aug 25 2024</t>
        </is>
      </c>
      <c r="B53" s="118" t="n"/>
      <c r="C53" s="119" t="n">
        <v>15272.82</v>
      </c>
      <c r="D53" s="233" t="n"/>
      <c r="E53" s="233" t="n"/>
    </row>
    <row r="54">
      <c r="A54" s="2" t="inlineStr">
        <is>
          <t>Aug 26 - Sep 01 2024</t>
        </is>
      </c>
      <c r="B54" s="118" t="n"/>
      <c r="C54" s="119" t="n">
        <v>16538.69</v>
      </c>
      <c r="D54" s="233" t="n"/>
      <c r="E54" s="233" t="n"/>
    </row>
    <row r="55">
      <c r="A55" s="2" t="inlineStr">
        <is>
          <t>Sep 02 - Sep 08 2024</t>
        </is>
      </c>
      <c r="B55" s="118" t="n"/>
      <c r="C55" s="119" t="n">
        <v>15876.83</v>
      </c>
      <c r="D55" s="233" t="n"/>
      <c r="E55" s="233" t="n"/>
    </row>
    <row r="56">
      <c r="A56" s="2" t="inlineStr">
        <is>
          <t>Sep 09 - Sep 15 2024</t>
        </is>
      </c>
      <c r="B56" s="118" t="n"/>
      <c r="C56" s="119" t="n">
        <v>15365.8</v>
      </c>
      <c r="D56" s="233" t="n"/>
      <c r="E56" s="233" t="n"/>
    </row>
    <row r="57">
      <c r="A57" s="2" t="inlineStr">
        <is>
          <t>Sep 16 - Sep 22 2024</t>
        </is>
      </c>
      <c r="B57" s="118" t="n"/>
      <c r="C57" s="119" t="n">
        <v>15923.78</v>
      </c>
      <c r="D57" s="233" t="n"/>
      <c r="E57" s="233" t="n"/>
    </row>
    <row r="58">
      <c r="A58" s="2" t="inlineStr">
        <is>
          <t>Sep 23 - Sep 29 2024</t>
        </is>
      </c>
      <c r="B58" s="118" t="n"/>
      <c r="C58" s="119" t="n">
        <v>16340.08</v>
      </c>
      <c r="D58" s="233" t="n"/>
      <c r="E58" s="233" t="n"/>
    </row>
    <row r="59">
      <c r="A59" s="2" t="inlineStr">
        <is>
          <t>Sep 30 - Oct 06 2024</t>
        </is>
      </c>
      <c r="B59" s="118" t="n"/>
      <c r="C59" s="119" t="n">
        <v>15675.29</v>
      </c>
      <c r="D59" s="233" t="n"/>
      <c r="E59" s="233" t="n"/>
    </row>
    <row r="60">
      <c r="A60" s="2" t="inlineStr">
        <is>
          <t>Oct 07 - Oct 13 2024</t>
        </is>
      </c>
      <c r="B60" s="118" t="n"/>
      <c r="C60" s="119" t="n">
        <v>15568.1</v>
      </c>
      <c r="D60" s="233" t="n"/>
      <c r="E60" s="233" t="n"/>
    </row>
    <row r="61">
      <c r="A61" s="2" t="inlineStr">
        <is>
          <t>Oct 14 - Oct 20 2024</t>
        </is>
      </c>
      <c r="B61" s="118" t="n"/>
      <c r="C61" s="119" t="n">
        <v>17250.19</v>
      </c>
      <c r="D61" s="233" t="n"/>
      <c r="E61" s="233" t="n"/>
    </row>
    <row r="62">
      <c r="A62" s="2" t="inlineStr">
        <is>
          <t>Oct 21 - Oct 27 2024</t>
        </is>
      </c>
      <c r="B62" s="118" t="n"/>
      <c r="C62" s="119" t="n">
        <v>14175.99</v>
      </c>
      <c r="D62" s="233" t="n"/>
      <c r="E62" s="233" t="n"/>
    </row>
    <row r="63">
      <c r="A63" s="2" t="inlineStr">
        <is>
          <t>Oct 28 - Nov 03 2024</t>
        </is>
      </c>
      <c r="B63" s="118" t="n"/>
      <c r="C63" s="119" t="n">
        <v>15709.1</v>
      </c>
      <c r="D63" s="233" t="n"/>
      <c r="E63" s="233" t="n"/>
    </row>
    <row r="64">
      <c r="A64" s="2" t="inlineStr">
        <is>
          <t>Nov 4 - Nov 10 2024</t>
        </is>
      </c>
      <c r="B64" s="118" t="n"/>
      <c r="C64" s="119" t="n">
        <v>15474.42</v>
      </c>
      <c r="D64" s="233" t="n"/>
      <c r="E64" s="233" t="n"/>
    </row>
    <row r="65" ht="15" customHeight="1" thickBot="1">
      <c r="A65" s="2" t="inlineStr">
        <is>
          <t>Nov 11 - Nov 17 2024</t>
        </is>
      </c>
      <c r="B65" s="118" t="n"/>
      <c r="C65" s="389">
        <f>SUM(13899.62+1,994.45)</f>
        <v/>
      </c>
      <c r="D65" s="457" t="n"/>
      <c r="E65" s="457" t="n"/>
    </row>
    <row r="66" ht="18" customHeight="1" thickBot="1">
      <c r="A66" s="2" t="inlineStr">
        <is>
          <t>Nov 18 - Nov 24 2024</t>
        </is>
      </c>
      <c r="B66" s="118" t="n"/>
      <c r="C66" s="389" t="n">
        <v>16341.37</v>
      </c>
      <c r="D66" s="457" t="n"/>
      <c r="E66" s="457" t="n"/>
      <c r="G66" s="121" t="n"/>
      <c r="H66" s="134" t="n"/>
      <c r="I66" s="458" t="n"/>
    </row>
    <row r="67" ht="18" customHeight="1" thickBot="1">
      <c r="A67" s="2" t="inlineStr">
        <is>
          <t>Nov 25 - Dec 01 2024</t>
        </is>
      </c>
      <c r="B67" s="118" t="n"/>
      <c r="C67" s="389" t="n">
        <v>16532.36</v>
      </c>
      <c r="D67" s="457" t="n"/>
      <c r="E67" s="457" t="n"/>
      <c r="G67" s="126" t="n"/>
      <c r="H67" s="133" t="n"/>
      <c r="I67" s="459" t="n"/>
    </row>
    <row r="68" ht="18" customHeight="1" thickBot="1">
      <c r="A68" s="2" t="inlineStr">
        <is>
          <t>Dec 02 - Dec 08 2024</t>
        </is>
      </c>
      <c r="B68" s="118" t="n"/>
      <c r="C68" s="389" t="n">
        <v>15030.78</v>
      </c>
      <c r="D68" s="457" t="n"/>
      <c r="E68" s="457" t="n"/>
      <c r="G68" s="129" t="n"/>
      <c r="H68" s="133" t="n"/>
      <c r="I68" s="459" t="n"/>
    </row>
    <row r="69">
      <c r="A69" s="2" t="inlineStr">
        <is>
          <t>Dec 09 - Dec 15 2024</t>
        </is>
      </c>
      <c r="B69" s="118" t="n"/>
      <c r="C69" s="389" t="n">
        <v>16764.57</v>
      </c>
      <c r="D69" s="457" t="n"/>
      <c r="E69" s="457" t="n"/>
      <c r="I69" s="460" t="n"/>
    </row>
    <row r="70">
      <c r="A70" s="2" t="inlineStr">
        <is>
          <t>Dec 16 - Dec 22 2024</t>
        </is>
      </c>
      <c r="B70" s="118" t="n"/>
      <c r="C70" s="389" t="n">
        <v>16721.17</v>
      </c>
      <c r="D70" s="457" t="n"/>
      <c r="E70" s="457" t="n"/>
    </row>
    <row r="71">
      <c r="A71" s="2" t="inlineStr">
        <is>
          <t>Dec 23 - Dec 29 2024</t>
        </is>
      </c>
      <c r="B71" s="118" t="n"/>
      <c r="C71" s="389" t="n">
        <v>21254.87</v>
      </c>
      <c r="D71" s="457" t="n"/>
      <c r="E71" s="457" t="n"/>
    </row>
    <row r="72">
      <c r="A72" s="2" t="inlineStr">
        <is>
          <t>Dec 30 - Jan 05 2025</t>
        </is>
      </c>
      <c r="B72" s="118" t="n"/>
      <c r="C72" s="389" t="n">
        <v>20346.11</v>
      </c>
      <c r="D72" s="457" t="n"/>
      <c r="E72" s="457" t="n"/>
    </row>
    <row r="73">
      <c r="A73" s="2" t="inlineStr">
        <is>
          <t>Jan 06 - Jan 12 2025</t>
        </is>
      </c>
      <c r="B73" s="118" t="n"/>
      <c r="C73" s="389" t="n">
        <v>14240.06</v>
      </c>
      <c r="D73" s="457" t="n"/>
      <c r="E73" s="457" t="n"/>
    </row>
    <row r="74">
      <c r="A74" s="2" t="inlineStr">
        <is>
          <t>Jan 13 - Jan 19 2025</t>
        </is>
      </c>
      <c r="B74" s="118" t="n"/>
      <c r="C74" s="391" t="n">
        <v>16283.67</v>
      </c>
      <c r="D74" s="461" t="n"/>
      <c r="E74" s="461" t="n"/>
    </row>
    <row r="75">
      <c r="A75" s="2" t="inlineStr">
        <is>
          <t>Jan 20 - Jan 26 2025</t>
        </is>
      </c>
      <c r="B75" s="118" t="n"/>
      <c r="C75" s="373" t="n">
        <v>14767.44</v>
      </c>
      <c r="D75" s="373" t="inlineStr">
        <is>
          <t>Bill Count</t>
        </is>
      </c>
      <c r="E75" s="462" t="inlineStr">
        <is>
          <t>TB Total</t>
        </is>
      </c>
      <c r="F75" s="364" t="inlineStr">
        <is>
          <t>In Store</t>
        </is>
      </c>
      <c r="G75" s="364" t="inlineStr">
        <is>
          <t>Skip</t>
        </is>
      </c>
      <c r="H75" s="364" t="inlineStr">
        <is>
          <t>DD</t>
        </is>
      </c>
      <c r="I75" s="364" t="inlineStr">
        <is>
          <t>Uber TB</t>
        </is>
      </c>
      <c r="J75" s="364" t="inlineStr">
        <is>
          <t>PK Uber Rev</t>
        </is>
      </c>
      <c r="K75" s="364" t="inlineStr">
        <is>
          <t>PK Uber Disc</t>
        </is>
      </c>
      <c r="L75" s="364" t="inlineStr">
        <is>
          <t>Chick Uber Rev</t>
        </is>
      </c>
      <c r="M75" s="364" t="inlineStr">
        <is>
          <t>Chick Uber Disc</t>
        </is>
      </c>
      <c r="N75" s="364" t="inlineStr">
        <is>
          <t>Uber (After Discount)</t>
        </is>
      </c>
      <c r="O75" s="364" t="inlineStr">
        <is>
          <t>Total Revenue</t>
        </is>
      </c>
    </row>
    <row r="76">
      <c r="A76" s="2" t="inlineStr">
        <is>
          <t>Jan 27 - Feb 02 2025</t>
        </is>
      </c>
      <c r="B76" s="118" t="n"/>
      <c r="C76" s="391" t="n">
        <v>14748.59</v>
      </c>
      <c r="D76" s="391" t="n"/>
      <c r="E76" s="391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</row>
    <row r="77">
      <c r="A77" s="27" t="inlineStr">
        <is>
          <t>Feb 03 - Feb 09 2025</t>
        </is>
      </c>
      <c r="B77" s="174" t="n"/>
      <c r="C77" s="463" t="n">
        <v>15602.64</v>
      </c>
      <c r="D77" s="463" t="n"/>
      <c r="E77" s="463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</row>
    <row r="78">
      <c r="A78" s="27" t="inlineStr">
        <is>
          <t>Feb 10 - Feb 16 2025</t>
        </is>
      </c>
      <c r="B78" s="174" t="n"/>
      <c r="C78" s="463" t="n">
        <v>15478.89</v>
      </c>
      <c r="D78" s="463" t="n"/>
      <c r="E78" s="463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</row>
    <row r="79" ht="13.95" customFormat="1" customHeight="1" s="115">
      <c r="A79" s="2" t="inlineStr">
        <is>
          <t>Feb 17 - Feb 23 2025</t>
        </is>
      </c>
      <c r="B79" s="118" t="n"/>
      <c r="C79" s="391" t="n">
        <v>14771.2</v>
      </c>
      <c r="D79" s="391" t="n"/>
      <c r="E79" s="391" t="n"/>
      <c r="F79" s="56" t="n"/>
      <c r="G79" s="56" t="n"/>
      <c r="H79" s="56" t="n"/>
      <c r="I79" s="56" t="n"/>
      <c r="J79" s="56" t="n"/>
      <c r="K79" s="56" t="n"/>
      <c r="L79" s="56" t="n"/>
      <c r="M79" s="56" t="n"/>
      <c r="N79" s="56" t="n"/>
      <c r="O79" s="56" t="n"/>
    </row>
    <row r="80" ht="13.95" customFormat="1" customHeight="1" s="56">
      <c r="A80" s="418" t="inlineStr">
        <is>
          <t>Feb 24 - Mar 02 2025</t>
        </is>
      </c>
      <c r="B80" s="394" t="n"/>
      <c r="C80" s="394" t="n">
        <v>15040.69</v>
      </c>
      <c r="D80" s="394" t="n"/>
      <c r="E80" s="394" t="n"/>
      <c r="F80" s="382" t="n">
        <v>8797.309999999999</v>
      </c>
      <c r="G80" s="382" t="n">
        <v>0</v>
      </c>
      <c r="H80" s="394" t="n">
        <v>592.9400000000001</v>
      </c>
      <c r="I80" s="394" t="n">
        <v>6194.86</v>
      </c>
      <c r="J80" s="445" t="n">
        <v>6504.26</v>
      </c>
      <c r="K80" s="445" t="n">
        <v>853.8200000000001</v>
      </c>
      <c r="L80" s="445" t="n"/>
      <c r="M80" s="445" t="n"/>
      <c r="N80" s="382">
        <f>(J80-K80)</f>
        <v/>
      </c>
      <c r="O80" s="382">
        <f>SUM(F80,G80,H80,N80)</f>
        <v/>
      </c>
      <c r="P80" s="185" t="n"/>
    </row>
    <row r="81" ht="13.95" customFormat="1" customHeight="1" s="56">
      <c r="A81" s="418" t="inlineStr">
        <is>
          <t>Mar 03 - Mar 09 2025</t>
        </is>
      </c>
      <c r="B81" s="394" t="n"/>
      <c r="C81" s="394" t="n">
        <v>14005.79</v>
      </c>
      <c r="D81" s="394" t="n"/>
      <c r="E81" s="394" t="n"/>
      <c r="F81" s="394" t="n">
        <v>8498.440000000001</v>
      </c>
      <c r="G81" s="394" t="n">
        <v>18</v>
      </c>
      <c r="H81" s="394" t="n">
        <v>618.26</v>
      </c>
      <c r="I81" s="394" t="n">
        <v>5654.05</v>
      </c>
      <c r="J81" s="444" t="n">
        <v>5545.45</v>
      </c>
      <c r="K81" s="444" t="n">
        <v>674.36</v>
      </c>
      <c r="L81" s="444" t="n"/>
      <c r="M81" s="444" t="n"/>
      <c r="N81" s="382">
        <f>(J81-K81)</f>
        <v/>
      </c>
      <c r="O81" s="382">
        <f>SUM(F81,G81,H81,N81)</f>
        <v/>
      </c>
      <c r="P81" s="185" t="n"/>
    </row>
    <row r="82" ht="13.95" customFormat="1" customHeight="1" s="115">
      <c r="A82" s="418" t="inlineStr">
        <is>
          <t>Mar 10 - Mar 16 2025</t>
        </is>
      </c>
      <c r="B82" s="394" t="n"/>
      <c r="C82" s="394" t="n">
        <v>17960.77</v>
      </c>
      <c r="D82" s="394" t="n"/>
      <c r="E82" s="394" t="n"/>
      <c r="F82" s="382" t="n">
        <v>11737.05</v>
      </c>
      <c r="G82" s="394" t="n">
        <v>18</v>
      </c>
      <c r="H82" s="394" t="n">
        <v>836.45</v>
      </c>
      <c r="I82" s="394" t="n">
        <v>6107.47</v>
      </c>
      <c r="J82" s="445" t="n">
        <v>6192.2</v>
      </c>
      <c r="K82" s="444" t="n">
        <v>822.9299999999999</v>
      </c>
      <c r="L82" s="444" t="n"/>
      <c r="M82" s="444" t="n"/>
      <c r="N82" s="382">
        <f>(J82-K82)</f>
        <v/>
      </c>
      <c r="O82" s="382">
        <f>SUM(F82,G82,H82,N82)</f>
        <v/>
      </c>
      <c r="P82" s="186" t="n"/>
    </row>
    <row r="83" ht="13.95" customFormat="1" customHeight="1" s="115">
      <c r="A83" s="418" t="inlineStr">
        <is>
          <t>Mar 17 - Mar 23 2025</t>
        </is>
      </c>
      <c r="B83" s="394" t="n"/>
      <c r="C83" s="394" t="n">
        <v>16952.08</v>
      </c>
      <c r="D83" s="394" t="n"/>
      <c r="E83" s="394" t="n"/>
      <c r="F83" s="394" t="n">
        <v>10632.6</v>
      </c>
      <c r="G83" s="382" t="n">
        <v>0</v>
      </c>
      <c r="H83" s="394" t="n">
        <v>752.41</v>
      </c>
      <c r="I83" s="394" t="n">
        <v>6265.03</v>
      </c>
      <c r="J83" s="445" t="n">
        <v>6315.3</v>
      </c>
      <c r="K83" s="446" t="n">
        <v>748.23</v>
      </c>
      <c r="L83" s="446" t="n"/>
      <c r="M83" s="446" t="n"/>
      <c r="N83" s="382">
        <f>(J83-K83)</f>
        <v/>
      </c>
      <c r="O83" s="382">
        <f>SUM(F83,G83,H83,N83)</f>
        <v/>
      </c>
      <c r="P83" s="186" t="n"/>
    </row>
    <row r="84" ht="13.95" customFormat="1" customHeight="1" s="115">
      <c r="A84" s="382" t="inlineStr">
        <is>
          <t>Mar 24 - Mar 30 2025</t>
        </is>
      </c>
      <c r="B84" s="394" t="n"/>
      <c r="C84" s="394" t="n">
        <v>22509.7</v>
      </c>
      <c r="D84" s="394" t="n"/>
      <c r="E84" s="394" t="n"/>
      <c r="F84" s="394" t="n">
        <v>13752.97</v>
      </c>
      <c r="G84" s="389" t="n">
        <v>33.6</v>
      </c>
      <c r="H84" s="389" t="n">
        <v>766.22</v>
      </c>
      <c r="I84" s="389" t="n">
        <v>9114.379999999999</v>
      </c>
      <c r="J84" s="390" t="n">
        <v>8843.040000000001</v>
      </c>
      <c r="K84" s="390" t="n">
        <v>886.13</v>
      </c>
      <c r="L84" s="390" t="n"/>
      <c r="M84" s="390" t="n"/>
      <c r="N84" s="382">
        <f>(J84-K84)</f>
        <v/>
      </c>
      <c r="O84" s="382">
        <f>SUM(F84,G84,H84,N84)</f>
        <v/>
      </c>
      <c r="P84" s="186" t="n"/>
    </row>
    <row r="85" ht="13.95" customFormat="1" customHeight="1" s="115">
      <c r="A85" s="382" t="inlineStr">
        <is>
          <t>Mar 31 - Apr 6 2025</t>
        </is>
      </c>
      <c r="B85" s="394" t="n"/>
      <c r="C85" s="394" t="n">
        <v>18697.92</v>
      </c>
      <c r="D85" s="394" t="n"/>
      <c r="E85" s="394" t="n"/>
      <c r="F85" s="389" t="n">
        <v>11613.99</v>
      </c>
      <c r="G85" s="389" t="n">
        <v>16.8</v>
      </c>
      <c r="H85" s="389" t="n">
        <v>618.55</v>
      </c>
      <c r="I85" s="389" t="n">
        <v>6317.19</v>
      </c>
      <c r="J85" s="390" t="n">
        <v>6540.64</v>
      </c>
      <c r="K85" s="390" t="n">
        <v>92.06</v>
      </c>
      <c r="L85" s="390" t="n"/>
      <c r="M85" s="390" t="n"/>
      <c r="N85" s="382">
        <f>(J85-K85)</f>
        <v/>
      </c>
      <c r="O85" s="382">
        <f>SUM(F85,G85,H85,N85)</f>
        <v/>
      </c>
      <c r="P85" s="186" t="n"/>
    </row>
    <row r="86" ht="13.95" customFormat="1" customHeight="1" s="115">
      <c r="A86" s="382" t="inlineStr">
        <is>
          <t>Apr 7 - Apr 13 2025</t>
        </is>
      </c>
      <c r="B86" s="394" t="n"/>
      <c r="C86" s="394" t="n">
        <v>18346.93</v>
      </c>
      <c r="D86" s="394" t="n"/>
      <c r="E86" s="394" t="n"/>
      <c r="F86" s="56" t="n">
        <v>11330.03</v>
      </c>
      <c r="G86" s="118" t="n">
        <v>0</v>
      </c>
      <c r="H86" s="389" t="n">
        <v>795.99</v>
      </c>
      <c r="I86" s="389" t="n">
        <v>6615.11</v>
      </c>
      <c r="J86" s="383" t="n">
        <v>6659.11</v>
      </c>
      <c r="K86" s="383" t="n">
        <v>438.2</v>
      </c>
      <c r="L86" s="383" t="n"/>
      <c r="M86" s="383" t="n"/>
      <c r="N86" s="382">
        <f>(J86-K86)</f>
        <v/>
      </c>
      <c r="O86" s="382">
        <f>SUM(F86,G86,H86,N86)</f>
        <v/>
      </c>
      <c r="P86" s="186" t="n"/>
    </row>
    <row r="87" ht="13.95" customFormat="1" customHeight="1" s="115">
      <c r="A87" s="382" t="inlineStr">
        <is>
          <t>Apr 14 - Apr 20 2025</t>
        </is>
      </c>
      <c r="B87" s="394" t="n"/>
      <c r="C87" s="394" t="n">
        <v>22019.12</v>
      </c>
      <c r="D87" s="394" t="n"/>
      <c r="E87" s="394" t="n"/>
      <c r="F87" s="118" t="n">
        <v>15405.08</v>
      </c>
      <c r="G87" s="382" t="n">
        <v>0</v>
      </c>
      <c r="H87" s="389" t="n">
        <v>766.89</v>
      </c>
      <c r="I87" s="389" t="n">
        <v>6185.37</v>
      </c>
      <c r="J87" s="390" t="n">
        <v>6199.77</v>
      </c>
      <c r="K87" s="383" t="n">
        <v>352.62</v>
      </c>
      <c r="L87" s="383" t="n"/>
      <c r="M87" s="383" t="n"/>
      <c r="N87" s="382">
        <f>(J87-K87)</f>
        <v/>
      </c>
      <c r="O87" s="382">
        <f>SUM(F87,G87,H87,N87)</f>
        <v/>
      </c>
      <c r="P87" s="186" t="n"/>
    </row>
    <row r="88" ht="13.95" customFormat="1" customHeight="1" s="115">
      <c r="A88" s="382" t="inlineStr">
        <is>
          <t>Apr 21 - Apr 27 2025</t>
        </is>
      </c>
      <c r="B88" s="394" t="n"/>
      <c r="C88" s="391" t="n">
        <v>19924.78</v>
      </c>
      <c r="D88" s="391" t="n"/>
      <c r="E88" s="391" t="n"/>
      <c r="F88" s="118" t="n">
        <v>13208.43</v>
      </c>
      <c r="G88" s="382" t="n">
        <v>0</v>
      </c>
      <c r="H88" s="389" t="n">
        <v>760.95</v>
      </c>
      <c r="I88" s="389" t="n">
        <v>6037.59</v>
      </c>
      <c r="J88" s="383" t="n">
        <v>6273.42</v>
      </c>
      <c r="K88" s="383" t="n">
        <v>318.02</v>
      </c>
      <c r="L88" s="383" t="n"/>
      <c r="M88" s="383" t="n"/>
      <c r="N88" s="382">
        <f>(J88-K88)</f>
        <v/>
      </c>
      <c r="O88" s="382">
        <f>SUM(F88,G88,H88,N88)</f>
        <v/>
      </c>
      <c r="P88" s="186" t="n"/>
    </row>
    <row r="89" ht="13.95" customFormat="1" customHeight="1" s="115">
      <c r="A89" s="382" t="inlineStr">
        <is>
          <t>Apr 28 - May 04 2025</t>
        </is>
      </c>
      <c r="B89" s="394" t="n"/>
      <c r="C89" s="394" t="n">
        <v>18624.93</v>
      </c>
      <c r="D89" s="394" t="n"/>
      <c r="E89" s="394" t="n"/>
      <c r="F89" s="118" t="n">
        <v>12668.7</v>
      </c>
      <c r="G89" s="382" t="n">
        <v>0</v>
      </c>
      <c r="H89" s="389" t="n">
        <v>761.11</v>
      </c>
      <c r="I89" s="389" t="n">
        <v>5482.23</v>
      </c>
      <c r="J89" s="390" t="n">
        <v>5433.03</v>
      </c>
      <c r="K89" s="383" t="n">
        <v>237.91</v>
      </c>
      <c r="L89" s="383" t="n"/>
      <c r="M89" s="383" t="n"/>
      <c r="N89" s="382">
        <f>(J89-K89)</f>
        <v/>
      </c>
      <c r="O89" s="382">
        <f>SUM(F89,G89,H89,N89)</f>
        <v/>
      </c>
      <c r="P89" s="186" t="n"/>
    </row>
    <row r="90" ht="13.95" customFormat="1" customHeight="1" s="115">
      <c r="A90" s="382" t="inlineStr">
        <is>
          <t>May 05 - May 11 2025</t>
        </is>
      </c>
      <c r="B90" s="394" t="n"/>
      <c r="C90" s="56" t="n">
        <v>19498.52</v>
      </c>
      <c r="D90" s="56" t="n"/>
      <c r="E90" s="391" t="n">
        <v>19737.83</v>
      </c>
      <c r="F90" s="389" t="n">
        <v>12744.63</v>
      </c>
      <c r="G90" s="382" t="n">
        <v>0</v>
      </c>
      <c r="H90" s="389" t="n">
        <v>654.27</v>
      </c>
      <c r="I90" s="389" t="n">
        <v>6338.93</v>
      </c>
      <c r="J90" s="383" t="n">
        <v>6414.53</v>
      </c>
      <c r="K90" s="383" t="n">
        <v>314.91</v>
      </c>
      <c r="L90" s="383" t="n"/>
      <c r="M90" s="383" t="n"/>
      <c r="N90" s="382">
        <f>(J90-K90)</f>
        <v/>
      </c>
      <c r="O90" s="382">
        <f>SUM(F90,G90,H90,N90)</f>
        <v/>
      </c>
      <c r="P90" s="186" t="n"/>
    </row>
    <row r="91" ht="13.95" customFormat="1" customHeight="1" s="115">
      <c r="A91" s="382" t="inlineStr">
        <is>
          <t>May 12 - May 18 2025</t>
        </is>
      </c>
      <c r="B91" s="394" t="n"/>
      <c r="C91" s="394" t="n">
        <v>20394.58</v>
      </c>
      <c r="D91" s="394" t="n"/>
      <c r="E91" s="391" t="n">
        <v>20649.48</v>
      </c>
      <c r="F91" s="389" t="n">
        <v>14025.42</v>
      </c>
      <c r="G91" s="382" t="n">
        <v>0</v>
      </c>
      <c r="H91" s="389" t="n">
        <v>592.17</v>
      </c>
      <c r="I91" s="389" t="n">
        <v>6031.89</v>
      </c>
      <c r="J91" s="390" t="n">
        <v>6045.59</v>
      </c>
      <c r="K91" s="383" t="n">
        <v>268.6</v>
      </c>
      <c r="L91" s="383" t="n">
        <v>0</v>
      </c>
      <c r="M91" s="383" t="n">
        <v>0</v>
      </c>
      <c r="N91" s="382">
        <f>(J91-K91)+(L91-M91)</f>
        <v/>
      </c>
      <c r="O91" s="382">
        <f>SUM(F91,G91,H91,N91)</f>
        <v/>
      </c>
      <c r="P91" s="186" t="n"/>
    </row>
    <row r="92" ht="13.95" customFormat="1" customHeight="1" s="115">
      <c r="A92" s="382" t="inlineStr">
        <is>
          <t>May 19 - May 25 2025</t>
        </is>
      </c>
      <c r="B92" s="394" t="n"/>
      <c r="C92" s="394" t="n">
        <v>20875.25</v>
      </c>
      <c r="D92" s="394" t="n"/>
      <c r="E92" s="391" t="n">
        <v>21289.71</v>
      </c>
      <c r="F92" s="389" t="n">
        <v>14091.25</v>
      </c>
      <c r="G92" s="382" t="n">
        <v>0</v>
      </c>
      <c r="H92" s="389" t="n">
        <v>788.0599999999999</v>
      </c>
      <c r="I92" s="389" t="n">
        <v>6410.4</v>
      </c>
      <c r="J92" s="390" t="n">
        <v>6403.2</v>
      </c>
      <c r="K92" s="383" t="n">
        <v>407.26</v>
      </c>
      <c r="L92" s="383" t="n">
        <v>0</v>
      </c>
      <c r="M92" s="383" t="n">
        <v>0</v>
      </c>
      <c r="N92" s="382">
        <f>(J92-K92)+(L92-M92)</f>
        <v/>
      </c>
      <c r="O92" s="382">
        <f>SUM(F92,G92,H92,N92)</f>
        <v/>
      </c>
      <c r="P92" s="186" t="n"/>
    </row>
    <row r="93" ht="13.95" customFormat="1" customHeight="1" s="115">
      <c r="A93" s="382" t="inlineStr">
        <is>
          <t>May 26 - June 01 2025</t>
        </is>
      </c>
      <c r="B93" s="394" t="n"/>
      <c r="C93" s="394" t="n">
        <v>17203.22</v>
      </c>
      <c r="D93" s="394" t="n"/>
      <c r="E93" s="391" t="n">
        <v>17476.95</v>
      </c>
      <c r="F93" s="389" t="n">
        <v>12195.79</v>
      </c>
      <c r="G93" s="382" t="n">
        <v>0</v>
      </c>
      <c r="H93" s="389" t="n">
        <v>191.68</v>
      </c>
      <c r="I93" s="389" t="n">
        <v>5089.48</v>
      </c>
      <c r="J93" s="383" t="n">
        <v>5056.95</v>
      </c>
      <c r="K93" s="383" t="n">
        <v>241.2</v>
      </c>
      <c r="L93" s="383" t="n">
        <v>0</v>
      </c>
      <c r="M93" s="383" t="n">
        <v>0</v>
      </c>
      <c r="N93" s="382">
        <f>(J93-K93)+(L93-M93)</f>
        <v/>
      </c>
      <c r="O93" s="382">
        <f>SUM(F93,G93,H93,N93)</f>
        <v/>
      </c>
      <c r="P93" s="186" t="n"/>
    </row>
    <row r="94" ht="13.95" customFormat="1" customHeight="1" s="115">
      <c r="A94" s="382" t="inlineStr">
        <is>
          <t>June 02 - June 08 2025</t>
        </is>
      </c>
      <c r="B94" s="394" t="n"/>
      <c r="C94" s="394" t="n">
        <v>20126.24</v>
      </c>
      <c r="D94" s="394" t="n"/>
      <c r="E94" s="391" t="n">
        <v>20551.17</v>
      </c>
      <c r="F94" s="389" t="n">
        <v>14724.33</v>
      </c>
      <c r="G94" s="382" t="n">
        <v>0</v>
      </c>
      <c r="H94" s="118" t="n">
        <v>0</v>
      </c>
      <c r="I94" s="389" t="n">
        <v>5826.84</v>
      </c>
      <c r="J94" s="390" t="n">
        <v>5722.64</v>
      </c>
      <c r="K94" s="383" t="n">
        <v>337.51</v>
      </c>
      <c r="L94" s="390" t="n">
        <v>16.78</v>
      </c>
      <c r="M94" s="383" t="n">
        <v>0</v>
      </c>
      <c r="N94" s="382">
        <f>(J94-K94)+(L94-M94)</f>
        <v/>
      </c>
      <c r="O94" s="382">
        <f>SUM(F94,G94,H94,N94)</f>
        <v/>
      </c>
      <c r="P94" s="186" t="n"/>
    </row>
    <row r="95" ht="13.95" customFormat="1" customHeight="1" s="115">
      <c r="A95" s="382" t="inlineStr">
        <is>
          <t>June 09 - June 15 2025</t>
        </is>
      </c>
      <c r="B95" s="394" t="n"/>
      <c r="C95" s="394" t="n">
        <v>18988.3</v>
      </c>
      <c r="D95" s="394" t="n"/>
      <c r="E95" s="391" t="n">
        <v>19206.44</v>
      </c>
      <c r="F95" s="389" t="n">
        <v>13152.36</v>
      </c>
      <c r="G95" s="382" t="n">
        <v>0</v>
      </c>
      <c r="H95" s="118" t="n">
        <v>0</v>
      </c>
      <c r="I95" s="389" t="n">
        <v>6054.08</v>
      </c>
      <c r="J95" s="390" t="n">
        <v>6194.41</v>
      </c>
      <c r="K95" s="383" t="n">
        <v>358.47</v>
      </c>
      <c r="L95" s="382" t="n">
        <v>0</v>
      </c>
      <c r="M95" s="382" t="n">
        <v>0</v>
      </c>
      <c r="N95" s="382">
        <f>(J95-K95)+(L95-M95)</f>
        <v/>
      </c>
      <c r="O95" s="382">
        <f>SUM(F95,G95,H95,N95)</f>
        <v/>
      </c>
      <c r="P95" s="186" t="n"/>
    </row>
    <row r="96" ht="13.95" customFormat="1" customHeight="1" s="115">
      <c r="A96" s="382" t="inlineStr">
        <is>
          <t>June 16 - June 22 2025</t>
        </is>
      </c>
      <c r="B96" s="394" t="n"/>
      <c r="C96" s="394" t="n">
        <v>19779.16</v>
      </c>
      <c r="D96" s="394" t="n"/>
      <c r="E96" s="391" t="n"/>
      <c r="F96" s="389" t="n">
        <v>13642.9</v>
      </c>
      <c r="G96" s="382" t="n">
        <v>0</v>
      </c>
      <c r="H96" s="118" t="n">
        <v>0</v>
      </c>
      <c r="I96" s="389" t="n">
        <v>6320.19</v>
      </c>
      <c r="J96" s="392" t="n">
        <v>6420.25</v>
      </c>
      <c r="K96" s="393" t="n">
        <v>283.99</v>
      </c>
      <c r="L96" s="382" t="n">
        <v>0</v>
      </c>
      <c r="M96" s="382" t="n">
        <v>0</v>
      </c>
      <c r="N96" s="382">
        <f>(J96-K96)+(L96-M96)</f>
        <v/>
      </c>
      <c r="O96" s="382">
        <f>SUM(F96,G96,H96,N96)</f>
        <v/>
      </c>
      <c r="P96" s="186" t="n"/>
    </row>
    <row r="97" ht="13.95" customFormat="1" customHeight="1" s="115">
      <c r="A97" s="382" t="inlineStr">
        <is>
          <t>June 23 - June 29 2025</t>
        </is>
      </c>
      <c r="B97" s="394" t="n"/>
      <c r="C97" s="394" t="n">
        <v>19888.39</v>
      </c>
      <c r="D97" s="394" t="n"/>
      <c r="E97" s="391" t="n">
        <v>20181.46</v>
      </c>
      <c r="F97" s="389" t="n">
        <v>13603.1</v>
      </c>
      <c r="G97" s="382" t="n">
        <v>0</v>
      </c>
      <c r="H97" s="118" t="n">
        <v>0</v>
      </c>
      <c r="I97" s="389" t="n">
        <v>6578.36</v>
      </c>
      <c r="J97" s="383" t="n">
        <v>6623.24</v>
      </c>
      <c r="K97" s="383" t="n">
        <v>337.95</v>
      </c>
      <c r="L97" s="382" t="n">
        <v>0</v>
      </c>
      <c r="M97" s="382" t="n">
        <v>0</v>
      </c>
      <c r="N97" s="382">
        <f>(J97-K97)+(L97-M97)</f>
        <v/>
      </c>
      <c r="O97" s="382">
        <f>SUM(F97,G97,H97,N97)</f>
        <v/>
      </c>
      <c r="P97" s="186" t="n"/>
    </row>
    <row r="98" ht="13.95" customFormat="1" customHeight="1" s="115">
      <c r="A98" s="382" t="inlineStr">
        <is>
          <t>June 30 - July 06 2025</t>
        </is>
      </c>
      <c r="B98" s="394" t="n"/>
      <c r="C98" s="394" t="n">
        <v>20241.86</v>
      </c>
      <c r="D98" s="394" t="n"/>
      <c r="E98" s="391" t="n">
        <v>20244.38</v>
      </c>
      <c r="F98" s="389" t="n">
        <v>15069.42</v>
      </c>
      <c r="G98" s="382" t="n">
        <v>0</v>
      </c>
      <c r="H98" s="118" t="n">
        <v>0</v>
      </c>
      <c r="I98" s="389" t="n">
        <v>5174.96</v>
      </c>
      <c r="J98" s="390" t="n">
        <v>5205.26</v>
      </c>
      <c r="K98" s="383" t="n">
        <v>32.82</v>
      </c>
      <c r="L98" s="382" t="n">
        <v>0</v>
      </c>
      <c r="M98" s="382" t="n">
        <v>0</v>
      </c>
      <c r="N98" s="382">
        <f>(J98-K98)+(L98-M98)</f>
        <v/>
      </c>
      <c r="O98" s="382">
        <f>SUM(F98,G98,H98,N98)</f>
        <v/>
      </c>
      <c r="P98" s="186" t="n"/>
    </row>
    <row r="99" ht="13.95" customFormat="1" customHeight="1" s="115">
      <c r="A99" s="394" t="inlineStr">
        <is>
          <t>July 07 - July 13 2025</t>
        </is>
      </c>
      <c r="B99" s="394" t="n"/>
      <c r="C99" s="394" t="n">
        <v>21032.52</v>
      </c>
      <c r="D99" s="394" t="n"/>
      <c r="E99" s="391" t="n">
        <v>21199.52</v>
      </c>
      <c r="F99" s="389" t="n">
        <v>15061.68</v>
      </c>
      <c r="G99" s="382" t="n">
        <v>0</v>
      </c>
      <c r="H99" s="118" t="n">
        <v>0</v>
      </c>
      <c r="I99" s="389" t="n">
        <v>6137.84</v>
      </c>
      <c r="J99" s="390" t="n">
        <v>6190.04</v>
      </c>
      <c r="K99" s="148" t="n">
        <v>251.59</v>
      </c>
      <c r="L99" s="390" t="n">
        <v>32.39</v>
      </c>
      <c r="M99" s="382" t="n">
        <v>0</v>
      </c>
      <c r="N99" s="382">
        <f>(J99-K99)+(L99-M99)</f>
        <v/>
      </c>
      <c r="O99" s="382">
        <f>SUM(F99,G99,H99,N99)</f>
        <v/>
      </c>
      <c r="P99" s="186" t="n"/>
    </row>
    <row r="100" ht="13.95" customFormat="1" customHeight="1" s="115">
      <c r="A100" s="394" t="inlineStr">
        <is>
          <t>July 14 - July 20 2025</t>
        </is>
      </c>
      <c r="B100" s="394" t="n"/>
      <c r="C100" s="394" t="n">
        <v>19977.28</v>
      </c>
      <c r="D100" s="11" t="n">
        <v>658</v>
      </c>
      <c r="E100" s="391" t="n">
        <v>20083.65</v>
      </c>
      <c r="F100" s="389" t="n">
        <v>14254.69</v>
      </c>
      <c r="G100" s="382" t="n">
        <v>0</v>
      </c>
      <c r="H100" s="118" t="n">
        <v>0</v>
      </c>
      <c r="I100" s="389" t="n">
        <v>5828.96</v>
      </c>
      <c r="J100" s="390" t="n">
        <v>5950.15</v>
      </c>
      <c r="K100" s="383" t="n">
        <v>227.56</v>
      </c>
      <c r="L100" s="382" t="n">
        <v>0</v>
      </c>
      <c r="M100" s="382" t="n">
        <v>0</v>
      </c>
      <c r="N100" s="382">
        <f>(J100-K100)+(L100-M100)</f>
        <v/>
      </c>
      <c r="O100" s="382">
        <f>SUM(F100,G100,H100,N100)</f>
        <v/>
      </c>
      <c r="P100" s="186" t="n"/>
    </row>
    <row r="101" ht="13.95" customFormat="1" customHeight="1" s="115">
      <c r="A101" s="394" t="inlineStr">
        <is>
          <t>July 21 - July 27 2025</t>
        </is>
      </c>
      <c r="B101" s="394" t="n"/>
      <c r="C101" s="394" t="n">
        <v>19420.83</v>
      </c>
      <c r="D101" s="11" t="n">
        <v>656</v>
      </c>
      <c r="E101" s="391" t="n">
        <v>19855.69</v>
      </c>
      <c r="F101" s="389" t="n">
        <v>13933.81</v>
      </c>
      <c r="G101" s="382" t="n">
        <v>0</v>
      </c>
      <c r="H101" s="118" t="n">
        <v>0</v>
      </c>
      <c r="I101" s="389" t="n">
        <v>5921.88</v>
      </c>
      <c r="J101" s="390" t="n">
        <v>5744.43</v>
      </c>
      <c r="K101" s="383" t="n">
        <v>270.6</v>
      </c>
      <c r="L101" s="390" t="n">
        <v>13.19</v>
      </c>
      <c r="M101" s="382" t="n">
        <v>0</v>
      </c>
      <c r="N101" s="382">
        <f>(J101-K101)+(L101-M101)</f>
        <v/>
      </c>
      <c r="O101" s="382">
        <f>SUM(F101,G101,H101,N101)</f>
        <v/>
      </c>
      <c r="P101" s="186" t="n"/>
    </row>
    <row r="102" ht="13.95" customFormat="1" customHeight="1" s="115">
      <c r="A102" s="394" t="inlineStr">
        <is>
          <t>July 28 - Aug 03 2025</t>
        </is>
      </c>
      <c r="B102" s="394" t="n"/>
      <c r="C102" s="394" t="n">
        <v>22466.31</v>
      </c>
      <c r="D102" s="11" t="n">
        <v>727</v>
      </c>
      <c r="E102" s="391" t="n">
        <v>22680.53</v>
      </c>
      <c r="F102" s="389" t="n">
        <v>16293.58</v>
      </c>
      <c r="G102" s="382" t="n">
        <v>0</v>
      </c>
      <c r="H102" s="118" t="n">
        <v>0</v>
      </c>
      <c r="I102" s="389" t="n">
        <v>6386.95</v>
      </c>
      <c r="J102" s="383" t="n">
        <v>6463.45</v>
      </c>
      <c r="K102" s="383" t="n">
        <v>290.72</v>
      </c>
      <c r="L102" s="382" t="n">
        <v>0</v>
      </c>
      <c r="M102" s="382" t="n">
        <v>0</v>
      </c>
      <c r="N102" s="382">
        <f>(J102-K102)+(L102-M102)</f>
        <v/>
      </c>
      <c r="O102" s="382">
        <f>SUM(F102,G102,H102,N102)</f>
        <v/>
      </c>
      <c r="P102" s="186" t="n"/>
    </row>
    <row r="103" ht="13.95" customFormat="1" customHeight="1" s="115">
      <c r="A103" s="394" t="inlineStr">
        <is>
          <t>Aug 04 - Aug 10 2025</t>
        </is>
      </c>
      <c r="B103" s="394" t="n"/>
      <c r="C103" s="394" t="n">
        <v>19727.34</v>
      </c>
      <c r="D103" s="11" t="n">
        <v>656</v>
      </c>
      <c r="E103" s="391" t="n">
        <v>20015.35</v>
      </c>
      <c r="F103" s="389" t="n">
        <v>14186.27</v>
      </c>
      <c r="G103" s="382" t="n">
        <v>0</v>
      </c>
      <c r="H103" s="118" t="n">
        <v>0</v>
      </c>
      <c r="I103" s="389" t="n">
        <v>5829.08</v>
      </c>
      <c r="J103" s="390" t="n">
        <v>5842.38</v>
      </c>
      <c r="K103" s="383" t="n">
        <v>301.31</v>
      </c>
      <c r="L103" s="382" t="n">
        <v>0</v>
      </c>
      <c r="M103" s="382" t="n">
        <v>0</v>
      </c>
      <c r="N103" s="382">
        <f>(J103-K103)+(L103-M103)</f>
        <v/>
      </c>
      <c r="O103" s="382">
        <f>SUM(F103,G103,H103,N103)</f>
        <v/>
      </c>
      <c r="P103" s="186" t="n"/>
    </row>
    <row r="104" ht="13.95" customFormat="1" customHeight="1" s="115">
      <c r="A104" s="394" t="inlineStr">
        <is>
          <t>Aug 11 - Aug 17 2025</t>
        </is>
      </c>
      <c r="B104" s="394" t="n"/>
      <c r="C104" s="394" t="n">
        <v>19328.44</v>
      </c>
      <c r="D104" s="11" t="n">
        <v>644</v>
      </c>
      <c r="E104" s="391" t="n">
        <v>19465.94</v>
      </c>
      <c r="F104" s="389" t="n">
        <v>14629.82</v>
      </c>
      <c r="G104" s="389" t="n">
        <v>26.4</v>
      </c>
      <c r="H104" s="118" t="n">
        <v>0</v>
      </c>
      <c r="I104" s="389" t="n">
        <v>4809.72</v>
      </c>
      <c r="J104" s="390" t="n">
        <v>4889.08</v>
      </c>
      <c r="K104" s="383" t="n">
        <v>216.86</v>
      </c>
      <c r="L104" s="382" t="n">
        <v>0</v>
      </c>
      <c r="M104" s="382" t="n">
        <v>0</v>
      </c>
      <c r="N104" s="382">
        <f>(J104-K104)+(L104-M104)</f>
        <v/>
      </c>
      <c r="O104" s="382">
        <f>SUM(F104,G104,H104,N104)</f>
        <v/>
      </c>
      <c r="P104" s="186" t="n"/>
    </row>
    <row r="105" ht="13.95" customFormat="1" customHeight="1" s="115">
      <c r="A105" s="394" t="inlineStr">
        <is>
          <t>Aug 18 - Aug 24 2025</t>
        </is>
      </c>
      <c r="B105" s="394" t="n"/>
      <c r="C105" s="394" t="n">
        <v>16117.06</v>
      </c>
      <c r="D105" s="11" t="n">
        <v>464</v>
      </c>
      <c r="E105" s="391" t="n">
        <v>14428.94</v>
      </c>
      <c r="F105" s="389" t="n">
        <v>10294.77</v>
      </c>
      <c r="G105" s="389" t="n">
        <v>49.2</v>
      </c>
      <c r="H105" s="118" t="n">
        <v>0</v>
      </c>
      <c r="I105" s="389" t="n">
        <v>4084.97</v>
      </c>
      <c r="J105" s="390" t="n">
        <v>5994.63</v>
      </c>
      <c r="K105" s="383" t="n">
        <v>286.9</v>
      </c>
      <c r="L105" s="390" t="n">
        <v>65.36</v>
      </c>
      <c r="M105" s="382" t="n">
        <v>0</v>
      </c>
      <c r="N105" s="382">
        <f>(J105-K105)+(L105-M105)</f>
        <v/>
      </c>
      <c r="O105" s="382">
        <f>SUM(F105,G105,H105,N105)</f>
        <v/>
      </c>
      <c r="P105" s="186" t="n"/>
    </row>
    <row r="106" ht="13.95" customFormat="1" customHeight="1" s="115">
      <c r="A106" s="394" t="inlineStr">
        <is>
          <t>Aug 25 - Aug 31 2025</t>
        </is>
      </c>
      <c r="B106" s="394" t="n"/>
      <c r="C106" s="394" t="n">
        <v>20858.45</v>
      </c>
      <c r="D106" s="11" t="n">
        <v>719</v>
      </c>
      <c r="E106" s="391" t="n">
        <v>21168.34</v>
      </c>
      <c r="F106" s="389" t="n">
        <v>14667.93</v>
      </c>
      <c r="G106" s="389" t="n">
        <v>112.8</v>
      </c>
      <c r="H106" s="118" t="n">
        <v>0</v>
      </c>
      <c r="I106" s="389" t="n">
        <v>6387.61</v>
      </c>
      <c r="J106" s="390" t="n">
        <v>6384.76</v>
      </c>
      <c r="K106" s="383" t="n">
        <v>307.04</v>
      </c>
      <c r="L106" s="382" t="n">
        <v>0</v>
      </c>
      <c r="M106" s="382" t="n">
        <v>0</v>
      </c>
      <c r="N106" s="382">
        <f>(J106-K106)+(L106-M106)</f>
        <v/>
      </c>
      <c r="O106" s="382">
        <f>SUM(F106,G106,H106,N106)</f>
        <v/>
      </c>
      <c r="P106" s="186" t="n"/>
    </row>
    <row r="107" ht="13.95" customFormat="1" customHeight="1" s="115">
      <c r="A107" s="394" t="inlineStr">
        <is>
          <t>Sep 01 - Sep 07 2025</t>
        </is>
      </c>
      <c r="B107" s="394" t="n"/>
      <c r="C107" s="394" t="n">
        <v>19794.6</v>
      </c>
      <c r="D107" s="11" t="n">
        <v>646</v>
      </c>
      <c r="E107" s="391" t="n">
        <v>20016.5</v>
      </c>
      <c r="F107" s="389" t="n">
        <v>13212.82</v>
      </c>
      <c r="G107" s="389" t="n">
        <v>139.2</v>
      </c>
      <c r="H107" s="118" t="n">
        <v>0</v>
      </c>
      <c r="I107" s="389" t="n">
        <v>6664.48</v>
      </c>
      <c r="J107" s="390" t="n">
        <v>6730.37</v>
      </c>
      <c r="K107" s="383" t="n">
        <v>334.57</v>
      </c>
      <c r="L107" s="390" t="n">
        <v>46.78</v>
      </c>
      <c r="M107" s="382" t="n">
        <v>0</v>
      </c>
      <c r="N107" s="382">
        <f>(J107-K107)+(L107-M107)</f>
        <v/>
      </c>
      <c r="O107" s="382">
        <f>SUM(F107,G107,H107,N107)</f>
        <v/>
      </c>
      <c r="P107" s="186" t="n"/>
    </row>
    <row r="108" ht="13.95" customFormat="1" customHeight="1" s="115">
      <c r="A108" s="394" t="inlineStr">
        <is>
          <t>Sep 08 - Sep 14 2025</t>
        </is>
      </c>
      <c r="B108" s="394" t="n"/>
      <c r="C108" s="394" t="n">
        <v>18399.97</v>
      </c>
      <c r="D108" s="11" t="n">
        <v>629</v>
      </c>
      <c r="E108" s="391" t="n">
        <v>18653.2</v>
      </c>
      <c r="F108" s="389" t="n">
        <v>12159.6</v>
      </c>
      <c r="G108" s="389" t="n">
        <v>68.40000000000001</v>
      </c>
      <c r="H108" s="118" t="n">
        <v>0</v>
      </c>
      <c r="I108" s="389" t="n">
        <v>6425.2</v>
      </c>
      <c r="J108" s="390" t="n">
        <v>6427.92</v>
      </c>
      <c r="K108" s="383" t="n">
        <v>298.82</v>
      </c>
      <c r="L108" s="390" t="n">
        <v>42.87</v>
      </c>
      <c r="M108" s="382" t="n">
        <v>0</v>
      </c>
      <c r="N108" s="382">
        <f>(J108-K108)+(L108-M108)</f>
        <v/>
      </c>
      <c r="O108" s="382">
        <f>SUM(F108,G108,H108,N108)</f>
        <v/>
      </c>
      <c r="P108" s="186" t="n"/>
    </row>
    <row r="109" ht="13.95" customFormat="1" customHeight="1" s="115">
      <c r="A109" s="394" t="inlineStr">
        <is>
          <t>Sep 15 - Sep 21 2025</t>
        </is>
      </c>
      <c r="B109" s="394" t="n"/>
      <c r="C109" s="394" t="n">
        <v>17783.03</v>
      </c>
      <c r="D109" s="11" t="n">
        <v>583</v>
      </c>
      <c r="E109" s="391" t="n">
        <v>17957.97</v>
      </c>
      <c r="F109" s="389" t="n">
        <v>12433.88</v>
      </c>
      <c r="G109" s="389" t="n">
        <v>147.22</v>
      </c>
      <c r="H109" s="118" t="n">
        <v>0</v>
      </c>
      <c r="I109" s="389" t="n">
        <v>5376.87</v>
      </c>
      <c r="J109" s="390" t="n">
        <v>5421.27</v>
      </c>
      <c r="K109" s="383" t="n">
        <v>219.34</v>
      </c>
      <c r="L109" s="382" t="n">
        <v>0</v>
      </c>
      <c r="M109" s="382" t="n">
        <v>0</v>
      </c>
      <c r="N109" s="382">
        <f>(J109-K109)+(L109-M109)</f>
        <v/>
      </c>
      <c r="O109" s="382">
        <f>SUM(F109,G109,H109,N109)</f>
        <v/>
      </c>
      <c r="P109" s="186" t="n"/>
    </row>
    <row r="110" ht="13.95" customFormat="1" customHeight="1" s="115">
      <c r="A110" s="394" t="inlineStr">
        <is>
          <t>Sep 22 - Sep 28 2025</t>
        </is>
      </c>
      <c r="B110" s="394" t="n"/>
      <c r="C110" s="394" t="n">
        <v>16305.69</v>
      </c>
      <c r="D110" s="11" t="n">
        <v>581</v>
      </c>
      <c r="E110" s="391" t="n">
        <v>16525.32</v>
      </c>
      <c r="F110" s="389" t="n">
        <v>11080.55</v>
      </c>
      <c r="G110" s="389" t="n">
        <v>283.21</v>
      </c>
      <c r="H110" s="118" t="n">
        <v>0</v>
      </c>
      <c r="I110" s="389" t="n">
        <v>5161.56</v>
      </c>
      <c r="J110" s="464" t="n">
        <v>5209.26</v>
      </c>
      <c r="K110" s="465" t="n">
        <v>267.33</v>
      </c>
      <c r="L110" s="382" t="n">
        <v>0</v>
      </c>
      <c r="M110" s="382" t="n">
        <v>0</v>
      </c>
      <c r="N110" s="382">
        <f>(J110-K110)+(L110-M110)</f>
        <v/>
      </c>
      <c r="O110" s="382">
        <f>SUM(F110,G110,H110,N110)</f>
        <v/>
      </c>
      <c r="P110" s="186" t="n"/>
    </row>
    <row r="111" ht="13.95" customFormat="1" customHeight="1" s="115">
      <c r="A111" s="394" t="inlineStr">
        <is>
          <t>Sep 29 - Oct 05 2025</t>
        </is>
      </c>
      <c r="B111" s="394" t="n"/>
      <c r="C111" s="394" t="n">
        <v>16431.85</v>
      </c>
      <c r="D111" s="11" t="n">
        <v>546</v>
      </c>
      <c r="E111" s="391" t="n">
        <v>16536.19</v>
      </c>
      <c r="F111" s="389" t="n">
        <v>12265.58</v>
      </c>
      <c r="G111" s="389" t="n">
        <v>187.19</v>
      </c>
      <c r="H111" s="118" t="n">
        <v>0</v>
      </c>
      <c r="I111" s="389" t="n">
        <v>4083.42</v>
      </c>
      <c r="J111" s="390" t="n">
        <v>4096.91</v>
      </c>
      <c r="K111" s="383" t="n">
        <v>117.83</v>
      </c>
      <c r="L111" s="382" t="n">
        <v>0</v>
      </c>
      <c r="M111" s="382" t="n">
        <v>0</v>
      </c>
      <c r="N111" s="382">
        <f>(J111-K111)+(L111-M111)</f>
        <v/>
      </c>
      <c r="O111" s="382">
        <f>SUM(F111,G111,H111,N111)</f>
        <v/>
      </c>
      <c r="P111" s="186" t="n"/>
    </row>
    <row r="112" ht="13.95" customFormat="1" customHeight="1" s="115">
      <c r="A112" s="394" t="inlineStr">
        <is>
          <t>Oct 6 - Oct 12 2025</t>
        </is>
      </c>
      <c r="B112" s="394" t="n"/>
      <c r="C112" s="394" t="n">
        <v>17769.13</v>
      </c>
      <c r="D112" s="11" t="n">
        <v>570</v>
      </c>
      <c r="E112" s="391" t="n">
        <v>17821.14</v>
      </c>
      <c r="F112" s="389" t="n">
        <v>13504.86</v>
      </c>
      <c r="G112" s="389" t="n">
        <v>254.57</v>
      </c>
      <c r="H112" s="118" t="n">
        <v>0</v>
      </c>
      <c r="I112" s="389" t="n">
        <v>4061.71</v>
      </c>
      <c r="J112" s="383" t="n">
        <v>4009.7</v>
      </c>
      <c r="K112" s="383" t="n">
        <v>0</v>
      </c>
      <c r="L112" s="382" t="n">
        <v>0</v>
      </c>
      <c r="M112" s="382" t="n">
        <v>0</v>
      </c>
      <c r="N112" s="382">
        <f>(J112-K112)+(L112-M112)</f>
        <v/>
      </c>
      <c r="O112" s="382">
        <f>SUM(F112,G112,H112,N112)</f>
        <v/>
      </c>
      <c r="P112" s="186" t="n"/>
    </row>
    <row r="113" ht="13.95" customFormat="1" customHeight="1" s="115">
      <c r="A113" s="394" t="inlineStr">
        <is>
          <t>Oct 13 - Oct 19 2025</t>
        </is>
      </c>
      <c r="B113" s="394" t="n"/>
      <c r="C113" s="394" t="n">
        <v>17376.31</v>
      </c>
      <c r="D113" s="11" t="n"/>
      <c r="E113" s="394" t="n">
        <v>17252.3</v>
      </c>
      <c r="F113" s="394" t="n">
        <v>13234.44</v>
      </c>
      <c r="G113" s="394" t="n">
        <v>200.1</v>
      </c>
      <c r="H113" s="394" t="n">
        <v>0</v>
      </c>
      <c r="I113" s="394" t="n">
        <v>3817.76</v>
      </c>
      <c r="J113" s="447" t="n">
        <v>3941.77</v>
      </c>
      <c r="K113" s="383" t="n">
        <v>0</v>
      </c>
      <c r="L113" s="382" t="n">
        <v>0</v>
      </c>
      <c r="M113" s="382" t="n">
        <v>0</v>
      </c>
      <c r="N113" s="382">
        <f>(J113-K113)+(L113-M113)</f>
        <v/>
      </c>
      <c r="O113" s="382">
        <f>SUM(F113,G113,H113,N113)</f>
        <v/>
      </c>
      <c r="P113" s="186" t="n"/>
    </row>
    <row r="114" ht="13.95" customFormat="1" customHeight="1" s="115">
      <c r="A114" s="394" t="inlineStr">
        <is>
          <t>Oct 20 - Oct 26 2025</t>
        </is>
      </c>
      <c r="B114" s="394" t="n"/>
      <c r="C114" s="394" t="n">
        <v>18726.79</v>
      </c>
      <c r="D114" s="2" t="n">
        <v>575</v>
      </c>
      <c r="E114" s="394" t="n">
        <v>18506.6</v>
      </c>
      <c r="F114" s="394" t="n">
        <v>13467.13</v>
      </c>
      <c r="G114" s="394" t="n">
        <v>255.15</v>
      </c>
      <c r="H114" s="394" t="n">
        <v>0</v>
      </c>
      <c r="I114" s="394" t="n">
        <v>4784.32</v>
      </c>
      <c r="J114" s="383" t="n">
        <v>5004.51</v>
      </c>
      <c r="K114" s="383" t="n">
        <v>0</v>
      </c>
      <c r="L114" s="382" t="n">
        <v>0</v>
      </c>
      <c r="M114" s="382" t="n">
        <v>0</v>
      </c>
      <c r="N114" s="382">
        <f>(J114-K114)+(L114-M114)</f>
        <v/>
      </c>
      <c r="O114" s="382">
        <f>SUM(F114,G114,H114,N114)</f>
        <v/>
      </c>
      <c r="P114" s="186" t="n"/>
    </row>
    <row r="115" ht="13.95" customFormat="1" customHeight="1" s="115">
      <c r="A115" s="394" t="inlineStr">
        <is>
          <t>Oct 27 - Nov 02 2025</t>
        </is>
      </c>
      <c r="B115" s="394" t="n"/>
      <c r="C115" s="394" t="n">
        <v>17425.06</v>
      </c>
      <c r="D115" s="302" t="n">
        <v>535</v>
      </c>
      <c r="E115" s="394" t="n">
        <v>17425.06</v>
      </c>
      <c r="F115" s="394" t="n">
        <v>12637.58</v>
      </c>
      <c r="G115" s="394" t="n">
        <v>367.19</v>
      </c>
      <c r="H115" s="394" t="n">
        <v>0</v>
      </c>
      <c r="I115" s="394" t="n">
        <v>4420.29</v>
      </c>
      <c r="J115" s="383" t="n">
        <v>4420.29</v>
      </c>
      <c r="K115" s="383" t="n">
        <v>0</v>
      </c>
      <c r="L115" s="382" t="n">
        <v>0</v>
      </c>
      <c r="M115" s="382" t="n">
        <v>0</v>
      </c>
      <c r="N115" s="382">
        <f>(J115-K115)+(L115-M115)</f>
        <v/>
      </c>
      <c r="O115" s="382">
        <f>SUM(F115,G115,H115,N115)</f>
        <v/>
      </c>
      <c r="P115" s="186" t="n"/>
    </row>
    <row r="116" ht="13.95" customFormat="1" customHeight="1" s="115">
      <c r="A116" s="394" t="inlineStr">
        <is>
          <t>Nov 03 - Nov 09 2025</t>
        </is>
      </c>
      <c r="B116" s="394" t="n"/>
      <c r="C116" s="394" t="n">
        <v>16256.28</v>
      </c>
      <c r="D116" s="302" t="inlineStr">
        <is>
          <t>539</t>
        </is>
      </c>
      <c r="E116" s="394" t="n">
        <v>16264.56</v>
      </c>
      <c r="F116" s="394" t="n">
        <v>11402.71</v>
      </c>
      <c r="G116" s="394" t="n">
        <v>192.68</v>
      </c>
      <c r="H116" s="394" t="n">
        <v>0</v>
      </c>
      <c r="I116" s="394" t="n">
        <v>4669.17</v>
      </c>
      <c r="J116" s="466" t="n">
        <v>4660.89</v>
      </c>
      <c r="K116" s="383" t="n">
        <v>0</v>
      </c>
      <c r="L116" s="382" t="n">
        <v>0</v>
      </c>
      <c r="M116" s="382" t="n">
        <v>0</v>
      </c>
      <c r="N116" s="382">
        <f>(J116-K116)+(L116-M116)</f>
        <v/>
      </c>
      <c r="O116" s="382">
        <f>SUM(F116,G116,H116,N116)</f>
        <v/>
      </c>
      <c r="P116" s="186" t="n"/>
    </row>
    <row r="117" ht="13.95" customFormat="1" customHeight="1" s="115">
      <c r="A117" s="394" t="inlineStr">
        <is>
          <t>Nov 10 - Nov 16 2025</t>
        </is>
      </c>
      <c r="B117" s="394" t="n"/>
      <c r="C117" s="394" t="n">
        <v>17706.84</v>
      </c>
      <c r="D117" s="302" t="inlineStr">
        <is>
          <t>566</t>
        </is>
      </c>
      <c r="E117" s="394" t="n">
        <v>17748.23</v>
      </c>
      <c r="F117" s="394" t="n">
        <v>12929.35</v>
      </c>
      <c r="G117" s="394" t="n">
        <v>337.96</v>
      </c>
      <c r="H117" s="394" t="n">
        <v>0</v>
      </c>
      <c r="I117" s="394" t="n">
        <v>4480.92</v>
      </c>
      <c r="J117" s="383" t="n">
        <v>4402.36</v>
      </c>
      <c r="K117" s="383" t="n">
        <v>0</v>
      </c>
      <c r="L117" s="383" t="n">
        <v>37.17</v>
      </c>
      <c r="M117" s="382" t="n">
        <v>0</v>
      </c>
      <c r="N117" s="382">
        <f>(J117-K117)+(L117-M117)</f>
        <v/>
      </c>
      <c r="O117" s="382">
        <f>SUM(F117,G117,H117,N117)</f>
        <v/>
      </c>
      <c r="P117" s="186" t="n"/>
    </row>
    <row r="118" ht="13.95" customFormat="1" customHeight="1" s="115">
      <c r="A118" s="2" t="inlineStr">
        <is>
          <t>Nov 17 - Nov 23 2025</t>
        </is>
      </c>
      <c r="B118" s="394" t="n"/>
      <c r="C118" s="394" t="n">
        <v>18888.52</v>
      </c>
      <c r="D118" s="302" t="inlineStr">
        <is>
          <t>589</t>
        </is>
      </c>
      <c r="E118" s="394" t="n">
        <v>19214.09</v>
      </c>
      <c r="F118" s="394" t="n">
        <v>12834.55</v>
      </c>
      <c r="G118" s="394" t="n">
        <v>171.69</v>
      </c>
      <c r="H118" s="394" t="n">
        <v>0</v>
      </c>
      <c r="I118" s="394" t="n">
        <v>6207.85</v>
      </c>
      <c r="J118" s="383" t="n">
        <v>6249.24</v>
      </c>
      <c r="K118" s="383" t="n">
        <v>366.96</v>
      </c>
      <c r="L118" s="382" t="n">
        <v>0</v>
      </c>
      <c r="M118" s="382" t="n">
        <v>0</v>
      </c>
      <c r="N118" s="382">
        <f>(J118-K118)+(L118-M118)</f>
        <v/>
      </c>
      <c r="O118" s="382">
        <f>SUM(F118,G118,H118,N118)</f>
        <v/>
      </c>
      <c r="P118" s="186" t="n"/>
    </row>
    <row r="119" ht="13.95" customFormat="1" customHeight="1" s="115">
      <c r="A119" s="2" t="inlineStr">
        <is>
          <t>Nov 24 - Nov 30 2025</t>
        </is>
      </c>
      <c r="B119" s="394" t="n"/>
      <c r="C119" s="394" t="n">
        <v>18917.61</v>
      </c>
      <c r="D119" s="304" t="n">
        <v>584</v>
      </c>
      <c r="E119" s="394" t="n">
        <v>19246.06</v>
      </c>
      <c r="F119" s="302" t="n">
        <v>12768.97</v>
      </c>
      <c r="G119" s="394" t="n">
        <v>102.93</v>
      </c>
      <c r="H119" s="394" t="n">
        <v>0</v>
      </c>
      <c r="I119" s="394" t="n">
        <v>6374.16</v>
      </c>
      <c r="J119" s="383" t="n">
        <v>6429.86</v>
      </c>
      <c r="K119" s="383" t="n">
        <v>384.15</v>
      </c>
      <c r="L119" s="382" t="n">
        <v>0</v>
      </c>
      <c r="M119" s="382" t="n">
        <v>0</v>
      </c>
      <c r="N119" s="382">
        <f>(J119-K119)+(L119-M119)</f>
        <v/>
      </c>
      <c r="O119" s="382">
        <f>SUM(F119,G119,H119,N119)</f>
        <v/>
      </c>
      <c r="P119" s="186" t="n"/>
    </row>
    <row r="120" ht="13.95" customFormat="1" customHeight="1" s="115">
      <c r="A120" s="2" t="inlineStr">
        <is>
          <t>Dec 01 - Dec 07 2025</t>
        </is>
      </c>
      <c r="B120" s="394" t="n"/>
      <c r="C120" s="394" t="n">
        <v>19147.39</v>
      </c>
      <c r="D120" s="300" t="n">
        <v>617</v>
      </c>
      <c r="E120" s="394" t="n">
        <v>19778.6</v>
      </c>
      <c r="F120" s="394" t="n">
        <v>11560.99</v>
      </c>
      <c r="G120" s="394" t="n">
        <v>137.74</v>
      </c>
      <c r="H120" s="394" t="n">
        <v>0</v>
      </c>
      <c r="I120" s="394" t="n">
        <v>8079.87</v>
      </c>
      <c r="J120" s="383" t="n">
        <v>8124.05</v>
      </c>
      <c r="K120" s="383" t="n">
        <v>675.39</v>
      </c>
      <c r="L120" s="382" t="n">
        <v>0</v>
      </c>
      <c r="M120" s="382" t="n">
        <v>0</v>
      </c>
      <c r="N120" s="382">
        <f>(J120-K120)+(L120-M120)</f>
        <v/>
      </c>
      <c r="O120" s="382">
        <f>SUM(F120,G120,H120,N120)</f>
        <v/>
      </c>
      <c r="P120" s="186" t="n"/>
    </row>
    <row r="121" ht="13.95" customFormat="1" customHeight="1" s="115">
      <c r="A121" s="299" t="inlineStr">
        <is>
          <t>Dec 08 - Dec 14 2025</t>
        </is>
      </c>
      <c r="B121" s="394" t="n"/>
      <c r="C121" s="394" t="n">
        <v>18451.81</v>
      </c>
      <c r="D121" s="394" t="inlineStr">
        <is>
          <t>598</t>
        </is>
      </c>
      <c r="E121" s="394" t="n">
        <v>18690.72</v>
      </c>
      <c r="F121" s="394" t="n">
        <v>12819.93</v>
      </c>
      <c r="G121" s="394" t="n">
        <v>140.78</v>
      </c>
      <c r="H121" s="394" t="n">
        <v>0</v>
      </c>
      <c r="I121" s="394" t="n">
        <v>5730.01</v>
      </c>
      <c r="J121" s="383" t="n">
        <v>5842.18</v>
      </c>
      <c r="K121" s="383" t="n">
        <v>370.57</v>
      </c>
      <c r="L121" s="383" t="n">
        <v>19.49</v>
      </c>
      <c r="M121" s="382" t="n">
        <v>0</v>
      </c>
      <c r="N121" s="382">
        <f>(J121-K121)+(L121-M121)</f>
        <v/>
      </c>
      <c r="O121" s="382">
        <f>SUM(F121,G121,H121,N121)</f>
        <v/>
      </c>
      <c r="P121" s="186" t="n"/>
    </row>
    <row r="122" ht="13.95" customFormat="1" customHeight="1" s="115">
      <c r="A122" s="2" t="inlineStr">
        <is>
          <t>Dec 15 - Dec 21 2025</t>
        </is>
      </c>
      <c r="B122" s="394" t="n"/>
      <c r="C122" s="394" t="n">
        <v>20513.53</v>
      </c>
      <c r="D122" s="394" t="inlineStr">
        <is>
          <t>641</t>
        </is>
      </c>
      <c r="E122" s="394" t="n">
        <v>21375.78</v>
      </c>
      <c r="F122" s="394" t="n">
        <v>12928.07</v>
      </c>
      <c r="G122" s="394" t="n">
        <v>239.59</v>
      </c>
      <c r="H122" s="394" t="n">
        <v>0</v>
      </c>
      <c r="I122" s="394" t="n">
        <v>8208.120000000001</v>
      </c>
      <c r="J122" s="467" t="n">
        <v>8254.59</v>
      </c>
      <c r="K122" s="467" t="n">
        <v>908.72</v>
      </c>
      <c r="L122" s="382" t="n">
        <v>0</v>
      </c>
      <c r="M122" s="382" t="n">
        <v>0</v>
      </c>
      <c r="N122" s="382">
        <f>(J122-K122)+(L122-M122)</f>
        <v/>
      </c>
      <c r="O122" s="382">
        <f>SUM(F122,G122,H122,N122)</f>
        <v/>
      </c>
      <c r="P122" s="186" t="n"/>
    </row>
    <row r="123" ht="13.95" customFormat="1" customHeight="1" s="115">
      <c r="A123" s="2" t="inlineStr">
        <is>
          <t>Dec 22 - Dec 28 2025</t>
        </is>
      </c>
      <c r="B123" s="394" t="n"/>
      <c r="C123" s="394" t="n">
        <v>25775.68</v>
      </c>
      <c r="D123" s="304" t="n">
        <v>737</v>
      </c>
      <c r="E123" s="394" t="n">
        <v>26184.32</v>
      </c>
      <c r="F123" s="394" t="n">
        <v>17344.72</v>
      </c>
      <c r="G123" s="394" t="n">
        <v>135.59</v>
      </c>
      <c r="H123" s="394" t="n">
        <v>0</v>
      </c>
      <c r="I123" s="394" t="n">
        <v>8704.01</v>
      </c>
      <c r="J123" s="383" t="n">
        <v>8807.209999999999</v>
      </c>
      <c r="K123" s="383" t="n">
        <v>511.84</v>
      </c>
      <c r="L123" s="382" t="n">
        <v>0</v>
      </c>
      <c r="M123" s="382" t="n">
        <v>0</v>
      </c>
      <c r="N123" s="382">
        <f>(J123-K123)+(L123-M123)</f>
        <v/>
      </c>
      <c r="O123" s="382">
        <f>SUM(F123,G123,H123,N123)</f>
        <v/>
      </c>
      <c r="P123" s="186" t="n"/>
    </row>
    <row r="124" ht="13.95" customFormat="1" customHeight="1" s="115">
      <c r="A124" s="11" t="inlineStr">
        <is>
          <t>Dec 29 - Jan 04 2026</t>
        </is>
      </c>
      <c r="B124" s="394" t="n"/>
      <c r="C124" s="394" t="n">
        <v>25820.83</v>
      </c>
      <c r="D124" s="302" t="inlineStr">
        <is>
          <t>780</t>
        </is>
      </c>
      <c r="E124" s="2" t="n">
        <v>26413.46</v>
      </c>
      <c r="F124" s="394" t="n">
        <v>17208.56</v>
      </c>
      <c r="G124" s="394" t="n">
        <v>307.47</v>
      </c>
      <c r="H124" s="394" t="n">
        <v>0</v>
      </c>
      <c r="I124" s="394" t="n">
        <v>8897.43</v>
      </c>
      <c r="J124" s="383" t="n">
        <v>8973.85</v>
      </c>
      <c r="K124" s="383" t="n">
        <v>669.05</v>
      </c>
      <c r="L124" s="382" t="n">
        <v>0</v>
      </c>
      <c r="M124" s="382" t="n">
        <v>0</v>
      </c>
      <c r="N124" s="382">
        <f>(J124-K124)+(L124-M124)</f>
        <v/>
      </c>
      <c r="O124" s="382">
        <f>SUM(F124,G124,H124,N124)</f>
        <v/>
      </c>
      <c r="P124" s="186" t="n"/>
    </row>
    <row r="125" ht="13.95" customFormat="1" customHeight="1" s="115">
      <c r="A125" s="11" t="inlineStr">
        <is>
          <t>Jan 05 - Jan 11 2026</t>
        </is>
      </c>
      <c r="B125" s="394" t="n"/>
      <c r="C125" s="394" t="n">
        <v>15959.21</v>
      </c>
      <c r="D125" s="394" t="inlineStr">
        <is>
          <t>519</t>
        </is>
      </c>
      <c r="E125" s="394" t="n">
        <v>16386.68</v>
      </c>
      <c r="F125" s="394" t="n">
        <v>10284.57</v>
      </c>
      <c r="G125" s="394" t="n">
        <v>226.17</v>
      </c>
      <c r="H125" s="394" t="n">
        <v>0</v>
      </c>
      <c r="I125" s="394" t="n">
        <v>5875.94</v>
      </c>
      <c r="J125" s="383" t="n">
        <v>5929.54</v>
      </c>
      <c r="K125" s="383" t="n">
        <v>481.07</v>
      </c>
      <c r="L125" s="382" t="n">
        <v>0</v>
      </c>
      <c r="M125" s="382" t="n">
        <v>0</v>
      </c>
      <c r="N125" s="382">
        <f>(J125-K125)+(L125-M125)</f>
        <v/>
      </c>
      <c r="O125" s="382">
        <f>SUM(F125,G125,H125,N125)</f>
        <v/>
      </c>
      <c r="P125" s="186" t="n"/>
    </row>
    <row r="126" ht="13.95" customFormat="1" customHeight="1" s="115">
      <c r="A126" s="11" t="inlineStr">
        <is>
          <t>Jan 12 - Jan 18 2026</t>
        </is>
      </c>
      <c r="B126" s="394" t="n"/>
      <c r="C126" s="394" t="n">
        <v>17411.11</v>
      </c>
      <c r="D126" s="394" t="inlineStr">
        <is>
          <t>543</t>
        </is>
      </c>
      <c r="E126" s="394" t="n">
        <v>17591.65</v>
      </c>
      <c r="F126" s="394" t="n">
        <v>11970.36</v>
      </c>
      <c r="G126" s="394" t="n">
        <v>148.78</v>
      </c>
      <c r="H126" s="394" t="n">
        <v>0</v>
      </c>
      <c r="I126" s="394" t="n">
        <v>5472.51</v>
      </c>
      <c r="J126" s="383" t="n">
        <v>5538.67</v>
      </c>
      <c r="K126" s="383" t="n">
        <v>246.7</v>
      </c>
      <c r="L126" s="382" t="n">
        <v>0</v>
      </c>
      <c r="M126" s="382" t="n">
        <v>0</v>
      </c>
      <c r="N126" s="382">
        <f>(J126-K126)+(L126-M126)</f>
        <v/>
      </c>
      <c r="O126" s="382">
        <f>SUM(F126,G126,H126,N126)</f>
        <v/>
      </c>
      <c r="P126" s="186" t="n"/>
    </row>
    <row r="127" ht="13.95" customFormat="1" customHeight="1" s="115">
      <c r="A127" s="30" t="inlineStr">
        <is>
          <t>Jan 19 - Jan 25 2026</t>
        </is>
      </c>
      <c r="B127" s="394" t="n"/>
      <c r="C127" s="394" t="n">
        <v>17086.48</v>
      </c>
      <c r="D127" s="394" t="inlineStr">
        <is>
          <t>507</t>
        </is>
      </c>
      <c r="E127" s="394" t="n">
        <v>17594.5</v>
      </c>
      <c r="F127" s="394" t="n">
        <v>9596.889999999999</v>
      </c>
      <c r="G127" s="394" t="n">
        <v>254.86</v>
      </c>
      <c r="H127" s="394" t="n">
        <v>0</v>
      </c>
      <c r="I127" s="394" t="n">
        <v>7742.75</v>
      </c>
      <c r="J127" s="468" t="n">
        <v>7918.76</v>
      </c>
      <c r="K127" s="468" t="n">
        <v>684.03</v>
      </c>
      <c r="L127" s="382" t="n">
        <v>0</v>
      </c>
      <c r="M127" s="382" t="n">
        <v>0</v>
      </c>
      <c r="N127" s="382">
        <f>(J127-K127)+(L127-M127)</f>
        <v/>
      </c>
      <c r="O127" s="382">
        <f>SUM(F127,G127,H127,N127)</f>
        <v/>
      </c>
      <c r="P127" s="186" t="n"/>
    </row>
    <row r="128" ht="13.95" customFormat="1" customHeight="1" s="115">
      <c r="A128" s="30" t="inlineStr">
        <is>
          <t>Jan 26 - Feb 01 2026</t>
        </is>
      </c>
      <c r="B128" s="394" t="n"/>
      <c r="C128" s="394" t="n">
        <v>18905.45</v>
      </c>
      <c r="D128" s="394" t="inlineStr">
        <is>
          <t>588</t>
        </is>
      </c>
      <c r="E128" s="394" t="n">
        <v>19111.36</v>
      </c>
      <c r="F128" s="394" t="n">
        <v>12568.11</v>
      </c>
      <c r="G128" s="394" t="n">
        <v>415.58</v>
      </c>
      <c r="H128" s="394" t="n">
        <v>0</v>
      </c>
      <c r="I128" s="394" t="n">
        <v>6127.67</v>
      </c>
      <c r="J128" s="383" t="n">
        <v>6148.89</v>
      </c>
      <c r="K128" s="383" t="n">
        <v>227.13</v>
      </c>
      <c r="L128" s="382" t="n">
        <v>0</v>
      </c>
      <c r="M128" s="382" t="n">
        <v>0</v>
      </c>
      <c r="N128" s="382">
        <f>(J128-K128)+(L128-M128)</f>
        <v/>
      </c>
      <c r="O128" s="382">
        <f>SUM(F128,G128,H128,N128)</f>
        <v/>
      </c>
      <c r="P128" s="186" t="n"/>
    </row>
    <row r="129" ht="13.95" customFormat="1" customHeight="1" s="115">
      <c r="A129" s="30" t="inlineStr">
        <is>
          <t>Feb 02 - Feb 08 2026</t>
        </is>
      </c>
      <c r="B129" s="394" t="n"/>
      <c r="C129" s="394" t="n">
        <v>18381.18</v>
      </c>
      <c r="D129" s="394" t="inlineStr">
        <is>
          <t>556</t>
        </is>
      </c>
      <c r="E129" s="394" t="n">
        <v>18696.57</v>
      </c>
      <c r="F129" s="394" t="n">
        <v>12060.52</v>
      </c>
      <c r="G129" s="394" t="n">
        <v>423.52</v>
      </c>
      <c r="H129" s="394" t="n">
        <v>0</v>
      </c>
      <c r="I129" s="394" t="n">
        <v>6212.53</v>
      </c>
      <c r="J129" s="383" t="n">
        <v>6183.36</v>
      </c>
      <c r="K129" s="383" t="n">
        <v>326.61</v>
      </c>
      <c r="L129" s="383" t="n">
        <v>57.37</v>
      </c>
      <c r="M129" s="383" t="n">
        <v>16.98</v>
      </c>
      <c r="N129" s="382">
        <f>(J129-K129)+(L129-M129)</f>
        <v/>
      </c>
      <c r="O129" s="382">
        <f>SUM(F129,G129,H129,N129)</f>
        <v/>
      </c>
      <c r="P129" s="186" t="n"/>
    </row>
    <row r="130" ht="13.95" customFormat="1" customHeight="1" s="115">
      <c r="A130" s="11" t="inlineStr">
        <is>
          <t>Feb 09 - Feb 15 2026</t>
        </is>
      </c>
      <c r="B130" s="394" t="n"/>
      <c r="C130" s="394" t="n">
        <v>19365.24</v>
      </c>
      <c r="D130" s="394" t="inlineStr">
        <is>
          <t>606</t>
        </is>
      </c>
      <c r="E130" s="394" t="n">
        <v>19918.93</v>
      </c>
      <c r="F130" s="394" t="n">
        <v>12665.61</v>
      </c>
      <c r="G130" s="394" t="n">
        <v>375.04</v>
      </c>
      <c r="H130" s="394" t="n">
        <v>0</v>
      </c>
      <c r="I130" s="394" t="n">
        <v>6878.28</v>
      </c>
      <c r="J130" s="389" t="n">
        <v>6860.32</v>
      </c>
      <c r="K130" s="389" t="n">
        <v>569.3099999999999</v>
      </c>
      <c r="L130" s="389" t="n">
        <v>33.58</v>
      </c>
      <c r="M130" s="382" t="n">
        <v>0</v>
      </c>
      <c r="N130" s="382">
        <f>(J130-K130)+(L130-M130)</f>
        <v/>
      </c>
      <c r="O130" s="382">
        <f>SUM(F130,G130,H130,N130)</f>
        <v/>
      </c>
      <c r="P130" s="186" t="n"/>
    </row>
    <row r="131" ht="13.95" customFormat="1" customHeight="1" s="115">
      <c r="A131" s="11" t="inlineStr">
        <is>
          <t>Feb 16 - Feb 22 2026</t>
        </is>
      </c>
      <c r="B131" s="394" t="n"/>
      <c r="C131" s="394" t="n">
        <v>14252.61</v>
      </c>
      <c r="D131" s="394" t="inlineStr">
        <is>
          <t>431</t>
        </is>
      </c>
      <c r="E131" s="394" t="n">
        <v>13373.22</v>
      </c>
      <c r="F131" s="394" t="n">
        <v>7832.69</v>
      </c>
      <c r="G131" s="394" t="n">
        <v>179.58</v>
      </c>
      <c r="H131" s="394" t="n">
        <v>0</v>
      </c>
      <c r="I131" s="394" t="n">
        <v>5360.95</v>
      </c>
      <c r="J131" s="389" t="n">
        <v>6764.9</v>
      </c>
      <c r="K131" s="389" t="n">
        <v>537.75</v>
      </c>
      <c r="L131" s="389" t="n">
        <v>13.19</v>
      </c>
      <c r="M131" s="382" t="n">
        <v>0</v>
      </c>
      <c r="N131" s="382">
        <f>(J131-K131)+(L131-M131)</f>
        <v/>
      </c>
      <c r="O131" s="382">
        <f>SUM(F131,G131,H131,N131)</f>
        <v/>
      </c>
      <c r="P131" s="186" t="n"/>
    </row>
    <row r="132" ht="13.95" customFormat="1" customHeight="1" s="115">
      <c r="A132" s="11" t="inlineStr">
        <is>
          <t>Feb 23 - Mar 1 2026</t>
        </is>
      </c>
      <c r="B132" s="394" t="n"/>
      <c r="C132" s="394" t="n">
        <v>16576.77</v>
      </c>
      <c r="D132" s="394" t="inlineStr">
        <is>
          <t>510</t>
        </is>
      </c>
      <c r="E132" s="394" t="n">
        <v>16721.86</v>
      </c>
      <c r="F132" s="394" t="n">
        <v>9985.52</v>
      </c>
      <c r="G132" s="394" t="n">
        <v>186.37</v>
      </c>
      <c r="H132" s="394" t="n">
        <v>0</v>
      </c>
      <c r="I132" s="394" t="n">
        <v>6549.97</v>
      </c>
      <c r="J132" s="389" t="n">
        <v>7114.2</v>
      </c>
      <c r="K132" s="389" t="n">
        <v>734.3099999999999</v>
      </c>
      <c r="L132" s="389" t="n">
        <v>24.99</v>
      </c>
      <c r="M132" s="382" t="n">
        <v>0</v>
      </c>
      <c r="N132" s="382">
        <f>(J132-K132)+(L132-M132)</f>
        <v/>
      </c>
      <c r="O132" s="382">
        <f>SUM(F132,G132,H132,N132)</f>
        <v/>
      </c>
      <c r="P132" s="186" t="n"/>
    </row>
    <row r="133" ht="13.95" customFormat="1" customHeight="1" s="115">
      <c r="A133" s="11" t="inlineStr">
        <is>
          <t>Mar 02 - Mar 08 2026</t>
        </is>
      </c>
      <c r="B133" s="394" t="n"/>
      <c r="C133" s="394" t="n">
        <v>17660.07</v>
      </c>
      <c r="D133" s="394" t="inlineStr">
        <is>
          <t>561</t>
        </is>
      </c>
      <c r="E133" s="394" t="n">
        <v>18657.85</v>
      </c>
      <c r="F133" s="394" t="n">
        <v>10767.42</v>
      </c>
      <c r="G133" s="394" t="n">
        <v>443.56</v>
      </c>
      <c r="H133" s="394" t="n">
        <v>0</v>
      </c>
      <c r="I133" s="394" t="n">
        <v>7446.87</v>
      </c>
      <c r="J133" s="383" t="n">
        <v>7216.59</v>
      </c>
      <c r="K133" s="383" t="n">
        <v>767.5</v>
      </c>
      <c r="L133" s="382" t="n">
        <v>0</v>
      </c>
      <c r="M133" s="382" t="n">
        <v>0</v>
      </c>
      <c r="N133" s="382">
        <f>(J133-K133)+(L133-M133)</f>
        <v/>
      </c>
      <c r="O133" s="382">
        <f>SUM(F133,G133,H133,N133)</f>
        <v/>
      </c>
      <c r="P133" s="186" t="n"/>
    </row>
    <row r="134" ht="13.95" customFormat="1" customHeight="1" s="115">
      <c r="A134" s="11" t="inlineStr">
        <is>
          <t>Mar 09 - Mar 15 2026</t>
        </is>
      </c>
      <c r="B134" s="394" t="n"/>
      <c r="C134" s="394" t="n">
        <v>19160.79</v>
      </c>
      <c r="D134" s="394" t="inlineStr">
        <is>
          <t>580</t>
        </is>
      </c>
      <c r="E134" s="394" t="n">
        <v>19775.89</v>
      </c>
      <c r="F134" s="394" t="n">
        <v>12743.75</v>
      </c>
      <c r="G134" s="394" t="n">
        <v>46.78</v>
      </c>
      <c r="H134" s="394" t="n">
        <v>0</v>
      </c>
      <c r="I134" s="394" t="n">
        <v>6985.36</v>
      </c>
      <c r="J134" s="389" t="n">
        <v>6961.2</v>
      </c>
      <c r="K134" s="389" t="n">
        <v>607.13</v>
      </c>
      <c r="L134" s="389" t="n">
        <v>16.19</v>
      </c>
      <c r="M134" s="382" t="n">
        <v>0</v>
      </c>
      <c r="N134" s="382">
        <f>(J134-K134)+(L134-M134)</f>
        <v/>
      </c>
      <c r="O134" s="382">
        <f>SUM(F134,G134,H134,N134)</f>
        <v/>
      </c>
      <c r="P134" s="186" t="n"/>
    </row>
    <row r="135" ht="13.95" customFormat="1" customHeight="1" s="115">
      <c r="A135" s="11" t="inlineStr">
        <is>
          <t>Mar 16 - Mar 22 2026</t>
        </is>
      </c>
      <c r="B135" s="394" t="n"/>
      <c r="C135" s="394" t="n">
        <v>25373.5</v>
      </c>
      <c r="D135" s="394" t="inlineStr">
        <is>
          <t>734</t>
        </is>
      </c>
      <c r="E135" s="394" t="n">
        <v>26371.2</v>
      </c>
      <c r="F135" s="394" t="n">
        <v>17617.94</v>
      </c>
      <c r="G135" s="394" t="n">
        <v>194.97</v>
      </c>
      <c r="H135" s="394" t="n">
        <v>0</v>
      </c>
      <c r="I135" s="394" t="n">
        <v>8558.290000000001</v>
      </c>
      <c r="J135" s="312" t="n">
        <v>8508.91</v>
      </c>
      <c r="K135" s="389" t="n">
        <v>948.3200000000001</v>
      </c>
      <c r="L135" s="389" t="n">
        <v>0</v>
      </c>
      <c r="M135" s="382" t="n">
        <v>0</v>
      </c>
      <c r="N135" s="382">
        <f>(J135-K135)+(L135-M135)</f>
        <v/>
      </c>
      <c r="O135" s="382">
        <f>SUM(F135,G135,H135,N135)</f>
        <v/>
      </c>
      <c r="P135" s="186" t="n"/>
    </row>
    <row r="136" ht="13.95" customFormat="1" customHeight="1" s="115">
      <c r="A136" s="11" t="inlineStr">
        <is>
          <t>Mar 23 - Mar 29 2026</t>
        </is>
      </c>
      <c r="B136" s="394" t="n"/>
      <c r="C136" s="394" t="n">
        <v>18256.37</v>
      </c>
      <c r="D136" s="394" t="inlineStr">
        <is>
          <t>545</t>
        </is>
      </c>
      <c r="E136" s="394" t="n">
        <v>18776.17</v>
      </c>
      <c r="F136" s="394" t="n">
        <v>11433.64</v>
      </c>
      <c r="G136" s="394" t="n">
        <v>222.17</v>
      </c>
      <c r="H136" s="394" t="n">
        <v>0</v>
      </c>
      <c r="I136" s="394" t="n">
        <v>7120.36</v>
      </c>
      <c r="J136" s="312" t="n">
        <v>7080.76</v>
      </c>
      <c r="K136" s="118" t="n">
        <v>536.97</v>
      </c>
      <c r="L136" s="118" t="n">
        <v>56.77</v>
      </c>
      <c r="M136" s="382" t="n">
        <v>0</v>
      </c>
      <c r="N136" s="382">
        <f>(J136-K136)+(L136-M136)</f>
        <v/>
      </c>
      <c r="O136" s="382">
        <f>SUM(F136,G136,H136,N136)</f>
        <v/>
      </c>
      <c r="P136" s="186" t="n"/>
    </row>
    <row r="137" ht="13.95" customFormat="1" customHeight="1" s="115">
      <c r="A137" s="11" t="inlineStr">
        <is>
          <t>Mar 30 - Apr 05 2026</t>
        </is>
      </c>
      <c r="B137" s="394" t="n"/>
      <c r="C137" s="394" t="n">
        <v>19869.5</v>
      </c>
      <c r="D137" s="394" t="inlineStr">
        <is>
          <t>618</t>
        </is>
      </c>
      <c r="E137" s="394" t="n">
        <v>20335.7</v>
      </c>
      <c r="F137" s="394" t="n">
        <v>14342.6</v>
      </c>
      <c r="G137" s="394" t="n">
        <v>185.29</v>
      </c>
      <c r="H137" s="394" t="n">
        <v>0</v>
      </c>
      <c r="I137" s="394" t="n">
        <v>5807.81</v>
      </c>
      <c r="J137" s="389" t="n">
        <v>5795.45</v>
      </c>
      <c r="K137" s="389" t="n">
        <v>453.84</v>
      </c>
      <c r="L137" s="389" t="n">
        <v>0</v>
      </c>
      <c r="M137" s="382" t="n">
        <v>0</v>
      </c>
      <c r="N137" s="382">
        <f>(J137-K137)+(L137-M137)</f>
        <v/>
      </c>
      <c r="O137" s="382">
        <f>SUM(F137,G137,H137,N137)</f>
        <v/>
      </c>
      <c r="P137" s="186" t="n"/>
    </row>
    <row r="138" ht="13.95" customFormat="1" customHeight="1" s="115">
      <c r="A138" s="2" t="inlineStr">
        <is>
          <t>Apr 06 - Apr 12</t>
        </is>
      </c>
      <c r="B138" s="394" t="n"/>
      <c r="C138" s="394" t="n">
        <v>18326.65</v>
      </c>
      <c r="D138" s="401" t="inlineStr">
        <is>
          <t>589</t>
        </is>
      </c>
      <c r="E138" s="401" t="n">
        <v>18800.32</v>
      </c>
      <c r="F138" s="401" t="n">
        <v>12924.64</v>
      </c>
      <c r="G138" s="401" t="n">
        <v>265.15</v>
      </c>
      <c r="H138" s="401" t="n">
        <v>0</v>
      </c>
      <c r="I138" s="401" t="n">
        <v>5610.53</v>
      </c>
      <c r="J138" s="389" t="n">
        <v>5648.03</v>
      </c>
      <c r="K138" s="389" t="n">
        <v>511.17</v>
      </c>
      <c r="L138" s="389" t="n">
        <v>0</v>
      </c>
      <c r="M138" s="382" t="n">
        <v>0</v>
      </c>
      <c r="N138" s="382">
        <f>(J138-K138)+(L138-M138)</f>
        <v/>
      </c>
      <c r="O138" s="382">
        <f>SUM(F138,G138,H138,N138)</f>
        <v/>
      </c>
      <c r="P138" s="186" t="n"/>
    </row>
    <row r="139" ht="13.95" customFormat="1" customHeight="1" s="115">
      <c r="A139" s="11" t="inlineStr">
        <is>
          <t>Apr 13 - Apr 19</t>
        </is>
      </c>
      <c r="B139" s="394" t="n"/>
      <c r="C139" s="394" t="n">
        <v>19074.55</v>
      </c>
      <c r="D139" s="402" t="inlineStr">
        <is>
          <t>600</t>
        </is>
      </c>
      <c r="E139" s="402" t="n">
        <v>19777.68</v>
      </c>
      <c r="F139" s="402" t="n">
        <v>12084.72</v>
      </c>
      <c r="G139" s="402" t="n">
        <v>186.26</v>
      </c>
      <c r="H139" s="402" t="n">
        <v>0</v>
      </c>
      <c r="I139" s="402" t="n">
        <v>7506.7</v>
      </c>
      <c r="J139" s="389" t="inlineStr">
        <is>
          <t>$7,550.29</t>
        </is>
      </c>
      <c r="K139" s="389" t="inlineStr">
        <is>
          <t>$762.91</t>
        </is>
      </c>
      <c r="L139" s="389" t="n">
        <v>16.19</v>
      </c>
      <c r="M139" s="382" t="n">
        <v>0</v>
      </c>
      <c r="N139" s="382" t="n">
        <v>6803.57</v>
      </c>
      <c r="O139" s="382" t="n">
        <v>19074.55</v>
      </c>
      <c r="P139" s="186" t="n"/>
    </row>
    <row r="140" ht="13.95" customFormat="1" customHeight="1" s="115">
      <c r="A140" s="11" t="inlineStr">
        <is>
          <t>Apr 20 - Apr 26</t>
        </is>
      </c>
      <c r="B140" s="394" t="n"/>
      <c r="C140" s="394" t="n">
        <v>20029.68</v>
      </c>
      <c r="D140" s="402" t="inlineStr">
        <is>
          <t>609</t>
        </is>
      </c>
      <c r="E140" s="402" t="n">
        <v>20501.49</v>
      </c>
      <c r="F140" s="402" t="n">
        <v>13642.92</v>
      </c>
      <c r="G140" s="402" t="n">
        <v>247.87</v>
      </c>
      <c r="H140" s="402" t="n">
        <v>0</v>
      </c>
      <c r="I140" s="402" t="n">
        <v>6610.7</v>
      </c>
      <c r="J140" s="389" t="n">
        <v>6543.96</v>
      </c>
      <c r="K140" s="389" t="n">
        <v>491.22</v>
      </c>
      <c r="L140" s="389" t="n">
        <v>86.15000000000001</v>
      </c>
      <c r="M140" s="382" t="n">
        <v>0</v>
      </c>
      <c r="N140" s="382">
        <f>(J140-K140)+(L140-M140)</f>
        <v/>
      </c>
      <c r="O140" s="382">
        <f>SUM(F140,G140,H140,N140)</f>
        <v/>
      </c>
      <c r="P140" s="186" t="n"/>
    </row>
    <row r="141" customFormat="1" s="115">
      <c r="A141" s="394" t="inlineStr">
        <is>
          <t>Apr 27 - May 03</t>
        </is>
      </c>
      <c r="B141" s="394" t="n"/>
      <c r="C141" s="394" t="n">
        <v>18234.87</v>
      </c>
      <c r="D141" s="302" t="inlineStr">
        <is>
          <t>570</t>
        </is>
      </c>
      <c r="E141" s="2" t="n">
        <v>18314.56</v>
      </c>
      <c r="F141" s="118" t="n">
        <v>12348.46</v>
      </c>
      <c r="G141" s="389" t="n">
        <v>442.98</v>
      </c>
      <c r="H141" t="n">
        <v>0</v>
      </c>
      <c r="I141" t="n">
        <v>5523.12</v>
      </c>
      <c r="J141" s="338" t="inlineStr">
        <is>
          <t>$5,515.54</t>
        </is>
      </c>
      <c r="K141" s="338" t="inlineStr">
        <is>
          <t>$113.29</t>
        </is>
      </c>
      <c r="L141" s="469" t="n">
        <v>41.18</v>
      </c>
      <c r="M141" s="470" t="n">
        <v>0</v>
      </c>
      <c r="N141" s="382">
        <f>(J141-K141)+(L141-M141)</f>
        <v/>
      </c>
      <c r="O141" s="382">
        <f>SUM(F141,G141,H141,N141)</f>
        <v/>
      </c>
    </row>
    <row r="142" ht="13.95" customFormat="1" customHeight="1" s="115">
      <c r="A142" s="471" t="inlineStr">
        <is>
          <t>May 4 - May 10</t>
        </is>
      </c>
      <c r="B142" s="471" t="n"/>
      <c r="C142" s="471" t="n">
        <v>17712.87</v>
      </c>
      <c r="D142" s="302" t="n">
        <v>577</v>
      </c>
      <c r="E142" s="2" t="n">
        <v>17697.49</v>
      </c>
      <c r="F142" s="329" t="n">
        <v>13729.71</v>
      </c>
      <c r="G142" s="472" t="n">
        <v>146.37</v>
      </c>
      <c r="H142" t="n">
        <v>0</v>
      </c>
      <c r="I142" t="n">
        <v>3821.41</v>
      </c>
      <c r="J142" s="115" t="n">
        <v>76.56</v>
      </c>
      <c r="K142" s="115" t="n">
        <v>0</v>
      </c>
      <c r="L142" s="115" t="n">
        <v>3760.23</v>
      </c>
      <c r="M142" s="115" t="n">
        <v>0</v>
      </c>
      <c r="N142" s="382">
        <f>(J142-K142)+(L142-M142)</f>
        <v/>
      </c>
      <c r="O142" s="382">
        <f>SUM(F142,G142,H142,N142)</f>
        <v/>
      </c>
    </row>
    <row r="143" ht="13.95" customFormat="1" customHeight="1" s="115">
      <c r="A143" s="471" t="inlineStr">
        <is>
          <t>May 11 - May 17</t>
        </is>
      </c>
      <c r="B143" s="471" t="n"/>
      <c r="C143" s="471" t="n"/>
      <c r="D143" s="302" t="n">
        <v>623</v>
      </c>
      <c r="E143" s="2" t="n">
        <v>22735.22</v>
      </c>
      <c r="F143" s="329" t="n">
        <v>16325.45</v>
      </c>
      <c r="G143" s="472" t="n">
        <v>158.66</v>
      </c>
      <c r="H143" t="n">
        <v>0</v>
      </c>
      <c r="I143" t="n">
        <v>6251.11</v>
      </c>
      <c r="J143" s="343" t="n"/>
      <c r="K143" s="343" t="n"/>
      <c r="L143" s="343" t="n"/>
      <c r="M143" s="343" t="n"/>
      <c r="N143" s="473" t="n"/>
      <c r="O143" s="473" t="n"/>
    </row>
    <row r="144" ht="27.6" customFormat="1" customHeight="1" s="115">
      <c r="A144" s="471" t="n"/>
      <c r="B144" s="471" t="n"/>
      <c r="C144" s="471" t="n"/>
      <c r="D144" s="302" t="n"/>
      <c r="E144" s="2" t="n"/>
      <c r="F144" s="329" t="n"/>
      <c r="G144" s="472" t="n"/>
      <c r="J144" s="343" t="n"/>
      <c r="K144" s="343" t="n"/>
      <c r="L144" s="343" t="n"/>
      <c r="M144" s="343" t="n"/>
      <c r="N144" s="473" t="n"/>
      <c r="O144" s="473" t="n"/>
    </row>
    <row r="145" ht="27.6" customHeight="1">
      <c r="A145" s="474" t="inlineStr">
        <is>
          <t>May 11 - May 17</t>
        </is>
      </c>
      <c r="B145" s="474" t="n"/>
      <c r="C145" s="474" t="n">
        <v>19413.89</v>
      </c>
      <c r="D145" s="302" t="n">
        <v>593</v>
      </c>
      <c r="E145" s="2" t="n">
        <v>19387.49</v>
      </c>
      <c r="F145" s="329" t="n">
        <v>14115.12</v>
      </c>
      <c r="G145" s="472" t="n">
        <v>221.03</v>
      </c>
      <c r="H145" t="n">
        <v>0</v>
      </c>
      <c r="I145" t="n">
        <v>5051.34</v>
      </c>
      <c r="J145" s="405" t="n">
        <v>5077.74</v>
      </c>
      <c r="K145" s="343" t="n">
        <v>0</v>
      </c>
      <c r="L145" s="343" t="n">
        <v>0</v>
      </c>
      <c r="M145" s="343" t="n">
        <v>0</v>
      </c>
      <c r="N145" s="473">
        <f>(J143-K143)+(L143-M143)</f>
        <v/>
      </c>
      <c r="O145" s="473">
        <f>SUM(F143,G143,H143,N143)</f>
        <v/>
      </c>
    </row>
    <row r="146" ht="27.6" customHeight="1">
      <c r="A146" s="474" t="inlineStr">
        <is>
          <t>May 18 - May 24</t>
        </is>
      </c>
      <c r="B146" s="474" t="n"/>
      <c r="C146" s="474" t="n">
        <v>18448.88</v>
      </c>
      <c r="D146" s="302" t="n">
        <v>547</v>
      </c>
      <c r="E146" s="2" t="n">
        <v>18435.67</v>
      </c>
      <c r="F146" s="329" t="n">
        <v>12386.86</v>
      </c>
      <c r="G146" s="472" t="n">
        <v>156.96</v>
      </c>
      <c r="H146" t="n">
        <v>0</v>
      </c>
      <c r="I146" t="n">
        <v>5891.85</v>
      </c>
      <c r="J146" s="405" t="n">
        <v>5905.06</v>
      </c>
      <c r="K146" s="343" t="n">
        <v>0</v>
      </c>
      <c r="L146" s="343" t="n">
        <v>0</v>
      </c>
      <c r="M146" s="343" t="n">
        <v>0</v>
      </c>
      <c r="N146" s="473">
        <f>(J144-K144)+(L144-M144)</f>
        <v/>
      </c>
      <c r="O146" s="473">
        <f>SUM(F144,G144,H144,N144)</f>
        <v/>
      </c>
    </row>
    <row r="147" ht="27.6" customHeight="1">
      <c r="A147" s="474" t="inlineStr">
        <is>
          <t>May 25 - May 31</t>
        </is>
      </c>
      <c r="B147" s="474" t="n"/>
      <c r="C147" s="474" t="n"/>
      <c r="D147" s="302" t="n">
        <v>623</v>
      </c>
      <c r="E147" s="2" t="n">
        <v>22735.22</v>
      </c>
      <c r="F147" s="329" t="n">
        <v>16325.45</v>
      </c>
      <c r="G147" s="472" t="n">
        <v>158.66</v>
      </c>
      <c r="H147" t="n">
        <v>0</v>
      </c>
      <c r="I147" t="n">
        <v>6251.11</v>
      </c>
      <c r="J147" s="405" t="n"/>
      <c r="K147" s="343" t="n"/>
      <c r="L147" s="343" t="n"/>
      <c r="M147" s="343" t="n"/>
      <c r="N147" s="473" t="n"/>
      <c r="O147" s="473" t="n"/>
    </row>
    <row r="148">
      <c r="A148" s="474" t="n"/>
      <c r="B148" s="474" t="n"/>
      <c r="C148" s="474" t="n"/>
      <c r="D148" s="302" t="n"/>
      <c r="E148" s="2" t="n"/>
      <c r="F148" s="329" t="n"/>
      <c r="G148" s="472" t="n"/>
      <c r="H148" s="118" t="n"/>
      <c r="I148" s="118" t="n"/>
      <c r="J148" s="405" t="n"/>
      <c r="K148" s="343" t="n"/>
      <c r="L148" s="343" t="n"/>
      <c r="M148" s="343" t="n"/>
      <c r="N148" s="473" t="n"/>
      <c r="O148" s="473" t="n"/>
      <c r="P148" s="186" t="n"/>
    </row>
    <row r="149">
      <c r="A149" s="382" t="inlineStr">
        <is>
          <t>Pizza K Heartland</t>
        </is>
      </c>
      <c r="B149" s="358" t="n"/>
      <c r="C149" s="355" t="n"/>
      <c r="D149" s="382" t="n"/>
      <c r="E149" s="382" t="n"/>
      <c r="F149" s="118" t="n"/>
      <c r="G149" s="382" t="n"/>
      <c r="H149" s="382" t="n"/>
      <c r="I149" s="11" t="n"/>
      <c r="J149" s="382" t="n"/>
      <c r="K149" s="382" t="n"/>
      <c r="L149" s="382" t="n"/>
      <c r="M149" s="382" t="n"/>
      <c r="N149" s="382" t="n"/>
      <c r="O149" s="382" t="n"/>
      <c r="P149" s="186" t="n"/>
    </row>
    <row r="150">
      <c r="A150" s="418" t="inlineStr">
        <is>
          <t>Statement For Selected Period</t>
        </is>
      </c>
      <c r="B150" s="382" t="n"/>
      <c r="C150" s="420" t="inlineStr">
        <is>
          <t>Total Revenue</t>
        </is>
      </c>
      <c r="D150" s="420" t="n"/>
      <c r="E150" s="420" t="n"/>
      <c r="F150" s="389" t="n"/>
      <c r="G150" s="382" t="n"/>
      <c r="H150" s="382" t="n"/>
      <c r="I150" s="382" t="n"/>
      <c r="J150" s="382" t="n"/>
      <c r="K150" s="382" t="n"/>
      <c r="L150" s="382" t="n"/>
      <c r="M150" s="382" t="n"/>
      <c r="N150" s="382" t="n"/>
      <c r="O150" s="382" t="n"/>
      <c r="P150" s="186" t="n"/>
    </row>
    <row r="151">
      <c r="A151" s="11" t="inlineStr">
        <is>
          <t>Mar 09 - Mar 15 2026</t>
        </is>
      </c>
      <c r="B151" s="382" t="n"/>
      <c r="C151" s="394" t="n">
        <v>19160.79</v>
      </c>
      <c r="D151" s="394" t="n"/>
      <c r="E151" s="394" t="n"/>
      <c r="F151" s="382" t="n"/>
      <c r="G151" s="382" t="n"/>
      <c r="H151" s="382" t="n"/>
      <c r="I151" s="382" t="n"/>
      <c r="J151" s="382" t="n"/>
      <c r="K151" s="382" t="n"/>
      <c r="L151" s="382" t="n"/>
      <c r="M151" s="382" t="n"/>
      <c r="N151" s="382" t="n"/>
      <c r="O151" s="382" t="n"/>
    </row>
    <row r="152">
      <c r="A152" s="11" t="inlineStr">
        <is>
          <t>Mar 16 - Mar 22 2026</t>
        </is>
      </c>
      <c r="B152" s="382" t="n"/>
      <c r="C152" s="394" t="n">
        <v>25373.5</v>
      </c>
      <c r="D152" s="394" t="n"/>
      <c r="E152" s="394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  <c r="O152" s="382" t="n"/>
    </row>
    <row r="153">
      <c r="A153" s="11" t="inlineStr">
        <is>
          <t>Mar 23 - Mar 29 2026</t>
        </is>
      </c>
      <c r="B153" s="382" t="n"/>
      <c r="C153" s="394" t="n">
        <v>18256.37</v>
      </c>
      <c r="D153" s="394" t="n"/>
      <c r="E153" s="394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  <c r="O153" s="382" t="n"/>
    </row>
    <row r="154">
      <c r="A154" s="11" t="inlineStr">
        <is>
          <t>Mar 30 - Apr 05 2026</t>
        </is>
      </c>
      <c r="B154" s="382" t="n"/>
      <c r="C154" s="394" t="n">
        <v>19869.5</v>
      </c>
      <c r="D154" s="394" t="n"/>
      <c r="E154" s="394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  <c r="O154" s="382" t="n"/>
    </row>
    <row r="155">
      <c r="A155" s="2" t="inlineStr">
        <is>
          <t>Apr 06 - Apr 12</t>
        </is>
      </c>
      <c r="B155" s="394" t="n"/>
      <c r="C155" s="394" t="n">
        <v>18326.65</v>
      </c>
      <c r="D155" s="394" t="n"/>
      <c r="E155" s="394" t="n"/>
      <c r="F155" s="382" t="n"/>
      <c r="G155" s="382" t="n"/>
      <c r="H155" s="382" t="n"/>
      <c r="I155" s="382" t="n"/>
      <c r="J155" s="382" t="n"/>
      <c r="K155" s="382" t="n"/>
      <c r="L155" s="382" t="n"/>
      <c r="M155" s="382" t="n"/>
      <c r="N155" s="382" t="n"/>
      <c r="O155" s="382" t="n"/>
    </row>
    <row r="156">
      <c r="A156" s="11" t="inlineStr">
        <is>
          <t>Apr 13 - Apr 19</t>
        </is>
      </c>
      <c r="B156" s="394" t="n"/>
      <c r="C156" s="394" t="n">
        <v>19074.55</v>
      </c>
      <c r="D156" s="394" t="n"/>
      <c r="E156" s="394" t="n"/>
      <c r="F156" s="382" t="n"/>
      <c r="G156" s="382" t="n"/>
      <c r="H156" s="382" t="n"/>
      <c r="I156" s="382" t="n"/>
      <c r="J156" s="382" t="n"/>
      <c r="K156" s="382" t="n"/>
      <c r="L156" s="382" t="n"/>
      <c r="M156" s="382" t="n"/>
      <c r="N156" s="382" t="n"/>
      <c r="O156" s="382" t="n"/>
    </row>
    <row r="157">
      <c r="A157" s="11" t="inlineStr">
        <is>
          <t>Apr 20 - Apr 26</t>
        </is>
      </c>
      <c r="B157" s="394" t="n"/>
      <c r="C157" s="394" t="n">
        <v>20029.68</v>
      </c>
      <c r="D157" s="394" t="n"/>
      <c r="E157" s="394" t="n"/>
      <c r="F157" s="382" t="n"/>
      <c r="G157" s="382" t="n"/>
      <c r="H157" s="382" t="n"/>
      <c r="I157" s="382" t="n"/>
      <c r="J157" s="382" t="n"/>
      <c r="K157" s="382" t="n"/>
      <c r="L157" s="382" t="n"/>
      <c r="M157" s="382" t="n"/>
      <c r="N157" s="382" t="n"/>
      <c r="O157" s="382" t="n"/>
    </row>
    <row r="158">
      <c r="A158" s="394" t="inlineStr">
        <is>
          <t>Apr 27 - May 03</t>
        </is>
      </c>
      <c r="B158" s="394" t="n"/>
      <c r="C158" s="394" t="n">
        <v>18234.87</v>
      </c>
      <c r="D158" s="394" t="n"/>
      <c r="E158" s="394" t="n"/>
      <c r="F158" s="382" t="n"/>
      <c r="G158" s="382" t="n"/>
      <c r="H158" s="382" t="n"/>
      <c r="I158" s="382" t="n"/>
      <c r="J158" s="382" t="n"/>
      <c r="K158" s="382" t="n"/>
      <c r="L158" s="382" t="n"/>
      <c r="M158" s="382" t="n"/>
      <c r="N158" s="382" t="n"/>
      <c r="O158" s="382" t="n"/>
    </row>
    <row r="159">
      <c r="A159" s="471" t="inlineStr">
        <is>
          <t>May 4 - May 10</t>
        </is>
      </c>
      <c r="B159" s="471" t="n"/>
      <c r="C159" s="471" t="n">
        <v>17712.87</v>
      </c>
      <c r="D159" s="394" t="n"/>
      <c r="E159" s="394" t="n"/>
      <c r="F159" s="382" t="n"/>
      <c r="G159" s="382" t="n"/>
      <c r="H159" s="382" t="n"/>
      <c r="I159" s="382" t="n"/>
      <c r="J159" s="382" t="n"/>
      <c r="K159" s="382" t="n"/>
      <c r="L159" s="382" t="n"/>
      <c r="M159" s="382" t="n"/>
      <c r="N159" s="382" t="n"/>
      <c r="O159" s="382" t="n"/>
    </row>
    <row r="160">
      <c r="A160" s="474" t="inlineStr">
        <is>
          <t>May 11 - May 17</t>
        </is>
      </c>
      <c r="B160" s="474" t="n"/>
      <c r="C160" s="474" t="n">
        <v>19413.89</v>
      </c>
      <c r="D160" s="394" t="n"/>
      <c r="E160" s="394" t="n"/>
      <c r="F160" s="382" t="n"/>
      <c r="G160" s="382" t="n"/>
      <c r="H160" s="382" t="n"/>
      <c r="I160" s="382" t="n"/>
      <c r="J160" s="382" t="n"/>
      <c r="K160" s="382" t="n"/>
      <c r="L160" s="382" t="n"/>
      <c r="M160" s="382" t="n"/>
      <c r="N160" s="382" t="n"/>
      <c r="O160" s="382" t="n"/>
    </row>
    <row r="161">
      <c r="A161" s="474" t="inlineStr">
        <is>
          <t>May 18 - May 24</t>
        </is>
      </c>
      <c r="B161" s="474" t="n"/>
      <c r="C161" s="474" t="n">
        <v>18448.88</v>
      </c>
      <c r="D161" s="394" t="n"/>
      <c r="E161" s="394" t="n"/>
      <c r="F161" s="382" t="n"/>
      <c r="G161" s="382" t="n"/>
      <c r="H161" s="382" t="n"/>
      <c r="I161" s="382" t="n"/>
      <c r="J161" s="382" t="n"/>
      <c r="K161" s="382" t="n"/>
      <c r="L161" s="382" t="n"/>
      <c r="M161" s="382" t="n"/>
      <c r="N161" s="382" t="n"/>
      <c r="O161" s="382" t="n"/>
    </row>
    <row r="162">
      <c r="A162" s="382" t="n"/>
      <c r="B162" s="382" t="n"/>
      <c r="C162" s="394" t="n"/>
      <c r="D162" s="394" t="n"/>
      <c r="E162" s="394" t="n"/>
      <c r="F162" s="382" t="n"/>
      <c r="G162" s="382" t="n"/>
      <c r="H162" s="382" t="n"/>
      <c r="I162" s="382" t="n"/>
      <c r="J162" s="382" t="n"/>
      <c r="K162" s="382" t="n"/>
      <c r="L162" s="382" t="n"/>
      <c r="M162" s="382" t="n"/>
      <c r="N162" s="382" t="n"/>
      <c r="O162" s="382" t="n"/>
    </row>
  </sheetData>
  <mergeCells count="3">
    <mergeCell ref="K1:N1"/>
    <mergeCell ref="O1:P1"/>
    <mergeCell ref="I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5"/>
  <sheetViews>
    <sheetView topLeftCell="A83" workbookViewId="0">
      <pane ySplit="7" topLeftCell="A152" activePane="bottomLeft" state="frozen"/>
      <selection activeCell="B83" sqref="B83"/>
      <selection pane="bottomLeft" activeCell="A172" sqref="A172:C172"/>
    </sheetView>
  </sheetViews>
  <sheetFormatPr baseColWidth="8" defaultRowHeight="14.4"/>
  <cols>
    <col width="39.33203125" customWidth="1" min="1" max="1"/>
    <col width="31.33203125" customWidth="1" style="14" min="3" max="3"/>
    <col width="18" customWidth="1" style="14" min="4" max="4"/>
    <col width="20.88671875" customWidth="1" style="14" min="5" max="5"/>
    <col width="18.33203125" customWidth="1" min="6" max="6"/>
    <col width="16.6640625" customWidth="1" min="7" max="7"/>
    <col width="16" customWidth="1" min="8" max="8"/>
    <col width="19.6640625" customWidth="1" min="9" max="9"/>
    <col width="20.44140625" customWidth="1" min="10" max="10"/>
    <col width="15.5546875" customWidth="1" min="11" max="11"/>
    <col width="15.33203125" customWidth="1" min="12" max="12"/>
    <col width="16.44140625" customWidth="1" min="13" max="13"/>
  </cols>
  <sheetData>
    <row r="1" ht="32.4" customHeight="1">
      <c r="A1" s="360" t="inlineStr">
        <is>
          <t>Statement For Selected Period</t>
        </is>
      </c>
      <c r="B1" s="9" t="n"/>
      <c r="C1" s="361" t="inlineStr">
        <is>
          <t>Total Revenue</t>
        </is>
      </c>
      <c r="D1" s="163" t="n"/>
      <c r="E1" s="163" t="n"/>
      <c r="G1" s="360" t="n">
        <v>2021</v>
      </c>
      <c r="H1" s="355" t="n"/>
      <c r="I1" s="360" t="n">
        <v>2022</v>
      </c>
      <c r="J1" s="355" t="n"/>
      <c r="K1" s="361" t="n">
        <v>2023</v>
      </c>
      <c r="L1" s="355" t="n"/>
    </row>
    <row r="2" ht="16.2" customHeight="1">
      <c r="A2" s="360" t="n"/>
      <c r="B2" s="9" t="n"/>
      <c r="C2" s="361" t="n"/>
      <c r="D2" s="163" t="n"/>
      <c r="E2" s="163" t="n"/>
      <c r="G2" s="360" t="n"/>
      <c r="H2" s="1" t="n"/>
      <c r="I2" s="360" t="n"/>
      <c r="J2" s="1" t="n"/>
      <c r="K2" s="361" t="n"/>
      <c r="L2" s="9" t="n"/>
    </row>
    <row r="3" ht="16.2" customHeight="1">
      <c r="A3" s="360" t="n"/>
      <c r="B3" s="9" t="n"/>
      <c r="C3" s="361" t="n"/>
      <c r="D3" s="163" t="n"/>
      <c r="E3" s="163" t="n"/>
      <c r="G3" s="360" t="n"/>
      <c r="H3" s="1" t="n"/>
      <c r="I3" s="360" t="n"/>
      <c r="J3" s="1" t="n"/>
      <c r="K3" s="361" t="n"/>
      <c r="L3" s="9" t="n"/>
    </row>
    <row r="4" ht="16.2" customHeight="1">
      <c r="A4" s="360" t="n"/>
      <c r="B4" s="9" t="n"/>
      <c r="C4" s="361" t="n"/>
      <c r="D4" s="163" t="n"/>
      <c r="E4" s="163" t="n"/>
      <c r="G4" s="360" t="n"/>
      <c r="H4" s="1" t="n"/>
      <c r="I4" s="360" t="n"/>
      <c r="J4" s="1" t="n"/>
      <c r="K4" s="361" t="n"/>
      <c r="L4" s="9" t="n"/>
    </row>
    <row r="5" ht="16.2" customHeight="1">
      <c r="A5" s="360" t="n"/>
      <c r="B5" s="9" t="n"/>
      <c r="C5" s="361" t="n"/>
      <c r="D5" s="163" t="n"/>
      <c r="E5" s="163" t="n"/>
      <c r="G5" s="360" t="n"/>
      <c r="H5" s="1" t="n"/>
      <c r="I5" s="360" t="n"/>
      <c r="J5" s="1" t="n"/>
      <c r="K5" s="361" t="n"/>
      <c r="L5" s="9" t="n"/>
    </row>
    <row r="6" ht="16.2" customHeight="1">
      <c r="A6" s="2" t="inlineStr">
        <is>
          <t>July 3 2023 - Jul 9 2023</t>
        </is>
      </c>
      <c r="B6" s="9" t="n"/>
      <c r="C6" s="361" t="n"/>
      <c r="D6" s="163" t="n"/>
      <c r="E6" s="163" t="n"/>
      <c r="G6" s="360" t="n"/>
      <c r="H6" s="1" t="n"/>
      <c r="I6" s="360" t="n"/>
      <c r="J6" s="1" t="n"/>
      <c r="K6" s="361" t="n"/>
      <c r="L6" s="9" t="n"/>
    </row>
    <row r="7" ht="16.2" customHeight="1">
      <c r="A7" s="2" t="inlineStr">
        <is>
          <t>July 10 2023 - Jul 16 2023</t>
        </is>
      </c>
      <c r="B7" s="9" t="n"/>
      <c r="C7" s="361" t="n"/>
      <c r="D7" s="163" t="n"/>
      <c r="E7" s="163" t="n"/>
      <c r="G7" s="360" t="n"/>
      <c r="H7" s="1" t="n"/>
      <c r="I7" s="360" t="n"/>
      <c r="J7" s="1" t="n"/>
      <c r="K7" s="361" t="n"/>
      <c r="L7" s="9" t="n"/>
    </row>
    <row r="8" ht="16.2" customHeight="1">
      <c r="A8" s="2" t="inlineStr">
        <is>
          <t>July 17 2023 - Jul 23 2023</t>
        </is>
      </c>
      <c r="B8" s="9" t="n"/>
      <c r="C8" s="361" t="n"/>
      <c r="D8" s="163" t="n"/>
      <c r="E8" s="163" t="n"/>
      <c r="G8" s="360" t="n"/>
      <c r="H8" s="1" t="n"/>
      <c r="I8" s="360" t="n"/>
      <c r="J8" s="1" t="n"/>
      <c r="K8" s="361" t="n"/>
      <c r="L8" s="9" t="n"/>
    </row>
    <row r="9" ht="16.2" customHeight="1">
      <c r="A9" s="2" t="inlineStr">
        <is>
          <t>July 24 2023 - Jul 30 2023</t>
        </is>
      </c>
      <c r="B9" s="9" t="n"/>
      <c r="C9" s="361" t="n"/>
      <c r="D9" s="163" t="n"/>
      <c r="E9" s="163" t="n"/>
      <c r="G9" s="360" t="n"/>
      <c r="H9" s="1" t="n"/>
      <c r="I9" s="360" t="n"/>
      <c r="J9" s="1" t="n"/>
      <c r="K9" s="361" t="n"/>
      <c r="L9" s="9" t="n"/>
    </row>
    <row r="10" ht="16.2" customHeight="1">
      <c r="A10" s="2" t="inlineStr">
        <is>
          <t>July 31 2023 - Aug 6 2023</t>
        </is>
      </c>
      <c r="B10" s="9" t="n"/>
      <c r="C10" s="361" t="n"/>
      <c r="D10" s="163" t="n"/>
      <c r="E10" s="163" t="n"/>
      <c r="G10" s="360" t="n"/>
      <c r="H10" s="1" t="n"/>
      <c r="I10" s="360" t="n"/>
      <c r="J10" s="1" t="n"/>
      <c r="K10" s="361" t="n"/>
      <c r="L10" s="9" t="n"/>
    </row>
    <row r="11" ht="16.2" customHeight="1">
      <c r="A11" s="2" t="inlineStr">
        <is>
          <t>Aug 7 2023 - Aug 13 2023</t>
        </is>
      </c>
      <c r="B11" s="9" t="n"/>
      <c r="C11" s="361" t="n"/>
      <c r="D11" s="163" t="n"/>
      <c r="E11" s="163" t="n"/>
      <c r="G11" s="360" t="n"/>
      <c r="H11" s="1" t="n"/>
      <c r="I11" s="360" t="n"/>
      <c r="J11" s="1" t="n"/>
      <c r="K11" s="361" t="n"/>
      <c r="L11" s="9" t="n"/>
    </row>
    <row r="12" ht="16.2" customHeight="1">
      <c r="A12" s="2" t="inlineStr">
        <is>
          <t>Aug 14 2023 - Aug 20 2023</t>
        </is>
      </c>
      <c r="B12" s="9" t="n"/>
      <c r="C12" s="361" t="n"/>
      <c r="D12" s="163" t="n"/>
      <c r="E12" s="163" t="n"/>
      <c r="G12" s="360" t="n"/>
      <c r="H12" s="1" t="n"/>
      <c r="I12" s="360" t="n"/>
      <c r="J12" s="1" t="n"/>
      <c r="K12" s="361" t="n"/>
      <c r="L12" s="9" t="n"/>
    </row>
    <row r="13" ht="16.2" customHeight="1">
      <c r="A13" s="2" t="inlineStr">
        <is>
          <t>Aug 21 2023 - Aug 27 2023</t>
        </is>
      </c>
      <c r="B13" s="9" t="n"/>
      <c r="C13" s="361" t="n"/>
      <c r="D13" s="163" t="n"/>
      <c r="E13" s="163" t="n"/>
      <c r="G13" s="360" t="n"/>
      <c r="H13" s="1" t="n"/>
      <c r="I13" s="360" t="n"/>
      <c r="J13" s="1" t="n"/>
      <c r="K13" s="361" t="n"/>
      <c r="L13" s="9" t="n"/>
    </row>
    <row r="14">
      <c r="A14" s="2" t="inlineStr">
        <is>
          <t>August 28 2023 - September 3 2023</t>
        </is>
      </c>
      <c r="B14" s="9" t="n"/>
      <c r="C14" s="16" t="n"/>
      <c r="D14" s="229" t="n"/>
      <c r="E14" s="229" t="n"/>
      <c r="G14" s="2" t="inlineStr">
        <is>
          <t>January</t>
        </is>
      </c>
      <c r="H14" s="1" t="n"/>
      <c r="I14" s="2" t="inlineStr">
        <is>
          <t>January</t>
        </is>
      </c>
      <c r="J14" s="455" t="n"/>
      <c r="K14" s="2" t="inlineStr">
        <is>
          <t>January</t>
        </is>
      </c>
      <c r="L14" s="455" t="n"/>
    </row>
    <row r="15" ht="27.6" customHeight="1">
      <c r="A15" s="2" t="inlineStr">
        <is>
          <t>September 4 2023 - September 10 2023</t>
        </is>
      </c>
      <c r="B15" s="11" t="n"/>
      <c r="C15" s="16" t="n">
        <v>35828.04</v>
      </c>
      <c r="D15" s="229" t="n"/>
      <c r="E15" s="229" t="n"/>
      <c r="G15" s="2" t="inlineStr">
        <is>
          <t>February</t>
        </is>
      </c>
      <c r="H15" s="1" t="n"/>
      <c r="I15" s="2" t="inlineStr">
        <is>
          <t>February</t>
        </is>
      </c>
      <c r="J15" s="455" t="n"/>
      <c r="K15" s="2" t="inlineStr">
        <is>
          <t>February</t>
        </is>
      </c>
      <c r="L15" s="455" t="n"/>
    </row>
    <row r="16" ht="27.6" customHeight="1">
      <c r="A16" s="2" t="inlineStr">
        <is>
          <t>September 11 2023 - September 17 2023</t>
        </is>
      </c>
      <c r="B16" s="9" t="n"/>
      <c r="C16" s="16" t="n">
        <v>32800.14</v>
      </c>
      <c r="D16" s="229" t="n"/>
      <c r="E16" s="229" t="n"/>
      <c r="G16" s="2" t="inlineStr">
        <is>
          <t>March</t>
        </is>
      </c>
      <c r="H16" s="1" t="n"/>
      <c r="I16" s="2" t="inlineStr">
        <is>
          <t>March</t>
        </is>
      </c>
      <c r="J16" s="455" t="n"/>
      <c r="K16" s="2" t="inlineStr">
        <is>
          <t>March</t>
        </is>
      </c>
      <c r="L16" s="455" t="n"/>
    </row>
    <row r="17" ht="27.6" customHeight="1">
      <c r="A17" s="2" t="inlineStr">
        <is>
          <t>September 18 2023 - September 24 2023</t>
        </is>
      </c>
      <c r="B17" s="9" t="n"/>
      <c r="C17" s="25" t="n">
        <v>32570.58</v>
      </c>
      <c r="D17" s="231" t="n"/>
      <c r="E17" s="231" t="n"/>
      <c r="G17" s="2" t="inlineStr">
        <is>
          <t>April</t>
        </is>
      </c>
      <c r="H17" s="1" t="n"/>
      <c r="I17" s="2" t="inlineStr">
        <is>
          <t>April</t>
        </is>
      </c>
      <c r="J17" s="455" t="n"/>
      <c r="K17" s="2" t="inlineStr">
        <is>
          <t>April</t>
        </is>
      </c>
      <c r="L17" s="455" t="n"/>
    </row>
    <row r="18">
      <c r="A18" s="2" t="inlineStr">
        <is>
          <t>September 25 2023 - October 1 2023</t>
        </is>
      </c>
      <c r="B18" s="9" t="n"/>
      <c r="C18" s="16" t="n">
        <v>31003.05</v>
      </c>
      <c r="D18" s="229" t="n"/>
      <c r="E18" s="229" t="n"/>
      <c r="G18" s="2" t="inlineStr">
        <is>
          <t>May</t>
        </is>
      </c>
      <c r="H18" s="1" t="n"/>
      <c r="I18" s="2" t="inlineStr">
        <is>
          <t>May</t>
        </is>
      </c>
      <c r="J18" s="455" t="n"/>
      <c r="K18" s="2" t="inlineStr">
        <is>
          <t>May</t>
        </is>
      </c>
      <c r="L18" s="455" t="n"/>
    </row>
    <row r="19">
      <c r="A19" s="2" t="inlineStr">
        <is>
          <t>October 2 2023 - October 8 2023</t>
        </is>
      </c>
      <c r="B19" s="9" t="n"/>
      <c r="C19" s="16" t="n">
        <v>33502.67</v>
      </c>
      <c r="D19" s="229" t="n"/>
      <c r="E19" s="229" t="n"/>
      <c r="G19" s="2" t="inlineStr">
        <is>
          <t>June</t>
        </is>
      </c>
      <c r="H19" s="1" t="n"/>
      <c r="I19" s="2" t="inlineStr">
        <is>
          <t>June</t>
        </is>
      </c>
      <c r="J19" s="455" t="n"/>
      <c r="K19" s="2" t="inlineStr">
        <is>
          <t>June</t>
        </is>
      </c>
      <c r="L19" s="455" t="n"/>
    </row>
    <row r="20">
      <c r="A20" s="2" t="inlineStr">
        <is>
          <t>October 9 2023 - October 15 2023</t>
        </is>
      </c>
      <c r="B20" s="9" t="n"/>
      <c r="C20" s="16" t="n">
        <v>33884.25</v>
      </c>
      <c r="D20" s="229" t="n"/>
      <c r="E20" s="229" t="n"/>
      <c r="G20" s="2" t="inlineStr">
        <is>
          <t>July</t>
        </is>
      </c>
      <c r="H20" s="455" t="n"/>
      <c r="I20" s="2" t="inlineStr">
        <is>
          <t>July</t>
        </is>
      </c>
      <c r="J20" s="455" t="n"/>
      <c r="K20" s="2" t="inlineStr">
        <is>
          <t>July</t>
        </is>
      </c>
      <c r="L20" s="455" t="n"/>
    </row>
    <row r="21">
      <c r="A21" s="2" t="inlineStr">
        <is>
          <t>October 16 2023 - October 22 2023</t>
        </is>
      </c>
      <c r="B21" s="9" t="n"/>
      <c r="C21" s="16" t="n">
        <v>32268.41</v>
      </c>
      <c r="D21" s="229" t="n"/>
      <c r="E21" s="229" t="n"/>
      <c r="G21" s="2" t="inlineStr">
        <is>
          <t>August</t>
        </is>
      </c>
      <c r="H21" s="455" t="n"/>
      <c r="I21" s="2" t="inlineStr">
        <is>
          <t>August</t>
        </is>
      </c>
      <c r="J21" s="455" t="n"/>
      <c r="K21" s="2" t="inlineStr">
        <is>
          <t>August</t>
        </is>
      </c>
      <c r="L21" s="455" t="n"/>
    </row>
    <row r="22">
      <c r="A22" s="2" t="inlineStr">
        <is>
          <t>October 23 2023 - October 29 2023</t>
        </is>
      </c>
      <c r="B22" s="9" t="n"/>
      <c r="C22" s="16" t="n">
        <v>30896.17</v>
      </c>
      <c r="D22" s="229" t="n"/>
      <c r="E22" s="229" t="n"/>
      <c r="G22" s="2" t="inlineStr">
        <is>
          <t>September</t>
        </is>
      </c>
      <c r="H22" s="455" t="n"/>
      <c r="I22" s="2" t="inlineStr">
        <is>
          <t>September</t>
        </is>
      </c>
      <c r="J22" s="455" t="n"/>
      <c r="K22" s="2" t="inlineStr">
        <is>
          <t>September</t>
        </is>
      </c>
      <c r="L22" s="455" t="n"/>
    </row>
    <row r="23">
      <c r="A23" s="2" t="inlineStr">
        <is>
          <t>October 30 2023 - November 5 2023</t>
        </is>
      </c>
      <c r="B23" s="9" t="n"/>
      <c r="C23" s="16" t="n">
        <v>32576.91</v>
      </c>
      <c r="D23" s="229" t="n"/>
      <c r="E23" s="229" t="n"/>
      <c r="G23" s="2" t="inlineStr">
        <is>
          <t>October</t>
        </is>
      </c>
      <c r="H23" s="455" t="n"/>
      <c r="I23" s="2" t="inlineStr">
        <is>
          <t>October</t>
        </is>
      </c>
      <c r="J23" s="455" t="n"/>
      <c r="K23" s="2" t="inlineStr">
        <is>
          <t>October</t>
        </is>
      </c>
      <c r="L23" s="455" t="n"/>
    </row>
    <row r="24" ht="27.6" customHeight="1">
      <c r="A24" s="2" t="inlineStr">
        <is>
          <t>November 6 2023 - November 12 2023</t>
        </is>
      </c>
      <c r="B24" s="9" t="n"/>
      <c r="C24" s="16" t="n">
        <v>33068.93</v>
      </c>
      <c r="D24" s="229" t="n"/>
      <c r="E24" s="229" t="n"/>
      <c r="G24" s="2" t="inlineStr">
        <is>
          <t>November</t>
        </is>
      </c>
      <c r="H24" s="455" t="n"/>
      <c r="I24" s="2" t="inlineStr">
        <is>
          <t>November</t>
        </is>
      </c>
      <c r="J24" s="455" t="n"/>
      <c r="K24" s="2" t="inlineStr">
        <is>
          <t>November</t>
        </is>
      </c>
      <c r="L24" s="1" t="n"/>
    </row>
    <row r="25" ht="27.6" customHeight="1">
      <c r="A25" s="2" t="inlineStr">
        <is>
          <t>November 13 2023 - November 19 2023</t>
        </is>
      </c>
      <c r="B25" s="9" t="n"/>
      <c r="C25" s="16" t="n">
        <v>31608.72</v>
      </c>
      <c r="D25" s="229" t="n"/>
      <c r="E25" s="229" t="n"/>
      <c r="G25" s="2" t="inlineStr">
        <is>
          <t>December</t>
        </is>
      </c>
      <c r="H25" s="455" t="n"/>
      <c r="I25" s="2" t="inlineStr">
        <is>
          <t>December</t>
        </is>
      </c>
      <c r="J25" s="455" t="n"/>
      <c r="K25" s="2" t="inlineStr">
        <is>
          <t>December</t>
        </is>
      </c>
      <c r="L25" s="1" t="n"/>
    </row>
    <row r="26" ht="27.6" customHeight="1">
      <c r="A26" s="2" t="inlineStr">
        <is>
          <t>November 20 2023 - November 26 2023</t>
        </is>
      </c>
      <c r="B26" s="9" t="n"/>
      <c r="C26" s="16" t="n">
        <v>33190.03</v>
      </c>
      <c r="D26" s="229" t="n"/>
      <c r="E26" s="229" t="n"/>
    </row>
    <row r="27" ht="27.6" customHeight="1">
      <c r="A27" s="2" t="inlineStr">
        <is>
          <t>November 27 2023 - December 03 2024</t>
        </is>
      </c>
      <c r="B27" s="9" t="n"/>
      <c r="C27" s="16" t="n">
        <v>28202.06</v>
      </c>
      <c r="D27" s="229" t="n"/>
      <c r="E27" s="229" t="n"/>
    </row>
    <row r="28" ht="27.6" customHeight="1">
      <c r="A28" s="2" t="inlineStr">
        <is>
          <t>December 04 2023 - December 10 2024</t>
        </is>
      </c>
      <c r="B28" s="9" t="n"/>
      <c r="C28" s="16" t="n">
        <v>27415.28</v>
      </c>
      <c r="D28" s="229" t="n"/>
      <c r="E28" s="229" t="n"/>
    </row>
    <row r="29" ht="27.6" customHeight="1">
      <c r="A29" s="2" t="inlineStr">
        <is>
          <t>December 11 2023 - December 17 2024</t>
        </is>
      </c>
      <c r="B29" s="9" t="n"/>
      <c r="C29" s="16" t="n">
        <v>27243.43</v>
      </c>
      <c r="D29" s="229" t="n"/>
      <c r="E29" s="229" t="n"/>
    </row>
    <row r="30" ht="27.6" customHeight="1">
      <c r="A30" s="2" t="inlineStr">
        <is>
          <t>December 18 2023 - December 24 2024</t>
        </is>
      </c>
      <c r="B30" s="9" t="n"/>
      <c r="C30" s="16" t="n">
        <v>32192.08</v>
      </c>
      <c r="D30" s="229" t="n"/>
      <c r="E30" s="229" t="n"/>
    </row>
    <row r="31" ht="27.6" customHeight="1">
      <c r="A31" s="2" t="inlineStr">
        <is>
          <t>December 25 2023 - December 31 2024</t>
        </is>
      </c>
      <c r="B31" s="9" t="n"/>
      <c r="C31" s="16" t="n">
        <v>49259.55</v>
      </c>
      <c r="D31" s="229" t="n"/>
      <c r="E31" s="229" t="n"/>
    </row>
    <row r="32">
      <c r="A32" s="2" t="inlineStr">
        <is>
          <t>Jan 1 - Jan 07 2024</t>
        </is>
      </c>
      <c r="B32" s="9" t="n"/>
      <c r="C32" s="17" t="n">
        <v>34128.44</v>
      </c>
      <c r="D32" s="232" t="n"/>
      <c r="E32" s="232" t="n"/>
    </row>
    <row r="33">
      <c r="A33" s="2" t="inlineStr">
        <is>
          <t>Jan 8 - Jan 14 2024</t>
        </is>
      </c>
      <c r="B33" s="9" t="n"/>
      <c r="C33" s="17" t="n">
        <v>24621.42</v>
      </c>
      <c r="D33" s="232" t="n"/>
      <c r="E33" s="232" t="n"/>
    </row>
    <row r="34">
      <c r="A34" s="2" t="inlineStr">
        <is>
          <t>Jan 15 - Jan 21 2024</t>
        </is>
      </c>
      <c r="B34" s="9" t="n"/>
      <c r="C34" s="17" t="n">
        <v>26885.29</v>
      </c>
      <c r="D34" s="232" t="n"/>
      <c r="E34" s="232" t="n"/>
    </row>
    <row r="35">
      <c r="A35" s="2" t="inlineStr">
        <is>
          <t>Jan 8 - Jan 14 2024</t>
        </is>
      </c>
      <c r="B35" s="9" t="n"/>
      <c r="C35" s="17" t="n">
        <v>24621.42</v>
      </c>
      <c r="D35" s="232" t="n"/>
      <c r="E35" s="232" t="n"/>
    </row>
    <row r="36">
      <c r="A36" s="2" t="inlineStr">
        <is>
          <t>Jan 15 - Jan 21 2024</t>
        </is>
      </c>
      <c r="B36" s="9" t="n"/>
      <c r="C36" s="17" t="n">
        <v>26885.29</v>
      </c>
      <c r="D36" s="232" t="n"/>
      <c r="E36" s="232" t="n"/>
    </row>
    <row r="37">
      <c r="A37" s="2" t="inlineStr">
        <is>
          <t>Jan 22 - Jan 28 2025</t>
        </is>
      </c>
      <c r="B37" s="9" t="n"/>
      <c r="C37" s="17" t="n">
        <v>26012.71</v>
      </c>
      <c r="D37" s="232" t="n"/>
      <c r="E37" s="232" t="n"/>
    </row>
    <row r="38">
      <c r="A38" s="27" t="inlineStr">
        <is>
          <t>Jan 29 - Feb 04 2026</t>
        </is>
      </c>
      <c r="B38" s="29" t="n"/>
      <c r="C38" s="28" t="n">
        <v>28448.32</v>
      </c>
      <c r="D38" s="232" t="n"/>
      <c r="E38" s="232" t="n"/>
      <c r="J38" t="inlineStr">
        <is>
          <t>Food ordering review</t>
        </is>
      </c>
    </row>
    <row r="39">
      <c r="A39" s="30" t="inlineStr">
        <is>
          <t>Feb 05 - Feb 11 2026</t>
        </is>
      </c>
      <c r="B39" s="43" t="n"/>
      <c r="C39" s="44" t="n">
        <v>27376.4</v>
      </c>
      <c r="D39" s="236" t="n"/>
      <c r="E39" s="236" t="n"/>
      <c r="J39" t="inlineStr">
        <is>
          <t>scheduling</t>
        </is>
      </c>
    </row>
    <row r="40">
      <c r="A40" s="2" t="inlineStr">
        <is>
          <t>Feb 12 - Feb 18 2024</t>
        </is>
      </c>
      <c r="B40" s="9" t="n"/>
      <c r="C40" s="25" t="n">
        <v>29073.36</v>
      </c>
      <c r="D40" s="231" t="n"/>
      <c r="E40" s="231" t="n"/>
      <c r="J40" t="inlineStr">
        <is>
          <t>store 1 hr both stores</t>
        </is>
      </c>
    </row>
    <row r="41">
      <c r="A41" s="2" t="inlineStr">
        <is>
          <t>Feb 19 - Feb 25 2024</t>
        </is>
      </c>
      <c r="B41" s="43" t="n"/>
      <c r="C41" s="17" t="n">
        <v>30876.28</v>
      </c>
      <c r="D41" s="232" t="n"/>
      <c r="E41" s="232" t="n"/>
    </row>
    <row r="42">
      <c r="A42" s="45" t="inlineStr">
        <is>
          <t>Feb 26 - Mar 03, 2024</t>
        </is>
      </c>
      <c r="B42" s="43" t="n"/>
      <c r="C42" s="17" t="n">
        <v>26034.34</v>
      </c>
      <c r="D42" s="232" t="n"/>
      <c r="E42" s="232" t="n"/>
    </row>
    <row r="43">
      <c r="A43" s="46" t="inlineStr">
        <is>
          <t>Mar 04 - Mar 10, 2024</t>
        </is>
      </c>
      <c r="B43" s="42" t="n"/>
      <c r="C43" s="28" t="n">
        <v>28154.72</v>
      </c>
      <c r="D43" s="232" t="n"/>
      <c r="E43" s="232" t="n"/>
    </row>
    <row r="44">
      <c r="A44" s="46" t="inlineStr">
        <is>
          <t>Mar 11 - Mar 17, 2024</t>
        </is>
      </c>
      <c r="B44" s="47" t="n"/>
      <c r="C44" s="28" t="n">
        <v>22169.44</v>
      </c>
      <c r="D44" s="232" t="n"/>
      <c r="E44" s="232" t="n"/>
    </row>
    <row r="45">
      <c r="A45" s="45" t="inlineStr">
        <is>
          <t>Mar 18 - Mar 25, 2024</t>
        </is>
      </c>
      <c r="B45" s="43" t="n"/>
      <c r="C45" s="28" t="n">
        <v>24820.86</v>
      </c>
      <c r="D45" s="232" t="n"/>
      <c r="E45" s="232" t="n"/>
    </row>
    <row r="46">
      <c r="A46" s="45" t="inlineStr">
        <is>
          <t>Mar 25 - Mar 31, 2024</t>
        </is>
      </c>
      <c r="B46" s="49" t="n"/>
      <c r="C46" s="17" t="n">
        <v>32002.13</v>
      </c>
      <c r="D46" s="232" t="n"/>
      <c r="E46" s="232" t="n"/>
    </row>
    <row r="47">
      <c r="A47" s="2" t="inlineStr">
        <is>
          <t>Apr 1 - Apr 07 2024</t>
        </is>
      </c>
      <c r="B47" s="49" t="n"/>
      <c r="C47" s="17" t="n">
        <v>32249.46</v>
      </c>
      <c r="D47" s="232" t="n"/>
      <c r="E47" s="232" t="n"/>
    </row>
    <row r="48">
      <c r="A48" s="27" t="inlineStr">
        <is>
          <t>Apr 8 - Apr 14 2024</t>
        </is>
      </c>
      <c r="B48" s="51" t="n"/>
      <c r="C48" s="28" t="n">
        <v>45132.97</v>
      </c>
      <c r="D48" s="232" t="n"/>
      <c r="E48" s="232" t="n"/>
    </row>
    <row r="49">
      <c r="A49" s="27" t="inlineStr">
        <is>
          <t>Apr 15 - Apr 21 2024</t>
        </is>
      </c>
      <c r="B49" s="47" t="n"/>
      <c r="C49" s="28" t="n">
        <v>32389.88</v>
      </c>
      <c r="D49" s="232" t="n"/>
      <c r="E49" s="232" t="n"/>
    </row>
    <row r="50">
      <c r="A50" s="27" t="inlineStr">
        <is>
          <t>Apr 22 - Apr 28 2024</t>
        </is>
      </c>
      <c r="B50" s="47" t="n"/>
      <c r="C50" s="28" t="n">
        <v>34518.73</v>
      </c>
      <c r="D50" s="232" t="n"/>
      <c r="E50" s="232" t="n"/>
    </row>
    <row r="51">
      <c r="A51" s="27" t="inlineStr">
        <is>
          <t>Apr 29 - May 5 2024</t>
        </is>
      </c>
      <c r="B51" s="47" t="n"/>
      <c r="C51" s="28" t="n">
        <v>31821.27</v>
      </c>
      <c r="D51" s="232" t="n"/>
      <c r="E51" s="232" t="n"/>
    </row>
    <row r="52">
      <c r="A52" s="27" t="inlineStr">
        <is>
          <t>May 6 - May 12 2024</t>
        </is>
      </c>
      <c r="B52" s="47" t="n"/>
      <c r="C52" s="28" t="n">
        <v>32125.16</v>
      </c>
      <c r="D52" s="232" t="n"/>
      <c r="E52" s="232" t="n"/>
    </row>
    <row r="53">
      <c r="A53" s="27" t="inlineStr">
        <is>
          <t>May 13 - May 19 2024</t>
        </is>
      </c>
      <c r="B53" s="47" t="n"/>
      <c r="C53" s="28" t="n">
        <v>34879.17</v>
      </c>
      <c r="D53" s="232" t="n"/>
      <c r="E53" s="232" t="n"/>
    </row>
    <row r="54">
      <c r="A54" s="27" t="inlineStr">
        <is>
          <t>May 20 - May 26 2024</t>
        </is>
      </c>
      <c r="B54" s="47" t="n"/>
      <c r="C54" s="28" t="n">
        <v>34126.61</v>
      </c>
      <c r="D54" s="232" t="n"/>
      <c r="E54" s="232" t="n"/>
    </row>
    <row r="55">
      <c r="A55" s="2" t="inlineStr">
        <is>
          <t>May 27 - Jun 02 2024</t>
        </is>
      </c>
      <c r="B55" s="9" t="n"/>
      <c r="C55" s="28" t="n">
        <v>31871.74</v>
      </c>
      <c r="D55" s="232" t="n"/>
      <c r="E55" s="232" t="n"/>
    </row>
    <row r="56">
      <c r="A56" s="2" t="inlineStr">
        <is>
          <t>Jun 03 - Jun 09 2024</t>
        </is>
      </c>
      <c r="B56" s="39" t="n"/>
      <c r="C56" s="17" t="n">
        <v>31708.21</v>
      </c>
      <c r="D56" s="232" t="n"/>
      <c r="E56" s="232" t="n"/>
    </row>
    <row r="57">
      <c r="A57" s="2" t="inlineStr">
        <is>
          <t>Jun 10 - Jun 16 2024</t>
        </is>
      </c>
      <c r="B57" s="39" t="n"/>
      <c r="C57" s="17" t="n">
        <v>30670.78</v>
      </c>
      <c r="D57" s="232" t="n"/>
      <c r="E57" s="232" t="n"/>
    </row>
    <row r="58">
      <c r="A58" s="27" t="inlineStr">
        <is>
          <t>Jun 17 - Jun 23 2024</t>
        </is>
      </c>
      <c r="B58" s="54" t="n"/>
      <c r="C58" s="28" t="n">
        <v>36711.81</v>
      </c>
      <c r="D58" s="232" t="n"/>
      <c r="E58" s="232" t="n"/>
    </row>
    <row r="59">
      <c r="A59" s="27" t="inlineStr">
        <is>
          <t>Jun 24 - Jun 30 2024</t>
        </is>
      </c>
      <c r="B59" s="42" t="n"/>
      <c r="C59" s="28" t="n">
        <v>38638.77</v>
      </c>
      <c r="D59" s="232" t="n"/>
      <c r="E59" s="232" t="n"/>
    </row>
    <row r="60">
      <c r="A60" s="2" t="inlineStr">
        <is>
          <t>Jul 1 - Jul 7 2024</t>
        </is>
      </c>
      <c r="B60" s="9" t="n"/>
      <c r="C60" s="17" t="n">
        <v>40476.18</v>
      </c>
      <c r="D60" s="232" t="n"/>
      <c r="E60" s="232" t="n"/>
    </row>
    <row r="61">
      <c r="A61" s="27" t="inlineStr">
        <is>
          <t>Jul 8 - Jul 14 2024</t>
        </is>
      </c>
      <c r="B61" s="42" t="n"/>
      <c r="C61" s="28" t="n">
        <v>34898.84</v>
      </c>
      <c r="D61" s="232" t="n"/>
      <c r="E61" s="232" t="n"/>
    </row>
    <row r="62">
      <c r="A62" s="27" t="inlineStr">
        <is>
          <t>Jul 15 - Jul 21 2024</t>
        </is>
      </c>
      <c r="B62" s="42" t="n"/>
      <c r="C62" s="28" t="n">
        <v>34026.17</v>
      </c>
      <c r="D62" s="232" t="n"/>
      <c r="E62" s="232" t="n"/>
    </row>
    <row r="63">
      <c r="A63" s="2" t="inlineStr">
        <is>
          <t>Jul 22 - Jul 28 2024</t>
        </is>
      </c>
      <c r="B63" s="56" t="n"/>
      <c r="C63" s="116" t="n">
        <v>37896.93</v>
      </c>
      <c r="D63" s="237" t="n"/>
      <c r="E63" s="237" t="n"/>
    </row>
    <row r="64">
      <c r="A64" s="2" t="inlineStr">
        <is>
          <t>Jul 29 - Aug 04 2024</t>
        </is>
      </c>
      <c r="B64" s="56" t="n"/>
      <c r="C64" s="116" t="n">
        <v>38932.96</v>
      </c>
      <c r="D64" s="237" t="n"/>
      <c r="E64" s="237" t="n"/>
    </row>
    <row r="65">
      <c r="A65" s="2" t="inlineStr">
        <is>
          <t>Aug 05 - Aug 11 2024</t>
        </is>
      </c>
      <c r="B65" s="56" t="n"/>
      <c r="C65" s="116" t="n">
        <v>38041.78</v>
      </c>
      <c r="D65" s="237" t="n"/>
      <c r="E65" s="237" t="n"/>
    </row>
    <row r="66">
      <c r="A66" s="2" t="inlineStr">
        <is>
          <t>Aug 12 - Aug 18 2024</t>
        </is>
      </c>
      <c r="B66" s="45" t="n"/>
      <c r="C66" s="117" t="n">
        <v>41130.92</v>
      </c>
      <c r="D66" s="238" t="n"/>
      <c r="E66" s="238" t="n"/>
    </row>
    <row r="67">
      <c r="A67" s="2" t="inlineStr">
        <is>
          <t>Aug 19 - Aug 25 2024</t>
        </is>
      </c>
      <c r="B67" s="45" t="n"/>
      <c r="C67" s="116" t="n">
        <v>34814.31</v>
      </c>
      <c r="D67" s="237" t="n"/>
      <c r="E67" s="237" t="n"/>
    </row>
    <row r="68">
      <c r="A68" s="2" t="inlineStr">
        <is>
          <t>Aug 26 - Sep 01 2024</t>
        </is>
      </c>
      <c r="B68" s="45" t="n"/>
      <c r="C68" s="116" t="n">
        <v>36645.64</v>
      </c>
      <c r="D68" s="237" t="n"/>
      <c r="E68" s="237" t="n"/>
    </row>
    <row r="69">
      <c r="A69" s="2" t="inlineStr">
        <is>
          <t>Sep 02 - Sep 08 2024</t>
        </is>
      </c>
      <c r="B69" s="45" t="n"/>
      <c r="C69" s="116" t="n">
        <v>31478.01</v>
      </c>
      <c r="D69" s="237" t="n"/>
      <c r="E69" s="237" t="n"/>
    </row>
    <row r="70">
      <c r="A70" s="2" t="inlineStr">
        <is>
          <t>Sep 09 - Sep 15 2024</t>
        </is>
      </c>
      <c r="B70" s="45" t="n"/>
      <c r="C70" s="116" t="n">
        <v>26888.35</v>
      </c>
      <c r="D70" s="237" t="n"/>
      <c r="E70" s="237" t="n"/>
    </row>
    <row r="71">
      <c r="A71" s="2" t="inlineStr">
        <is>
          <t>Sep 16 - Sep 22 2024</t>
        </is>
      </c>
      <c r="B71" s="45" t="n"/>
      <c r="C71" s="116" t="n">
        <v>30278.68</v>
      </c>
      <c r="D71" s="237" t="n"/>
      <c r="E71" s="237" t="n"/>
    </row>
    <row r="72">
      <c r="A72" s="2" t="inlineStr">
        <is>
          <t>Sep 23 - Sep 29 2024</t>
        </is>
      </c>
      <c r="B72" s="45" t="n"/>
      <c r="C72" s="116" t="n">
        <v>30055.1</v>
      </c>
      <c r="D72" s="237" t="n"/>
      <c r="E72" s="237" t="n"/>
    </row>
    <row r="73">
      <c r="A73" s="2" t="inlineStr">
        <is>
          <t>Sep 30 - Oct 06 2024</t>
        </is>
      </c>
      <c r="B73" s="45" t="n"/>
      <c r="C73" s="116" t="n">
        <v>31501.73</v>
      </c>
      <c r="D73" s="237" t="n"/>
      <c r="E73" s="237" t="n"/>
    </row>
    <row r="74">
      <c r="A74" s="2" t="inlineStr">
        <is>
          <t>Oct 07 - Oct 13 2024</t>
        </is>
      </c>
      <c r="B74" s="45" t="n"/>
      <c r="C74" s="116" t="n">
        <v>33965.2</v>
      </c>
      <c r="D74" s="237" t="n"/>
      <c r="E74" s="237" t="n"/>
    </row>
    <row r="75">
      <c r="A75" s="2" t="inlineStr">
        <is>
          <t>Oct 14 - Oct 20 2024</t>
        </is>
      </c>
      <c r="B75" s="45" t="n"/>
      <c r="C75" s="116" t="n">
        <v>32448.23</v>
      </c>
      <c r="D75" s="237" t="n"/>
      <c r="E75" s="237" t="n"/>
    </row>
    <row r="76">
      <c r="A76" s="2" t="inlineStr">
        <is>
          <t>Oct 21 - Oct 27 2024</t>
        </is>
      </c>
      <c r="B76" s="45" t="n"/>
      <c r="C76" s="116" t="n">
        <v>29376.34</v>
      </c>
      <c r="D76" s="237" t="n"/>
      <c r="E76" s="237" t="n"/>
    </row>
    <row r="77">
      <c r="A77" s="2" t="inlineStr">
        <is>
          <t>Oct 28 - Nov 03 2024</t>
        </is>
      </c>
      <c r="B77" s="45" t="n"/>
      <c r="C77" s="116" t="n">
        <v>29973.76</v>
      </c>
      <c r="D77" s="237" t="n"/>
      <c r="E77" s="237" t="n"/>
    </row>
    <row r="78" ht="15" customHeight="1" thickBot="1">
      <c r="A78" s="2" t="inlineStr">
        <is>
          <t>Nov 4 - Nov 10 2024</t>
        </is>
      </c>
      <c r="B78" s="45" t="n"/>
      <c r="C78" s="116" t="n">
        <v>27240.48</v>
      </c>
      <c r="D78" s="237" t="n"/>
      <c r="E78" s="237" t="n"/>
    </row>
    <row r="79" ht="18" customHeight="1" thickBot="1">
      <c r="A79" s="2" t="inlineStr">
        <is>
          <t>Nov 11 - Nov 17 2024</t>
        </is>
      </c>
      <c r="B79" s="45" t="n"/>
      <c r="C79" s="389">
        <f>SUM(29641.7+983.71)</f>
        <v/>
      </c>
      <c r="D79" s="457" t="n"/>
      <c r="E79" s="457" t="n"/>
      <c r="G79" s="121" t="n"/>
      <c r="H79" s="133" t="n"/>
      <c r="I79" s="459" t="n"/>
      <c r="J79" s="125" t="n"/>
    </row>
    <row r="80" ht="18" customHeight="1" thickBot="1">
      <c r="A80" s="2" t="inlineStr">
        <is>
          <t>Nov 18 - Nov 24 2024</t>
        </is>
      </c>
      <c r="B80" s="45" t="n"/>
      <c r="C80" s="389" t="n">
        <v>28602.95</v>
      </c>
      <c r="D80" s="457" t="n"/>
      <c r="E80" s="457" t="n"/>
      <c r="G80" s="126" t="n"/>
      <c r="H80" s="133" t="n"/>
      <c r="I80" s="459" t="n"/>
      <c r="J80" s="475" t="n"/>
    </row>
    <row r="81" ht="18" customHeight="1" thickBot="1">
      <c r="A81" s="2" t="inlineStr">
        <is>
          <t>Nov 25 - Dec 01 2024</t>
        </is>
      </c>
      <c r="B81" s="45" t="n"/>
      <c r="C81" s="389" t="n">
        <v>31488.13</v>
      </c>
      <c r="D81" s="457" t="n"/>
      <c r="E81" s="457" t="n"/>
      <c r="G81" s="129" t="n"/>
      <c r="H81" s="133" t="n"/>
      <c r="I81" s="459" t="n"/>
      <c r="J81" s="476" t="n"/>
    </row>
    <row r="82" ht="18" customHeight="1" thickBot="1">
      <c r="A82" s="2" t="inlineStr">
        <is>
          <t>Dec 02 - Dec 08 2024</t>
        </is>
      </c>
      <c r="B82" s="45" t="n"/>
      <c r="C82" s="389" t="n">
        <v>24652.04</v>
      </c>
      <c r="D82" s="457" t="n"/>
      <c r="E82" s="457" t="n"/>
      <c r="I82" s="460" t="n"/>
      <c r="J82" s="477" t="n"/>
    </row>
    <row r="83">
      <c r="A83" s="2" t="inlineStr">
        <is>
          <t>Dec 09 - Dec 15 2024</t>
        </is>
      </c>
      <c r="B83" s="45" t="n"/>
      <c r="C83" s="389" t="n">
        <v>28003.83</v>
      </c>
      <c r="D83" s="457" t="n"/>
      <c r="E83" s="457" t="n"/>
    </row>
    <row r="84">
      <c r="A84" s="2" t="inlineStr">
        <is>
          <t>Dec 16 - Dec 22 2024</t>
        </is>
      </c>
      <c r="B84" s="45" t="n"/>
      <c r="C84" s="389" t="n">
        <v>30991.28</v>
      </c>
      <c r="D84" s="457" t="n"/>
      <c r="E84" s="457" t="n"/>
    </row>
    <row r="85">
      <c r="A85" s="2" t="inlineStr">
        <is>
          <t>Dec 23 - Dec 29 2024</t>
        </is>
      </c>
      <c r="B85" s="45" t="n"/>
      <c r="C85" s="389" t="n">
        <v>46216.71</v>
      </c>
      <c r="D85" s="457" t="n"/>
      <c r="E85" s="457" t="n"/>
    </row>
    <row r="86">
      <c r="A86" s="2" t="inlineStr">
        <is>
          <t>Dec 30 - Jan 05 2025</t>
        </is>
      </c>
      <c r="B86" s="45" t="n"/>
      <c r="C86" s="389" t="n">
        <v>46848.4</v>
      </c>
      <c r="D86" s="457" t="n"/>
      <c r="E86" s="457" t="n"/>
    </row>
    <row r="87">
      <c r="A87" s="2" t="inlineStr">
        <is>
          <t>Jan 06 - Jan 12 2025</t>
        </is>
      </c>
      <c r="B87" s="56" t="n"/>
      <c r="C87" s="389" t="n">
        <v>27109.43</v>
      </c>
      <c r="D87" s="457" t="n"/>
      <c r="E87" s="457" t="n"/>
    </row>
    <row r="88">
      <c r="A88" s="2" t="inlineStr">
        <is>
          <t>Jan 13 - Jan 19 2025</t>
        </is>
      </c>
      <c r="B88" s="56" t="n"/>
      <c r="C88" s="389" t="n">
        <v>27238.48</v>
      </c>
      <c r="D88" s="457" t="n"/>
      <c r="E88" s="457" t="n"/>
    </row>
    <row r="89" ht="27.6" customHeight="1">
      <c r="A89" s="2" t="inlineStr">
        <is>
          <t>Jan 20 - Jan 26 2025</t>
        </is>
      </c>
      <c r="B89" s="56" t="n"/>
      <c r="C89" s="373" t="n">
        <v>27692.41</v>
      </c>
      <c r="D89" s="373" t="inlineStr">
        <is>
          <t>Bill Count</t>
        </is>
      </c>
      <c r="E89" s="462" t="inlineStr">
        <is>
          <t>TB Total</t>
        </is>
      </c>
      <c r="F89" s="361" t="inlineStr">
        <is>
          <t>In Store</t>
        </is>
      </c>
      <c r="G89" s="361" t="inlineStr">
        <is>
          <t>Skip</t>
        </is>
      </c>
      <c r="H89" s="361" t="inlineStr">
        <is>
          <t>DD</t>
        </is>
      </c>
      <c r="I89" s="361" t="inlineStr">
        <is>
          <t>Uber TB</t>
        </is>
      </c>
      <c r="J89" s="361" t="inlineStr">
        <is>
          <t>Uber Website</t>
        </is>
      </c>
      <c r="K89" s="361" t="inlineStr">
        <is>
          <t>Marketing/Discount</t>
        </is>
      </c>
      <c r="L89" s="361" t="inlineStr">
        <is>
          <t>Uber (After Discount)</t>
        </is>
      </c>
      <c r="M89" s="361" t="inlineStr">
        <is>
          <t>Total Revenue</t>
        </is>
      </c>
    </row>
    <row r="90">
      <c r="A90" s="2" t="inlineStr">
        <is>
          <t>Jan 27 - Feb 02 2025</t>
        </is>
      </c>
      <c r="B90" s="56" t="n"/>
      <c r="C90" s="391" t="n">
        <v>26853.6</v>
      </c>
      <c r="D90" s="391" t="n"/>
      <c r="E90" s="391" t="n"/>
      <c r="F90" s="56" t="n"/>
      <c r="G90" s="56" t="n"/>
      <c r="H90" s="56" t="n"/>
      <c r="I90" s="56" t="n"/>
      <c r="J90" s="56" t="n"/>
      <c r="K90" s="56" t="n"/>
      <c r="L90" s="56" t="n"/>
      <c r="M90" s="56" t="n"/>
    </row>
    <row r="91">
      <c r="A91" s="2" t="inlineStr">
        <is>
          <t>Feb 03 - Feb 09 2025</t>
        </is>
      </c>
      <c r="B91" s="56" t="n"/>
      <c r="C91" s="391" t="n">
        <v>25785.18</v>
      </c>
      <c r="D91" s="391" t="n"/>
      <c r="E91" s="391" t="n"/>
      <c r="F91" s="56" t="n"/>
      <c r="G91" s="56" t="n"/>
      <c r="H91" s="56" t="n"/>
      <c r="I91" s="56" t="n"/>
      <c r="J91" s="56" t="n"/>
      <c r="K91" s="56" t="n"/>
      <c r="L91" s="56" t="n"/>
      <c r="M91" s="56" t="n"/>
    </row>
    <row r="92">
      <c r="A92" s="2" t="inlineStr">
        <is>
          <t>Feb 10 - Feb 16 2025</t>
        </is>
      </c>
      <c r="B92" s="56" t="n"/>
      <c r="C92" s="391" t="n">
        <v>26342.05</v>
      </c>
      <c r="D92" s="391" t="n"/>
      <c r="E92" s="391" t="n"/>
      <c r="F92" s="56" t="n"/>
      <c r="G92" s="56" t="n"/>
      <c r="H92" s="56" t="n"/>
      <c r="I92" s="56" t="n"/>
      <c r="J92" s="56" t="n"/>
      <c r="K92" s="56" t="n"/>
      <c r="L92" s="56" t="n"/>
      <c r="M92" s="56" t="n"/>
    </row>
    <row r="93">
      <c r="A93" s="418" t="inlineStr">
        <is>
          <t>Feb 17 - Feb 23 2025</t>
        </is>
      </c>
      <c r="B93" s="382" t="n"/>
      <c r="C93" s="420" t="n">
        <v>29300.91</v>
      </c>
      <c r="D93" s="420" t="n"/>
      <c r="E93" s="420" t="n"/>
      <c r="F93" s="382" t="n"/>
      <c r="G93" s="382" t="n"/>
      <c r="H93" s="382" t="n"/>
      <c r="I93" s="382" t="n"/>
      <c r="J93" s="382" t="n"/>
      <c r="K93" s="382" t="n"/>
      <c r="L93" s="382" t="n"/>
      <c r="M93" s="382" t="n"/>
    </row>
    <row r="94">
      <c r="A94" s="418" t="inlineStr">
        <is>
          <t>Feb 24 - Mar 02 2025</t>
        </is>
      </c>
      <c r="B94" s="382" t="n"/>
      <c r="C94" s="394" t="n">
        <v>23753.32</v>
      </c>
      <c r="D94" s="394" t="n"/>
      <c r="E94" s="394" t="n"/>
      <c r="F94" s="394" t="n">
        <v>17339.25</v>
      </c>
      <c r="G94" s="382" t="n">
        <v>0</v>
      </c>
      <c r="H94" s="394" t="n">
        <v>499.96</v>
      </c>
      <c r="I94" s="394" t="n">
        <v>5720.58</v>
      </c>
      <c r="J94" s="445" t="n">
        <v>5914.11</v>
      </c>
      <c r="K94" s="394" t="n">
        <v>0</v>
      </c>
      <c r="L94" s="382">
        <f>(J94-K94)</f>
        <v/>
      </c>
      <c r="M94" s="382">
        <f>SUM(F94,G94,H94,L94)</f>
        <v/>
      </c>
    </row>
    <row r="95">
      <c r="A95" s="418" t="inlineStr">
        <is>
          <t>Mar 03 - Mar 09 2025</t>
        </is>
      </c>
      <c r="B95" s="382" t="n"/>
      <c r="C95" s="394" t="n">
        <v>26279.44</v>
      </c>
      <c r="D95" s="394" t="n"/>
      <c r="E95" s="394" t="n"/>
      <c r="F95" s="394" t="n">
        <v>19061.44</v>
      </c>
      <c r="G95" s="394" t="n">
        <v>898.78</v>
      </c>
      <c r="H95" s="394" t="n">
        <v>169.2</v>
      </c>
      <c r="I95" s="394" t="n">
        <v>6231.1</v>
      </c>
      <c r="J95" s="445" t="n">
        <v>6150.02</v>
      </c>
      <c r="K95" s="394" t="n">
        <v>0</v>
      </c>
      <c r="L95" s="382">
        <f>(J95-K95)</f>
        <v/>
      </c>
      <c r="M95" s="382">
        <f>SUM(F95,G95,H95,L95)</f>
        <v/>
      </c>
    </row>
    <row r="96">
      <c r="A96" s="2" t="inlineStr">
        <is>
          <t>Mar 10 - Mar 16 2025</t>
        </is>
      </c>
      <c r="B96" s="382" t="n"/>
      <c r="C96" s="394" t="n">
        <v>30584.32</v>
      </c>
      <c r="D96" s="394" t="n"/>
      <c r="E96" s="394" t="n"/>
      <c r="F96" s="389" t="n">
        <v>21596.66</v>
      </c>
      <c r="G96" s="389" t="n">
        <v>1187.71</v>
      </c>
      <c r="H96" s="389" t="n">
        <v>198.6</v>
      </c>
      <c r="I96" s="389" t="n">
        <v>7509.6</v>
      </c>
      <c r="J96" s="390" t="n">
        <v>7766.53</v>
      </c>
      <c r="K96" s="383" t="n">
        <v>165.18</v>
      </c>
      <c r="L96" s="382">
        <f>(J96-K96)</f>
        <v/>
      </c>
      <c r="M96" s="382">
        <f>SUM(F96,G96,H96,L96)</f>
        <v/>
      </c>
    </row>
    <row r="97">
      <c r="A97" s="2" t="inlineStr">
        <is>
          <t>Mar 17 - Mar 23 2025</t>
        </is>
      </c>
      <c r="B97" s="382" t="n"/>
      <c r="C97" s="394" t="n">
        <v>31363.26</v>
      </c>
      <c r="D97" s="394" t="n"/>
      <c r="E97" s="394" t="n"/>
      <c r="F97" s="389" t="n">
        <v>22681.9</v>
      </c>
      <c r="G97" s="389" t="n">
        <v>613.34</v>
      </c>
      <c r="H97" s="389" t="n">
        <v>299.19</v>
      </c>
      <c r="I97" s="389" t="n">
        <v>8067.91</v>
      </c>
      <c r="J97" s="390" t="n">
        <v>8146.03</v>
      </c>
      <c r="K97" s="383" t="n">
        <v>377.2</v>
      </c>
      <c r="L97" s="382">
        <f>(J97-K97)</f>
        <v/>
      </c>
      <c r="M97" s="382">
        <f>SUM(F97,G97,H97,L97)</f>
        <v/>
      </c>
    </row>
    <row r="98">
      <c r="A98" s="394" t="inlineStr">
        <is>
          <t>Mar 24 - Mar 30 2025</t>
        </is>
      </c>
      <c r="B98" s="394" t="n"/>
      <c r="C98" s="394" t="n">
        <v>38562.14999999999</v>
      </c>
      <c r="D98" s="394" t="n"/>
      <c r="E98" s="394" t="n"/>
      <c r="F98" s="389" t="n">
        <v>26202.62</v>
      </c>
      <c r="G98" s="389" t="n">
        <v>850.61</v>
      </c>
      <c r="H98" s="389" t="n">
        <v>604.78</v>
      </c>
      <c r="I98" s="389" t="n">
        <v>10894.53</v>
      </c>
      <c r="J98" s="395" t="n">
        <v>10904.14</v>
      </c>
      <c r="K98" s="394" t="n">
        <v>0</v>
      </c>
      <c r="L98" s="394">
        <f>(J98-K98)</f>
        <v/>
      </c>
      <c r="M98" s="394">
        <f>SUM(F98,G98,H98,L98)</f>
        <v/>
      </c>
    </row>
    <row r="99">
      <c r="A99" s="394" t="inlineStr">
        <is>
          <t>Mar 31 - Apr 6 2025</t>
        </is>
      </c>
      <c r="B99" s="394" t="n"/>
      <c r="C99" s="394" t="n">
        <v>35042.73</v>
      </c>
      <c r="D99" s="394" t="n"/>
      <c r="E99" s="394" t="n"/>
      <c r="F99" s="389" t="n">
        <v>24641.64</v>
      </c>
      <c r="G99" s="389" t="n">
        <v>999.38</v>
      </c>
      <c r="H99" s="389" t="n">
        <v>205.2</v>
      </c>
      <c r="I99" s="389" t="n">
        <v>8983.4</v>
      </c>
      <c r="J99" s="390" t="n">
        <v>9196.51</v>
      </c>
      <c r="K99" s="394" t="n">
        <v>0</v>
      </c>
      <c r="L99" s="394">
        <f>(J99-K99)</f>
        <v/>
      </c>
      <c r="M99" s="394">
        <f>SUM(F99,G99,H99,L99)</f>
        <v/>
      </c>
    </row>
    <row r="100">
      <c r="A100" s="382" t="inlineStr">
        <is>
          <t>Apr 7 - Apr 13 2025</t>
        </is>
      </c>
      <c r="B100" s="382" t="n"/>
      <c r="C100" s="394" t="n">
        <v>33346.07999999999</v>
      </c>
      <c r="D100" s="394" t="n"/>
      <c r="E100" s="394" t="n"/>
      <c r="F100" s="389" t="n">
        <v>25093.37</v>
      </c>
      <c r="G100" s="389" t="n">
        <v>527.6</v>
      </c>
      <c r="H100" s="389" t="n">
        <v>306.57</v>
      </c>
      <c r="I100" s="389" t="n">
        <v>7431.35</v>
      </c>
      <c r="J100" s="390" t="n">
        <v>7418.54</v>
      </c>
      <c r="K100" s="394" t="n">
        <v>0</v>
      </c>
      <c r="L100" s="382">
        <f>(J100-K100)</f>
        <v/>
      </c>
      <c r="M100" s="382">
        <f>SUM(F100,G100,H100,L100)</f>
        <v/>
      </c>
    </row>
    <row r="101">
      <c r="A101" s="382" t="inlineStr">
        <is>
          <t>Apr 14 - Apr 20 2025</t>
        </is>
      </c>
      <c r="B101" s="382" t="n"/>
      <c r="C101" s="394" t="n">
        <v>37670.5</v>
      </c>
      <c r="D101" s="394" t="n"/>
      <c r="E101" s="394" t="n"/>
      <c r="F101" s="389" t="n">
        <v>29230.44</v>
      </c>
      <c r="G101" s="389" t="n">
        <v>771.35</v>
      </c>
      <c r="H101" s="389" t="n">
        <v>597.72</v>
      </c>
      <c r="I101" s="389" t="n">
        <v>7120.34</v>
      </c>
      <c r="J101" s="383" t="n">
        <v>7070.99</v>
      </c>
      <c r="K101" s="394" t="n">
        <v>0</v>
      </c>
      <c r="L101" s="382">
        <f>(J101-K101)</f>
        <v/>
      </c>
      <c r="M101" s="382">
        <f>SUM(F101,G101,H101,L101)</f>
        <v/>
      </c>
    </row>
    <row r="102">
      <c r="A102" s="382" t="inlineStr">
        <is>
          <t>Apr 21 - Apr 27 2025</t>
        </is>
      </c>
      <c r="B102" s="382" t="n"/>
      <c r="C102" s="391" t="n">
        <v>32791.42</v>
      </c>
      <c r="D102" s="391" t="n"/>
      <c r="E102" s="391" t="n"/>
      <c r="F102" s="389" t="n">
        <v>24557.66</v>
      </c>
      <c r="G102" s="389" t="n">
        <v>762.23</v>
      </c>
      <c r="H102" s="389" t="n">
        <v>358.83</v>
      </c>
      <c r="I102" s="389" t="n">
        <v>7018.15</v>
      </c>
      <c r="J102" s="383" t="n">
        <v>7112.7</v>
      </c>
      <c r="K102" s="394" t="n">
        <v>0</v>
      </c>
      <c r="L102" s="382">
        <f>(J102-K102)</f>
        <v/>
      </c>
      <c r="M102" s="382">
        <f>SUM(F102,G102,H102,L102)</f>
        <v/>
      </c>
    </row>
    <row r="103">
      <c r="A103" s="382" t="inlineStr">
        <is>
          <t>Apr 28 - May 04 2025</t>
        </is>
      </c>
      <c r="B103" s="382" t="n"/>
      <c r="C103" s="394" t="n">
        <v>32100.69</v>
      </c>
      <c r="D103" s="394" t="n"/>
      <c r="E103" s="394" t="n"/>
      <c r="F103" s="389" t="n">
        <v>25692.62</v>
      </c>
      <c r="G103" s="389" t="n">
        <v>766.37</v>
      </c>
      <c r="H103" s="389" t="n">
        <v>371.6</v>
      </c>
      <c r="I103" s="389" t="n">
        <v>5347.99</v>
      </c>
      <c r="J103" s="390" t="n">
        <v>5270.1</v>
      </c>
      <c r="K103" s="394" t="n">
        <v>0</v>
      </c>
      <c r="L103" s="382">
        <f>(J103-K103)</f>
        <v/>
      </c>
      <c r="M103" s="382">
        <f>SUM(F103,G103,H103,L103)</f>
        <v/>
      </c>
    </row>
    <row r="104">
      <c r="A104" s="382" t="inlineStr">
        <is>
          <t>May 05 - May 11 2025</t>
        </is>
      </c>
      <c r="B104" s="382" t="n"/>
      <c r="C104" s="394" t="n">
        <v>35369.53000000001</v>
      </c>
      <c r="D104" s="394" t="n"/>
      <c r="E104" s="391" t="n">
        <v>35456.79</v>
      </c>
      <c r="F104" s="389" t="n">
        <v>27199.04</v>
      </c>
      <c r="G104" s="389" t="n">
        <v>936.8099999999999</v>
      </c>
      <c r="H104" s="389" t="n">
        <v>212.99</v>
      </c>
      <c r="I104" s="389" t="n">
        <v>7107.95</v>
      </c>
      <c r="J104" s="390" t="n">
        <v>7020.69</v>
      </c>
      <c r="K104" s="394" t="n">
        <v>0</v>
      </c>
      <c r="L104" s="382">
        <f>(J104-K104)</f>
        <v/>
      </c>
      <c r="M104" s="382">
        <f>SUM(F104,G104,H104,L104)</f>
        <v/>
      </c>
    </row>
    <row r="105">
      <c r="A105" s="382" t="inlineStr">
        <is>
          <t>May 12 - May 18 2025</t>
        </is>
      </c>
      <c r="B105" s="382" t="n"/>
      <c r="C105" s="394" t="n">
        <v>33440.47</v>
      </c>
      <c r="D105" s="394" t="n"/>
      <c r="E105" s="391" t="n">
        <v>33561.9</v>
      </c>
      <c r="F105" s="389" t="n">
        <v>26057.63</v>
      </c>
      <c r="G105" s="389" t="n">
        <v>547.72</v>
      </c>
      <c r="H105" s="389" t="n">
        <v>446.95</v>
      </c>
      <c r="I105" s="389" t="n">
        <v>6509.6</v>
      </c>
      <c r="J105" s="390" t="n">
        <v>6388.17</v>
      </c>
      <c r="K105" s="394" t="n">
        <v>0</v>
      </c>
      <c r="L105" s="382">
        <f>(J105-K105)</f>
        <v/>
      </c>
      <c r="M105" s="382">
        <f>SUM(F105,G105,H105,L105)</f>
        <v/>
      </c>
    </row>
    <row r="106">
      <c r="A106" s="382" t="inlineStr">
        <is>
          <t>May 19 - May 25 2025</t>
        </is>
      </c>
      <c r="B106" s="382" t="n"/>
      <c r="C106" s="394" t="n">
        <v>34789.7</v>
      </c>
      <c r="D106" s="394" t="n"/>
      <c r="E106" s="391" t="n">
        <v>34569.42</v>
      </c>
      <c r="F106" s="389" t="n">
        <v>27029.09</v>
      </c>
      <c r="G106" s="389" t="n">
        <v>827.39</v>
      </c>
      <c r="H106" s="389" t="n">
        <v>362.08</v>
      </c>
      <c r="I106" s="389" t="n">
        <v>6350.86</v>
      </c>
      <c r="J106" s="383" t="n">
        <v>6571.14</v>
      </c>
      <c r="K106" s="394" t="n">
        <v>0</v>
      </c>
      <c r="L106" s="382">
        <f>(J106-K106)</f>
        <v/>
      </c>
      <c r="M106" s="382">
        <f>SUM(F106,G106,H106,L106)</f>
        <v/>
      </c>
    </row>
    <row r="107">
      <c r="A107" s="382" t="inlineStr">
        <is>
          <t>May 26 - June 01 2025</t>
        </is>
      </c>
      <c r="B107" s="382" t="n"/>
      <c r="C107" s="394" t="n">
        <v>33662.75</v>
      </c>
      <c r="D107" s="394" t="n"/>
      <c r="E107" s="391" t="n">
        <v>33583.35</v>
      </c>
      <c r="F107" s="389" t="n">
        <v>26050.21</v>
      </c>
      <c r="G107" s="389" t="n">
        <v>508.94</v>
      </c>
      <c r="H107" s="389" t="n">
        <v>158.38</v>
      </c>
      <c r="I107" s="389" t="n">
        <v>6865.82</v>
      </c>
      <c r="J107" s="390" t="n">
        <v>6945.22</v>
      </c>
      <c r="K107" s="394" t="n">
        <v>0</v>
      </c>
      <c r="L107" s="382">
        <f>(J107-K107)</f>
        <v/>
      </c>
      <c r="M107" s="382">
        <f>SUM(F107,G107,H107,L107)</f>
        <v/>
      </c>
    </row>
    <row r="108">
      <c r="A108" s="382" t="inlineStr">
        <is>
          <t>June 02 - June 08 2025</t>
        </is>
      </c>
      <c r="B108" s="382" t="n"/>
      <c r="C108" s="394" t="n">
        <v>38939.84</v>
      </c>
      <c r="D108" s="394" t="n"/>
      <c r="E108" s="391" t="n">
        <v>39076.66</v>
      </c>
      <c r="F108" s="389" t="n">
        <v>30285.8</v>
      </c>
      <c r="G108" s="389" t="n">
        <v>584.15</v>
      </c>
      <c r="H108" s="389" t="n">
        <v>555.5700000000001</v>
      </c>
      <c r="I108" s="389" t="n">
        <v>7651.14</v>
      </c>
      <c r="J108" s="390" t="n">
        <v>7514.32</v>
      </c>
      <c r="K108" s="394" t="n">
        <v>0</v>
      </c>
      <c r="L108" s="382">
        <f>(J108-K108)</f>
        <v/>
      </c>
      <c r="M108" s="382">
        <f>SUM(F108,G108,H108,L108)</f>
        <v/>
      </c>
    </row>
    <row r="109">
      <c r="A109" s="382" t="inlineStr">
        <is>
          <t>June 09 - June 15 2025</t>
        </is>
      </c>
      <c r="B109" s="382" t="n"/>
      <c r="C109" s="394" t="n">
        <v>35437.2</v>
      </c>
      <c r="D109" s="394" t="n"/>
      <c r="E109" s="391" t="n">
        <v>35369.66</v>
      </c>
      <c r="F109" s="389" t="n">
        <v>27482.76</v>
      </c>
      <c r="G109" s="389" t="n">
        <v>1139</v>
      </c>
      <c r="H109" s="389" t="n">
        <v>266.87</v>
      </c>
      <c r="I109" s="389" t="n">
        <v>6481.03</v>
      </c>
      <c r="J109" s="383" t="n">
        <v>6548.57</v>
      </c>
      <c r="K109" s="382" t="n">
        <v>0</v>
      </c>
      <c r="L109" s="382">
        <f>(J109-K109)</f>
        <v/>
      </c>
      <c r="M109" s="382">
        <f>SUM(F109,G109,H109,L109)</f>
        <v/>
      </c>
    </row>
    <row r="110">
      <c r="A110" s="382" t="inlineStr">
        <is>
          <t>June 16 - June 22 2025</t>
        </is>
      </c>
      <c r="B110" s="382" t="n"/>
      <c r="C110" s="394" t="n">
        <v>36428.95</v>
      </c>
      <c r="D110" s="394" t="n"/>
      <c r="E110" s="391" t="n">
        <v>36493.44</v>
      </c>
      <c r="F110" s="389" t="n">
        <v>27702.72</v>
      </c>
      <c r="G110" s="389" t="n">
        <v>1131.29</v>
      </c>
      <c r="H110" s="389" t="n">
        <v>424.56</v>
      </c>
      <c r="I110" s="389" t="n">
        <v>7234.87</v>
      </c>
      <c r="J110" s="390" t="n">
        <v>7170.38</v>
      </c>
      <c r="K110" s="382" t="n">
        <v>0</v>
      </c>
      <c r="L110" s="382">
        <f>(J110-K110)</f>
        <v/>
      </c>
      <c r="M110" s="382">
        <f>SUM(F110,G110,H110,L110)</f>
        <v/>
      </c>
    </row>
    <row r="111">
      <c r="A111" s="382" t="inlineStr">
        <is>
          <t>June 23 - June 29 2025</t>
        </is>
      </c>
      <c r="B111" s="382" t="n"/>
      <c r="C111" s="394" t="n">
        <v>43356.26999999999</v>
      </c>
      <c r="D111" s="394" t="n"/>
      <c r="E111" s="391" t="n">
        <v>43298.28</v>
      </c>
      <c r="F111" s="389" t="n">
        <v>33615.84</v>
      </c>
      <c r="G111" s="389" t="n">
        <v>872.8200000000001</v>
      </c>
      <c r="H111" s="389" t="n">
        <v>587.17</v>
      </c>
      <c r="I111" s="389" t="n">
        <v>8222.450000000001</v>
      </c>
      <c r="J111" s="390" t="n">
        <v>8299.059999999999</v>
      </c>
      <c r="K111" s="383" t="n">
        <v>18.62</v>
      </c>
      <c r="L111" s="382">
        <f>(J111-K111)</f>
        <v/>
      </c>
      <c r="M111" s="382">
        <f>SUM(F111,G111,H111,L111)</f>
        <v/>
      </c>
    </row>
    <row r="112">
      <c r="A112" s="382" t="inlineStr">
        <is>
          <t>June 30 - July 06 2025</t>
        </is>
      </c>
      <c r="B112" s="382" t="n"/>
      <c r="C112" s="394" t="n">
        <v>43420.07000000001</v>
      </c>
      <c r="D112" s="394" t="n"/>
      <c r="E112" s="391" t="n">
        <v>43696.36</v>
      </c>
      <c r="F112" s="389" t="n">
        <v>35061.14</v>
      </c>
      <c r="G112" s="389" t="n">
        <v>599.72</v>
      </c>
      <c r="H112" s="389" t="n">
        <v>601.62</v>
      </c>
      <c r="I112" s="389" t="n">
        <v>7433.88</v>
      </c>
      <c r="J112" s="390" t="n">
        <v>7214.59</v>
      </c>
      <c r="K112" s="383" t="n">
        <v>57</v>
      </c>
      <c r="L112" s="382">
        <f>(J112-K112)</f>
        <v/>
      </c>
      <c r="M112" s="382">
        <f>SUM(F112,G112,H112,L112)</f>
        <v/>
      </c>
    </row>
    <row r="113">
      <c r="A113" s="394" t="inlineStr">
        <is>
          <t>July 07 - July 13 2025</t>
        </is>
      </c>
      <c r="B113" s="382" t="n"/>
      <c r="C113" s="394" t="n">
        <v>40279.53999999999</v>
      </c>
      <c r="D113" s="394" t="n"/>
      <c r="E113" s="391" t="n">
        <v>39228.65</v>
      </c>
      <c r="F113" s="389" t="n">
        <v>31189.46</v>
      </c>
      <c r="G113" s="389" t="n">
        <v>549.67</v>
      </c>
      <c r="H113" s="389" t="n">
        <v>705.86</v>
      </c>
      <c r="I113" s="389" t="n">
        <v>6783.66</v>
      </c>
      <c r="J113" s="390" t="n">
        <v>8071.73</v>
      </c>
      <c r="K113" s="383" t="n">
        <v>237.18</v>
      </c>
      <c r="L113" s="382">
        <f>(J113-K113)</f>
        <v/>
      </c>
      <c r="M113" s="382">
        <f>SUM(F113,G113,H113,L113)</f>
        <v/>
      </c>
    </row>
    <row r="114">
      <c r="A114" s="394" t="inlineStr">
        <is>
          <t>July 14 - July 20 2025</t>
        </is>
      </c>
      <c r="B114" s="382" t="n"/>
      <c r="C114" s="394" t="n">
        <v>38629.01</v>
      </c>
      <c r="D114" s="293" t="n">
        <v>1206</v>
      </c>
      <c r="E114" s="391" t="n">
        <v>38732.85</v>
      </c>
      <c r="F114" s="389" t="n">
        <v>30147.56</v>
      </c>
      <c r="G114" s="389" t="n">
        <v>602.8200000000001</v>
      </c>
      <c r="H114" s="389" t="n">
        <v>386.79</v>
      </c>
      <c r="I114" s="389" t="n">
        <v>7595.68</v>
      </c>
      <c r="J114" s="390" t="n">
        <v>7751.86</v>
      </c>
      <c r="K114" s="383" t="n">
        <v>260.02</v>
      </c>
      <c r="L114" s="382">
        <f>(J114-K114)</f>
        <v/>
      </c>
      <c r="M114" s="382">
        <f>SUM(F114,G114,H114,L114)</f>
        <v/>
      </c>
    </row>
    <row r="115">
      <c r="A115" s="394" t="inlineStr">
        <is>
          <t>July 21 - July 27 2025</t>
        </is>
      </c>
      <c r="B115" s="382" t="n"/>
      <c r="C115" s="394" t="n">
        <v>36415.5</v>
      </c>
      <c r="D115" s="293" t="n">
        <v>1207</v>
      </c>
      <c r="E115" s="391" t="n">
        <v>36867.49</v>
      </c>
      <c r="F115" s="389" t="n">
        <v>28377.6</v>
      </c>
      <c r="G115" s="389" t="n">
        <v>16</v>
      </c>
      <c r="H115" s="389" t="n">
        <v>544.08</v>
      </c>
      <c r="I115" s="389" t="n">
        <v>7929.81</v>
      </c>
      <c r="J115" s="390" t="n">
        <v>7852.22</v>
      </c>
      <c r="K115" s="383" t="n">
        <v>374.4</v>
      </c>
      <c r="L115" s="382">
        <f>(J115-K115)</f>
        <v/>
      </c>
      <c r="M115" s="382">
        <f>SUM(F115,G115,H115,L115)</f>
        <v/>
      </c>
    </row>
    <row r="116">
      <c r="A116" s="394" t="inlineStr">
        <is>
          <t>July 28 - Aug 03 2025</t>
        </is>
      </c>
      <c r="B116" s="382" t="n"/>
      <c r="C116" s="394" t="n">
        <v>39914.14</v>
      </c>
      <c r="D116" s="293" t="n">
        <v>1274</v>
      </c>
      <c r="E116" s="391" t="n">
        <v>40255.51</v>
      </c>
      <c r="F116" s="389" t="n">
        <v>32046.2</v>
      </c>
      <c r="G116" s="118" t="n">
        <v>0</v>
      </c>
      <c r="H116" s="389" t="n">
        <v>353.86</v>
      </c>
      <c r="I116" s="389" t="n">
        <v>7855.45</v>
      </c>
      <c r="J116" s="383" t="n">
        <v>7852.76</v>
      </c>
      <c r="K116" s="383" t="n">
        <v>338.68</v>
      </c>
      <c r="L116" s="382">
        <f>(J116-K116)</f>
        <v/>
      </c>
      <c r="M116" s="382">
        <f>SUM(F116,G116,H116,L116)</f>
        <v/>
      </c>
    </row>
    <row r="117">
      <c r="A117" s="394" t="inlineStr">
        <is>
          <t>Aug 04 - Aug 10 2025</t>
        </is>
      </c>
      <c r="B117" s="382" t="n"/>
      <c r="C117" s="394" t="n">
        <v>40064.95</v>
      </c>
      <c r="D117" s="293" t="n">
        <v>1275</v>
      </c>
      <c r="E117" s="391" t="n">
        <v>40155.96</v>
      </c>
      <c r="F117" s="389" t="n">
        <v>31825.22</v>
      </c>
      <c r="G117" s="118" t="n">
        <v>0</v>
      </c>
      <c r="H117" s="389" t="n">
        <v>350.98</v>
      </c>
      <c r="I117" s="389" t="n">
        <v>7979.76</v>
      </c>
      <c r="J117" s="390" t="n">
        <v>8235.93</v>
      </c>
      <c r="K117" s="383" t="n">
        <v>347.18</v>
      </c>
      <c r="L117" s="382">
        <f>(J117-K117)</f>
        <v/>
      </c>
      <c r="M117" s="382">
        <f>SUM(F117,G117,H117,L117)</f>
        <v/>
      </c>
    </row>
    <row r="118">
      <c r="A118" s="394" t="inlineStr">
        <is>
          <t>Aug 11 - Aug 17 2025</t>
        </is>
      </c>
      <c r="B118" s="382" t="n"/>
      <c r="C118" s="394" t="n">
        <v>38385.47</v>
      </c>
      <c r="D118" s="293" t="n">
        <v>1192</v>
      </c>
      <c r="E118" s="391" t="n">
        <v>38585.09</v>
      </c>
      <c r="F118" s="389" t="n">
        <v>30009.4</v>
      </c>
      <c r="G118" s="389" t="n">
        <v>287.41</v>
      </c>
      <c r="H118" s="389" t="n">
        <v>330.19</v>
      </c>
      <c r="I118" s="389" t="n">
        <v>7958.09</v>
      </c>
      <c r="J118" s="390" t="n">
        <v>8143.83</v>
      </c>
      <c r="K118" s="383" t="n">
        <v>385.36</v>
      </c>
      <c r="L118" s="382">
        <f>(J118-K118)</f>
        <v/>
      </c>
      <c r="M118" s="382">
        <f>SUM(F118,G118,H118,L118)</f>
        <v/>
      </c>
    </row>
    <row r="119">
      <c r="A119" s="394" t="inlineStr">
        <is>
          <t>Aug 18 - Aug 24 2025</t>
        </is>
      </c>
      <c r="B119" s="382" t="n"/>
      <c r="C119" s="394" t="n">
        <v>36744.56</v>
      </c>
      <c r="D119" s="293" t="n">
        <v>1199</v>
      </c>
      <c r="E119" s="391" t="n">
        <v>37014.63</v>
      </c>
      <c r="F119" s="389" t="n">
        <v>28232.31</v>
      </c>
      <c r="G119" s="389" t="n">
        <v>665.37</v>
      </c>
      <c r="H119" s="389" t="n">
        <v>537.49</v>
      </c>
      <c r="I119" s="389" t="n">
        <v>7579.46</v>
      </c>
      <c r="J119" s="390" t="n">
        <v>7594.75</v>
      </c>
      <c r="K119" s="383" t="n">
        <v>285.36</v>
      </c>
      <c r="L119" s="382">
        <f>(J119-K119)</f>
        <v/>
      </c>
      <c r="M119" s="382">
        <f>SUM(F119,G119,H119,L119)</f>
        <v/>
      </c>
    </row>
    <row r="120">
      <c r="A120" s="394" t="inlineStr">
        <is>
          <t>Aug 25 - Aug 31 2025</t>
        </is>
      </c>
      <c r="B120" s="382" t="n"/>
      <c r="C120" s="394" t="n">
        <v>39699.53</v>
      </c>
      <c r="D120" s="293" t="n">
        <v>1273</v>
      </c>
      <c r="E120" s="391" t="n">
        <v>40064.39</v>
      </c>
      <c r="F120" s="389" t="n">
        <v>31575.61</v>
      </c>
      <c r="G120" s="389" t="n">
        <v>718.4299999999999</v>
      </c>
      <c r="H120" s="389" t="n">
        <v>558.46</v>
      </c>
      <c r="I120" s="389" t="n">
        <v>7211.89</v>
      </c>
      <c r="J120" s="390" t="n">
        <v>7087.29</v>
      </c>
      <c r="K120" s="383" t="n">
        <v>240.26</v>
      </c>
      <c r="L120" s="382">
        <f>(J120-K120)</f>
        <v/>
      </c>
      <c r="M120" s="382">
        <f>SUM(F120,G120,H120,L120)</f>
        <v/>
      </c>
    </row>
    <row r="121">
      <c r="A121" s="394" t="inlineStr">
        <is>
          <t>Sep 01 - Sep 07 2025</t>
        </is>
      </c>
      <c r="B121" s="382" t="n"/>
      <c r="C121" s="394" t="n">
        <v>35562.03</v>
      </c>
      <c r="D121" s="293" t="n">
        <v>1156</v>
      </c>
      <c r="E121" s="391" t="n">
        <v>35816.39</v>
      </c>
      <c r="F121" s="389" t="n">
        <v>26737.67</v>
      </c>
      <c r="G121" s="389" t="n">
        <v>649.89</v>
      </c>
      <c r="H121" s="389" t="n">
        <v>338.8</v>
      </c>
      <c r="I121" s="389" t="n">
        <v>8090.03</v>
      </c>
      <c r="J121" s="390" t="n">
        <v>8183.94</v>
      </c>
      <c r="K121" s="383" t="n">
        <v>348.27</v>
      </c>
      <c r="L121" s="382">
        <f>(J121-K121)</f>
        <v/>
      </c>
      <c r="M121" s="382">
        <f>SUM(F121,G121,H121,L121)</f>
        <v/>
      </c>
    </row>
    <row r="122">
      <c r="A122" s="394" t="inlineStr">
        <is>
          <t>Sep 08 - Sep 14 2025</t>
        </is>
      </c>
      <c r="B122" s="382" t="n"/>
      <c r="C122" s="394" t="n">
        <v>27289.98</v>
      </c>
      <c r="D122" s="11" t="n">
        <v>914</v>
      </c>
      <c r="E122" s="391" t="n">
        <v>27543.12</v>
      </c>
      <c r="F122" s="389" t="n">
        <v>20393.43</v>
      </c>
      <c r="G122" s="389" t="n">
        <v>546.38</v>
      </c>
      <c r="H122" s="389" t="n">
        <v>76.40000000000001</v>
      </c>
      <c r="I122" s="389" t="n">
        <v>6526.91</v>
      </c>
      <c r="J122" s="390" t="n">
        <v>6564.14</v>
      </c>
      <c r="K122" s="383" t="n">
        <v>290.37</v>
      </c>
      <c r="L122" s="382">
        <f>(J122-K122)</f>
        <v/>
      </c>
      <c r="M122" s="382">
        <f>SUM(F122,G122,H122,L122)</f>
        <v/>
      </c>
    </row>
    <row r="123">
      <c r="A123" s="394" t="inlineStr">
        <is>
          <t>Sep 15 - Sep 21 2025</t>
        </is>
      </c>
      <c r="B123" s="382" t="n"/>
      <c r="C123" s="394" t="n">
        <v>30595.78</v>
      </c>
      <c r="D123" s="11" t="n">
        <v>960</v>
      </c>
      <c r="E123" s="391" t="n">
        <v>30728.46</v>
      </c>
      <c r="F123" s="389" t="n">
        <v>23127.68</v>
      </c>
      <c r="G123" s="389" t="n">
        <v>510.56</v>
      </c>
      <c r="H123" s="389" t="n">
        <v>477.48</v>
      </c>
      <c r="I123" s="389" t="n">
        <v>6612.74</v>
      </c>
      <c r="J123" s="390" t="n">
        <v>6753.33</v>
      </c>
      <c r="K123" s="383" t="n">
        <v>273.27</v>
      </c>
      <c r="L123" s="382">
        <f>(J123-K123)</f>
        <v/>
      </c>
      <c r="M123" s="382">
        <f>SUM(F123,G123,H123,L123)</f>
        <v/>
      </c>
    </row>
    <row r="124">
      <c r="A124" s="394" t="inlineStr">
        <is>
          <t>Sep 22 - Sep 28 2025</t>
        </is>
      </c>
      <c r="B124" s="382" t="n"/>
      <c r="C124" s="394" t="n">
        <v>30893.03</v>
      </c>
      <c r="D124" s="293" t="n">
        <v>1021</v>
      </c>
      <c r="E124" s="391" t="n">
        <v>31380.25</v>
      </c>
      <c r="F124" s="389" t="n">
        <v>23910.13</v>
      </c>
      <c r="G124" s="389" t="n">
        <v>481.8</v>
      </c>
      <c r="H124" s="389" t="n">
        <v>438.09</v>
      </c>
      <c r="I124" s="389" t="n">
        <v>6550.23</v>
      </c>
      <c r="J124" s="464" t="n">
        <v>6333.43</v>
      </c>
      <c r="K124" s="465" t="n">
        <v>270.42</v>
      </c>
      <c r="L124" s="382">
        <f>(J124-K124)</f>
        <v/>
      </c>
      <c r="M124" s="382">
        <f>SUM(F124,G124,H124,L124)</f>
        <v/>
      </c>
    </row>
    <row r="125">
      <c r="A125" s="394" t="inlineStr">
        <is>
          <t>Sep 29 - Oct 05 2025</t>
        </is>
      </c>
      <c r="B125" s="382" t="n"/>
      <c r="C125" s="394" t="n">
        <v>28750.13</v>
      </c>
      <c r="D125" s="11" t="n">
        <v>941</v>
      </c>
      <c r="E125" s="391" t="n">
        <v>28550.11</v>
      </c>
      <c r="F125" s="389" t="n">
        <v>21696.6</v>
      </c>
      <c r="G125" s="389" t="n">
        <v>426.9</v>
      </c>
      <c r="H125" s="389" t="n">
        <v>593.1</v>
      </c>
      <c r="I125" s="389" t="n">
        <v>5833.51</v>
      </c>
      <c r="J125" s="390" t="n">
        <v>6150.61</v>
      </c>
      <c r="K125" s="383" t="n">
        <v>117.08</v>
      </c>
      <c r="L125" s="382">
        <f>(J125-K125)</f>
        <v/>
      </c>
      <c r="M125" s="382">
        <f>SUM(F125,G125,H125,L125)</f>
        <v/>
      </c>
    </row>
    <row r="126">
      <c r="A126" s="394" t="inlineStr">
        <is>
          <t>Oct 6 - Oct 12 2025</t>
        </is>
      </c>
      <c r="B126" s="382" t="n"/>
      <c r="C126" s="382" t="n">
        <v>34108.24</v>
      </c>
      <c r="D126" s="293" t="n">
        <v>1096</v>
      </c>
      <c r="E126" s="391" t="n">
        <v>34253.01</v>
      </c>
      <c r="F126" s="389" t="n">
        <v>27003.35</v>
      </c>
      <c r="G126" s="389" t="n">
        <v>714.85</v>
      </c>
      <c r="H126" s="389" t="n">
        <v>592.86</v>
      </c>
      <c r="I126" s="389" t="n">
        <v>5941.95</v>
      </c>
      <c r="J126" s="383" t="n">
        <v>5797.18</v>
      </c>
      <c r="K126" s="383" t="n">
        <v>0</v>
      </c>
      <c r="L126" s="382">
        <f>(J126-K126)</f>
        <v/>
      </c>
      <c r="M126" s="382">
        <f>SUM(F126,G126,H126,L126)</f>
        <v/>
      </c>
    </row>
    <row r="127">
      <c r="A127" s="394" t="inlineStr">
        <is>
          <t>Oct 13 - Oct 19 2025</t>
        </is>
      </c>
      <c r="B127" s="382" t="n"/>
      <c r="C127" s="394" t="n">
        <v>35256.14</v>
      </c>
      <c r="D127" s="11" t="n"/>
      <c r="E127" s="394" t="n">
        <v>35085.54</v>
      </c>
      <c r="F127" s="394" t="n">
        <v>26170.65</v>
      </c>
      <c r="G127" s="394" t="n">
        <v>665.77</v>
      </c>
      <c r="H127" s="394" t="n">
        <v>625.99</v>
      </c>
      <c r="I127" s="394" t="n">
        <v>7623.13</v>
      </c>
      <c r="J127" s="383" t="n">
        <v>7793.73</v>
      </c>
      <c r="K127" s="383" t="n">
        <v>0</v>
      </c>
      <c r="L127" s="382">
        <f>(J127-K127)</f>
        <v/>
      </c>
      <c r="M127" s="382">
        <f>SUM(F127,G127,H127,L127)</f>
        <v/>
      </c>
    </row>
    <row r="128">
      <c r="A128" s="394" t="inlineStr">
        <is>
          <t>Oct 20 - Oct 26 2025</t>
        </is>
      </c>
      <c r="B128" s="382" t="n"/>
      <c r="C128" s="394" t="n">
        <v>33913.24</v>
      </c>
      <c r="D128" s="11" t="n"/>
      <c r="E128" s="394" t="n">
        <v>33616.29</v>
      </c>
      <c r="F128" s="394" t="n">
        <v>25602.63</v>
      </c>
      <c r="G128" s="394" t="n">
        <v>834.67</v>
      </c>
      <c r="H128" s="394" t="n">
        <v>337.75</v>
      </c>
      <c r="I128" s="394" t="n">
        <v>6841.24</v>
      </c>
      <c r="J128" s="383" t="n">
        <v>7138.19</v>
      </c>
      <c r="K128" s="383" t="n">
        <v>0</v>
      </c>
      <c r="L128" s="382">
        <f>(J128-K128)</f>
        <v/>
      </c>
      <c r="M128" s="382">
        <f>SUM(F128,G128,H128,L128)</f>
        <v/>
      </c>
    </row>
    <row r="129">
      <c r="A129" s="394" t="inlineStr">
        <is>
          <t>Oct 27 - Nov 02 2025</t>
        </is>
      </c>
      <c r="B129" s="382" t="n"/>
      <c r="C129" s="394" t="n">
        <v>33332.12</v>
      </c>
      <c r="D129" s="300" t="n">
        <v>979</v>
      </c>
      <c r="E129" s="394" t="n">
        <v>33277.95</v>
      </c>
      <c r="F129" s="394" t="n">
        <v>23552.91</v>
      </c>
      <c r="G129" s="394" t="n">
        <v>775.33</v>
      </c>
      <c r="H129" s="394" t="n">
        <v>557.08</v>
      </c>
      <c r="I129" s="394" t="n">
        <v>8392.629999999999</v>
      </c>
      <c r="J129" s="383" t="n">
        <v>8446.799999999999</v>
      </c>
      <c r="K129" s="383" t="n">
        <v>0</v>
      </c>
      <c r="L129" s="382">
        <f>(J129-K129)</f>
        <v/>
      </c>
      <c r="M129" s="382">
        <f>SUM(F129,G129,H129,L129)</f>
        <v/>
      </c>
    </row>
    <row r="130">
      <c r="A130" s="394" t="inlineStr">
        <is>
          <t>Nov 03 - Nov 09 2025</t>
        </is>
      </c>
      <c r="B130" s="382" t="n"/>
      <c r="C130" s="394" t="n">
        <v>28497.8</v>
      </c>
      <c r="D130" s="300" t="inlineStr">
        <is>
          <t>879</t>
        </is>
      </c>
      <c r="E130" s="394" t="n">
        <v>28533.75</v>
      </c>
      <c r="F130" s="394" t="n">
        <v>21086.37</v>
      </c>
      <c r="G130" s="394" t="n">
        <v>642.8200000000001</v>
      </c>
      <c r="H130" s="394" t="n">
        <v>391.03</v>
      </c>
      <c r="I130" s="394" t="n">
        <v>6413.53</v>
      </c>
      <c r="J130" s="383" t="n">
        <v>6377.58</v>
      </c>
      <c r="K130" s="383" t="n">
        <v>0</v>
      </c>
      <c r="L130" s="382">
        <f>(J130-K130)</f>
        <v/>
      </c>
      <c r="M130" s="382">
        <f>SUM(F130,G130,H130,L130)</f>
        <v/>
      </c>
    </row>
    <row r="131">
      <c r="A131" s="394" t="inlineStr">
        <is>
          <t>Nov 10 - Nov 16 2025</t>
        </is>
      </c>
      <c r="B131" s="382" t="n"/>
      <c r="C131" s="394" t="n">
        <v>29119.32</v>
      </c>
      <c r="D131" s="300" t="inlineStr">
        <is>
          <t>937</t>
        </is>
      </c>
      <c r="E131" s="394" t="n">
        <v>29074.81</v>
      </c>
      <c r="F131" s="394" t="n">
        <v>22138.82</v>
      </c>
      <c r="G131" s="394" t="n">
        <v>728.9299999999999</v>
      </c>
      <c r="H131" s="394" t="n">
        <v>267.66</v>
      </c>
      <c r="I131" s="394" t="n">
        <v>5939.4</v>
      </c>
      <c r="J131" s="383" t="n">
        <v>5983.91</v>
      </c>
      <c r="K131" s="383" t="n">
        <v>0</v>
      </c>
      <c r="L131" s="382">
        <f>(J131-K131)</f>
        <v/>
      </c>
      <c r="M131" s="382">
        <f>SUM(F131,G131,H131,L131)</f>
        <v/>
      </c>
    </row>
    <row r="132">
      <c r="A132" s="2" t="inlineStr">
        <is>
          <t>Nov 17 - Nov 23 2025</t>
        </is>
      </c>
      <c r="B132" s="382" t="n"/>
      <c r="C132" s="394" t="n">
        <v>33527.39</v>
      </c>
      <c r="D132" s="300" t="inlineStr">
        <is>
          <t>989</t>
        </is>
      </c>
      <c r="E132" s="394" t="n">
        <v>33988.91</v>
      </c>
      <c r="F132" s="394" t="n">
        <v>24701.18</v>
      </c>
      <c r="G132" s="394" t="n">
        <v>449.73</v>
      </c>
      <c r="H132" s="394" t="n">
        <v>468.51</v>
      </c>
      <c r="I132" s="394" t="n">
        <v>8369.49</v>
      </c>
      <c r="J132" s="383" t="n">
        <v>8264.940000000001</v>
      </c>
      <c r="K132" s="383" t="n">
        <v>356.97</v>
      </c>
      <c r="L132" s="382">
        <f>(J132-K132)</f>
        <v/>
      </c>
      <c r="M132" s="382">
        <f>SUM(F132,G132,H132,L132)</f>
        <v/>
      </c>
    </row>
    <row r="133">
      <c r="A133" s="2" t="inlineStr">
        <is>
          <t>Nov 24 - Nov 30 2025</t>
        </is>
      </c>
      <c r="B133" s="382" t="n"/>
      <c r="C133" s="394" t="n">
        <v>34610.97</v>
      </c>
      <c r="D133" s="300" t="n">
        <v>1063</v>
      </c>
      <c r="E133" s="394" t="n">
        <v>35264.52</v>
      </c>
      <c r="F133" s="300" t="n">
        <v>24221.36</v>
      </c>
      <c r="G133" s="394" t="n">
        <v>844.61</v>
      </c>
      <c r="H133" s="394" t="n">
        <v>565.92</v>
      </c>
      <c r="I133" s="394" t="n">
        <v>9632.629999999999</v>
      </c>
      <c r="J133" s="383" t="n">
        <v>9639.469999999999</v>
      </c>
      <c r="K133" s="383" t="n">
        <v>660.39</v>
      </c>
      <c r="L133" s="382">
        <f>(J133-K133)</f>
        <v/>
      </c>
      <c r="M133" s="382">
        <f>SUM(F133,G133,H133,L133)</f>
        <v/>
      </c>
    </row>
    <row r="134">
      <c r="A134" s="2" t="inlineStr">
        <is>
          <t>Dec 01 - Dec 07 2025</t>
        </is>
      </c>
      <c r="B134" s="382" t="n"/>
      <c r="C134" s="394" t="n">
        <v>32094.36</v>
      </c>
      <c r="D134" s="300" t="n">
        <v>966</v>
      </c>
      <c r="E134" s="394" t="n">
        <v>33345.07</v>
      </c>
      <c r="F134" s="394" t="n">
        <v>20425.93</v>
      </c>
      <c r="G134" s="394" t="n">
        <v>578.79</v>
      </c>
      <c r="H134" s="394" t="n">
        <v>551.85</v>
      </c>
      <c r="I134" s="394" t="n">
        <v>11788.5</v>
      </c>
      <c r="J134" s="383" t="n">
        <v>11717.75</v>
      </c>
      <c r="K134" s="383" t="n">
        <v>1179.96</v>
      </c>
      <c r="L134" s="382">
        <f>(J134-K134)</f>
        <v/>
      </c>
      <c r="M134" s="382">
        <f>SUM(F134,G134,H134,L134)</f>
        <v/>
      </c>
    </row>
    <row r="135">
      <c r="A135" s="299" t="inlineStr">
        <is>
          <t>Dec 08 - Dec 14 2025</t>
        </is>
      </c>
      <c r="B135" s="382" t="n"/>
      <c r="C135" s="394" t="n">
        <v>33804.03</v>
      </c>
      <c r="D135" s="300" t="inlineStr">
        <is>
          <t>1,018</t>
        </is>
      </c>
      <c r="E135" s="394" t="n">
        <v>34683.6</v>
      </c>
      <c r="F135" s="394" t="n">
        <v>22103.09</v>
      </c>
      <c r="G135" s="394" t="n">
        <v>620.99</v>
      </c>
      <c r="H135" s="394" t="n">
        <v>504.76</v>
      </c>
      <c r="I135" s="300" t="n">
        <v>11454.76</v>
      </c>
      <c r="J135" s="383" t="n">
        <v>11831.29</v>
      </c>
      <c r="K135" s="383" t="n">
        <v>1256.1</v>
      </c>
      <c r="L135" s="382">
        <f>(J135-K135)</f>
        <v/>
      </c>
      <c r="M135" s="382">
        <f>SUM(F135,G135,H135,L135)</f>
        <v/>
      </c>
    </row>
    <row r="136">
      <c r="A136" s="2" t="inlineStr">
        <is>
          <t>Dec 15 - Dec 21 2025</t>
        </is>
      </c>
      <c r="B136" s="382" t="n"/>
      <c r="C136" s="394" t="n">
        <v>35569.88</v>
      </c>
      <c r="D136" s="300" t="inlineStr">
        <is>
          <t>1,078</t>
        </is>
      </c>
      <c r="E136" s="394" t="n">
        <v>36575.23</v>
      </c>
      <c r="F136" s="394" t="n">
        <v>24496.68</v>
      </c>
      <c r="G136" s="394" t="n">
        <v>960.8200000000001</v>
      </c>
      <c r="H136" s="394" t="n">
        <v>680.74</v>
      </c>
      <c r="I136" s="300" t="n">
        <v>10436.99</v>
      </c>
      <c r="J136" s="383" t="n">
        <v>10478.79</v>
      </c>
      <c r="K136" s="383" t="n">
        <v>1047.15</v>
      </c>
      <c r="L136" s="382">
        <f>(J136-K136)</f>
        <v/>
      </c>
      <c r="M136" s="382">
        <f>SUM(F136,G136,H136,L136)</f>
        <v/>
      </c>
    </row>
    <row r="137">
      <c r="A137" s="2" t="inlineStr">
        <is>
          <t>Dec 22 - Dec 28 2025</t>
        </is>
      </c>
      <c r="B137" s="382" t="n"/>
      <c r="C137" s="394" t="n">
        <v>49998.83</v>
      </c>
      <c r="D137" s="300" t="n">
        <v>1503</v>
      </c>
      <c r="E137" s="394" t="n">
        <v>51227.24</v>
      </c>
      <c r="F137" s="394" t="n">
        <v>35558.79</v>
      </c>
      <c r="G137" s="394" t="n">
        <v>772.0599999999999</v>
      </c>
      <c r="H137" s="394" t="n">
        <v>736.64</v>
      </c>
      <c r="I137" s="394" t="n">
        <v>14159.75</v>
      </c>
      <c r="J137" s="383" t="n">
        <v>14367.87</v>
      </c>
      <c r="K137" s="383" t="n">
        <v>1436.53</v>
      </c>
      <c r="L137" s="382">
        <f>(J137-K137)</f>
        <v/>
      </c>
      <c r="M137" s="382">
        <f>SUM(F137,G137,H137,L137)</f>
        <v/>
      </c>
    </row>
    <row r="138">
      <c r="A138" s="11" t="inlineStr">
        <is>
          <t>Dec 29 - Jan 04 2026</t>
        </is>
      </c>
      <c r="B138" s="382" t="n"/>
      <c r="C138" s="394" t="n">
        <v>49199.52</v>
      </c>
      <c r="D138" s="56" t="inlineStr">
        <is>
          <t>1,402</t>
        </is>
      </c>
      <c r="E138" s="394" t="n">
        <v>50792.8</v>
      </c>
      <c r="F138" s="394" t="n">
        <v>35391.37</v>
      </c>
      <c r="G138" s="394" t="n">
        <v>1035.56</v>
      </c>
      <c r="H138" s="394" t="n">
        <v>855.5</v>
      </c>
      <c r="I138" s="300" t="n">
        <v>13510.37</v>
      </c>
      <c r="J138" s="383" t="n">
        <v>13594.33</v>
      </c>
      <c r="K138" s="383" t="n">
        <v>1677.24</v>
      </c>
      <c r="L138" s="382">
        <f>(J138-K138)</f>
        <v/>
      </c>
      <c r="M138" s="382">
        <f>SUM(F138,G138,H138,L138)</f>
        <v/>
      </c>
    </row>
    <row r="139">
      <c r="A139" s="11" t="inlineStr">
        <is>
          <t>Jan 05 - Jan 11 2026</t>
        </is>
      </c>
      <c r="B139" s="382" t="n"/>
      <c r="C139" s="394" t="n">
        <v>33778.16</v>
      </c>
      <c r="D139" s="56" t="inlineStr">
        <is>
          <t>1,049</t>
        </is>
      </c>
      <c r="E139" s="394" t="n">
        <v>35125.23</v>
      </c>
      <c r="F139" s="394" t="n">
        <v>22347.09</v>
      </c>
      <c r="G139" s="394" t="n">
        <v>381.19</v>
      </c>
      <c r="H139" s="394" t="n">
        <v>706.5700000000001</v>
      </c>
      <c r="I139" s="300" t="n">
        <v>11690.38</v>
      </c>
      <c r="J139" s="383" t="n">
        <v>11913.27</v>
      </c>
      <c r="K139" s="383" t="n">
        <v>1569.96</v>
      </c>
      <c r="L139" s="382">
        <f>(J139-K139)</f>
        <v/>
      </c>
      <c r="M139" s="382">
        <f>SUM(F139,G139,H139,L139)</f>
        <v/>
      </c>
    </row>
    <row r="140">
      <c r="A140" s="11" t="inlineStr">
        <is>
          <t>Jan 12 - Jan 18 2026</t>
        </is>
      </c>
      <c r="B140" s="382" t="n"/>
      <c r="C140" s="394" t="n">
        <v>32845.27</v>
      </c>
      <c r="D140" s="56" t="inlineStr">
        <is>
          <t>996</t>
        </is>
      </c>
      <c r="E140" s="394" t="n">
        <v>34341.92</v>
      </c>
      <c r="F140" s="394" t="n">
        <v>20852</v>
      </c>
      <c r="G140" s="394" t="n">
        <v>716.62</v>
      </c>
      <c r="H140" s="394" t="n">
        <v>430.49</v>
      </c>
      <c r="I140" s="300" t="n">
        <v>12342.81</v>
      </c>
      <c r="J140" s="383" t="n">
        <v>12353.15</v>
      </c>
      <c r="K140" s="383" t="n">
        <v>1506.99</v>
      </c>
      <c r="L140" s="382">
        <f>(J140-K140)</f>
        <v/>
      </c>
      <c r="M140" s="382">
        <f>SUM(F140,G140,H140,L140)</f>
        <v/>
      </c>
    </row>
    <row r="141">
      <c r="A141" s="30" t="inlineStr">
        <is>
          <t>Jan 19 - Jan 25 2026</t>
        </is>
      </c>
      <c r="B141" s="382" t="n"/>
      <c r="C141" s="394" t="n">
        <v>27658.55</v>
      </c>
      <c r="D141" s="56" t="inlineStr">
        <is>
          <t>829</t>
        </is>
      </c>
      <c r="E141" s="394" t="n">
        <v>28525.14</v>
      </c>
      <c r="F141" s="394" t="n">
        <v>16616.19</v>
      </c>
      <c r="G141" s="394" t="n">
        <v>614.34</v>
      </c>
      <c r="H141" s="394" t="n">
        <v>395.25</v>
      </c>
      <c r="I141" s="300" t="n">
        <v>10899.36</v>
      </c>
      <c r="J141" s="383" t="n">
        <v>11028.22</v>
      </c>
      <c r="K141" s="383" t="n">
        <v>995.45</v>
      </c>
      <c r="L141" s="382">
        <f>(J141-K141)</f>
        <v/>
      </c>
      <c r="M141" s="382">
        <f>SUM(F141,G141,H141,L141)</f>
        <v/>
      </c>
    </row>
    <row r="142">
      <c r="A142" s="30" t="inlineStr">
        <is>
          <t>Jan 26 - Feb 01 2026</t>
        </is>
      </c>
      <c r="B142" s="382" t="n"/>
      <c r="C142" s="394" t="n">
        <v>34471.94</v>
      </c>
      <c r="D142" s="300" t="inlineStr">
        <is>
          <t>1,040</t>
        </is>
      </c>
      <c r="E142" s="394" t="n">
        <v>35451.17</v>
      </c>
      <c r="F142" s="394" t="n">
        <v>23002.45</v>
      </c>
      <c r="G142" s="394" t="n">
        <v>493.67</v>
      </c>
      <c r="H142" s="394" t="n">
        <v>403.23</v>
      </c>
      <c r="I142" s="300" t="n">
        <v>11551.82</v>
      </c>
      <c r="J142" s="383" t="n">
        <v>11604.95</v>
      </c>
      <c r="K142" s="383" t="n">
        <v>1032.36</v>
      </c>
      <c r="L142" s="382">
        <f>(J142-K142)</f>
        <v/>
      </c>
      <c r="M142" s="382">
        <f>SUM(F142,G142,H142,L142)</f>
        <v/>
      </c>
    </row>
    <row r="143">
      <c r="A143" s="30" t="inlineStr">
        <is>
          <t>Feb 02 - Feb 08 2026</t>
        </is>
      </c>
      <c r="B143" s="382" t="n"/>
      <c r="C143" s="394" t="n">
        <v>32402.5</v>
      </c>
      <c r="D143" s="300" t="inlineStr">
        <is>
          <t>956</t>
        </is>
      </c>
      <c r="E143" s="394" t="n">
        <v>33447.54</v>
      </c>
      <c r="F143" s="394" t="n">
        <v>21446.81</v>
      </c>
      <c r="G143" s="394" t="n">
        <v>172.22</v>
      </c>
      <c r="H143" s="394" t="n">
        <v>403.87</v>
      </c>
      <c r="I143" s="394" t="n">
        <v>11424.64</v>
      </c>
      <c r="J143" s="383" t="n">
        <v>11486.56</v>
      </c>
      <c r="K143" s="383" t="n">
        <v>1106.96</v>
      </c>
      <c r="L143" s="382">
        <f>(J143-K143)</f>
        <v/>
      </c>
      <c r="M143" s="382">
        <f>SUM(F143,G143,H143,L143)</f>
        <v/>
      </c>
    </row>
    <row r="144">
      <c r="A144" s="11" t="inlineStr">
        <is>
          <t>Feb 09 - Feb 15 2026</t>
        </is>
      </c>
      <c r="B144" s="382" t="n"/>
      <c r="C144" s="394" t="n">
        <v>39325.71</v>
      </c>
      <c r="D144" s="300" t="inlineStr">
        <is>
          <t>1,178</t>
        </is>
      </c>
      <c r="E144" s="394" t="n">
        <v>40722.22</v>
      </c>
      <c r="F144" s="394" t="n">
        <v>26938.6</v>
      </c>
      <c r="G144" s="394" t="n">
        <v>721.84</v>
      </c>
      <c r="H144" s="394" t="n">
        <v>525.76</v>
      </c>
      <c r="I144" s="394" t="n">
        <v>12536.02</v>
      </c>
      <c r="J144" s="389" t="n">
        <v>12377.87</v>
      </c>
      <c r="K144" s="389" t="n">
        <v>1238.36</v>
      </c>
      <c r="L144" s="382">
        <f>(J144-K144)</f>
        <v/>
      </c>
      <c r="M144" s="382">
        <f>SUM(F144,G144,H144,L144)</f>
        <v/>
      </c>
    </row>
    <row r="145">
      <c r="A145" s="11" t="inlineStr">
        <is>
          <t>Feb 16 - Feb 22 2026</t>
        </is>
      </c>
      <c r="B145" s="382" t="n"/>
      <c r="C145" s="394" t="n">
        <v>31444.7</v>
      </c>
      <c r="D145" s="300" t="inlineStr">
        <is>
          <t>980</t>
        </is>
      </c>
      <c r="E145" s="394" t="n">
        <v>32445.87</v>
      </c>
      <c r="F145" s="394" t="n">
        <v>20392.18</v>
      </c>
      <c r="G145" s="394" t="n">
        <v>568.01</v>
      </c>
      <c r="H145" s="394" t="n">
        <v>432.23</v>
      </c>
      <c r="I145" s="394" t="n">
        <v>11053.45</v>
      </c>
      <c r="J145" s="389" t="n">
        <v>11198.15</v>
      </c>
      <c r="K145" s="389" t="n">
        <v>1145.87</v>
      </c>
      <c r="L145" s="382">
        <f>(J145-K145)</f>
        <v/>
      </c>
      <c r="M145" s="382">
        <f>SUM(F145,G145,H145,L145)</f>
        <v/>
      </c>
    </row>
    <row r="146">
      <c r="A146" s="11" t="inlineStr">
        <is>
          <t>Feb 23 - Mar 1 2026</t>
        </is>
      </c>
      <c r="B146" s="382" t="n"/>
      <c r="C146" s="394" t="n">
        <v>29923.78</v>
      </c>
      <c r="D146" s="300" t="inlineStr">
        <is>
          <t>912</t>
        </is>
      </c>
      <c r="E146" s="394" t="n">
        <v>30663.1</v>
      </c>
      <c r="F146" s="394" t="n">
        <v>19187.5</v>
      </c>
      <c r="G146" s="394" t="n">
        <v>516.55</v>
      </c>
      <c r="H146" s="394" t="n">
        <v>701.02</v>
      </c>
      <c r="I146" s="394" t="n">
        <v>10258.03</v>
      </c>
      <c r="J146" s="389" t="n">
        <v>10723.51</v>
      </c>
      <c r="K146" s="389" t="n">
        <v>1204.8</v>
      </c>
      <c r="L146" s="382">
        <f>(J146-K146)</f>
        <v/>
      </c>
      <c r="M146" s="382">
        <f>SUM(F146,G146,H146,L146)</f>
        <v/>
      </c>
    </row>
    <row r="147">
      <c r="A147" s="11" t="inlineStr">
        <is>
          <t>Mar 02 - Mar 08 2026</t>
        </is>
      </c>
      <c r="B147" s="382" t="n"/>
      <c r="C147" s="394" t="n">
        <v>32046.29</v>
      </c>
      <c r="D147" s="300" t="inlineStr">
        <is>
          <t>1,022</t>
        </is>
      </c>
      <c r="E147" s="394" t="n">
        <v>33206.06</v>
      </c>
      <c r="F147" s="394" t="n">
        <v>21042.24</v>
      </c>
      <c r="G147" s="394" t="n">
        <v>283.17</v>
      </c>
      <c r="H147" s="394" t="n">
        <v>471.19</v>
      </c>
      <c r="I147" s="394" t="n">
        <v>11409.46</v>
      </c>
      <c r="J147" s="389" t="n">
        <v>11358.77</v>
      </c>
      <c r="K147" s="389" t="n">
        <v>1109.08</v>
      </c>
      <c r="L147" s="382">
        <f>(J147-K147)</f>
        <v/>
      </c>
      <c r="M147" s="382">
        <f>SUM(F147,G147,H147,L147)</f>
        <v/>
      </c>
    </row>
    <row r="148">
      <c r="A148" s="11" t="inlineStr">
        <is>
          <t>Mar 09 - Mar 15 2026</t>
        </is>
      </c>
      <c r="B148" s="382" t="n"/>
      <c r="C148" s="394" t="n">
        <v>36636.96</v>
      </c>
      <c r="D148" s="300" t="inlineStr">
        <is>
          <t>1,086</t>
        </is>
      </c>
      <c r="E148" s="394" t="n">
        <v>37417.57</v>
      </c>
      <c r="F148" s="394" t="n">
        <v>24398.94</v>
      </c>
      <c r="G148" s="394" t="n">
        <v>504.28</v>
      </c>
      <c r="H148" s="394" t="n">
        <v>880.38</v>
      </c>
      <c r="I148" s="394" t="n">
        <v>11633.97</v>
      </c>
      <c r="J148" s="383" t="n">
        <v>11792.07</v>
      </c>
      <c r="K148" s="383" t="n">
        <v>938.71</v>
      </c>
      <c r="L148" s="382">
        <f>(J148-K148)</f>
        <v/>
      </c>
      <c r="M148" s="382">
        <f>SUM(F148,G148,H148,L148)</f>
        <v/>
      </c>
    </row>
    <row r="149">
      <c r="A149" s="11" t="inlineStr">
        <is>
          <t>Mar 16 - Mar 22 2026</t>
        </is>
      </c>
      <c r="B149" s="382" t="n"/>
      <c r="C149" s="394" t="n">
        <v>53093.71</v>
      </c>
      <c r="D149" s="300" t="inlineStr">
        <is>
          <t>1,522</t>
        </is>
      </c>
      <c r="E149" s="394" t="n">
        <v>54292.14</v>
      </c>
      <c r="F149" s="394" t="n">
        <v>37618.17</v>
      </c>
      <c r="G149" s="394" t="n">
        <v>580.05</v>
      </c>
      <c r="H149" s="394" t="n">
        <v>906.1799999999999</v>
      </c>
      <c r="I149" s="394" t="n">
        <v>15187.74</v>
      </c>
      <c r="J149" s="383" t="n">
        <v>15297.41</v>
      </c>
      <c r="K149" s="383" t="n">
        <v>1308.1</v>
      </c>
      <c r="L149" s="382">
        <f>(J149-K149)</f>
        <v/>
      </c>
      <c r="M149" s="382">
        <f>SUM(F149,G149,H149,L149)</f>
        <v/>
      </c>
    </row>
    <row r="150">
      <c r="A150" s="11" t="inlineStr">
        <is>
          <t>Mar 23 - Mar 29 2026</t>
        </is>
      </c>
      <c r="B150" s="382" t="n"/>
      <c r="C150" s="394" t="n">
        <v>37080.2</v>
      </c>
      <c r="D150" s="300" t="inlineStr">
        <is>
          <t>1,090</t>
        </is>
      </c>
      <c r="E150" s="394" t="n">
        <v>37725.42</v>
      </c>
      <c r="F150" s="394" t="n">
        <v>25371.39</v>
      </c>
      <c r="G150" s="394" t="n">
        <v>615.3200000000001</v>
      </c>
      <c r="H150" s="394" t="n">
        <v>431.24</v>
      </c>
      <c r="I150" s="394" t="n">
        <v>11307.47</v>
      </c>
      <c r="J150" s="312" t="n">
        <v>11362.03</v>
      </c>
      <c r="K150" s="118" t="n">
        <v>699.78</v>
      </c>
      <c r="L150" s="382">
        <f>(J150-K150)</f>
        <v/>
      </c>
      <c r="M150" s="382">
        <f>SUM(F150,G150,H150,L150)</f>
        <v/>
      </c>
    </row>
    <row r="151">
      <c r="A151" s="11" t="inlineStr">
        <is>
          <t>Mar 30 - Apr 05 2026</t>
        </is>
      </c>
      <c r="B151" s="382" t="n"/>
      <c r="C151" s="394" t="n">
        <v>43302.97</v>
      </c>
      <c r="D151" s="300" t="inlineStr">
        <is>
          <t>1,291</t>
        </is>
      </c>
      <c r="E151" s="394" t="n">
        <v>44392.95</v>
      </c>
      <c r="F151" s="394" t="n">
        <v>29338.06</v>
      </c>
      <c r="G151" s="394" t="n">
        <v>573.36</v>
      </c>
      <c r="H151" s="394" t="n">
        <v>833.48</v>
      </c>
      <c r="I151" s="394" t="n">
        <v>13648.05</v>
      </c>
      <c r="J151" s="389" t="n">
        <v>13746.13</v>
      </c>
      <c r="K151" s="312" t="n">
        <v>1188.06</v>
      </c>
      <c r="L151" s="382">
        <f>(J151-K151)</f>
        <v/>
      </c>
      <c r="M151" s="382">
        <f>SUM(F151,G151,H151,L151)</f>
        <v/>
      </c>
    </row>
    <row r="152">
      <c r="A152" s="2" t="inlineStr">
        <is>
          <t>Apr 06 - Apr 12</t>
        </is>
      </c>
      <c r="B152" s="382" t="n"/>
      <c r="C152" s="394" t="n">
        <v>33902.39</v>
      </c>
      <c r="D152" s="319" t="inlineStr">
        <is>
          <t>1,047</t>
        </is>
      </c>
      <c r="E152" s="401" t="n">
        <v>34464.77</v>
      </c>
      <c r="F152" s="401" t="n">
        <v>23530.55</v>
      </c>
      <c r="G152" s="401" t="n">
        <v>371.95</v>
      </c>
      <c r="H152" s="401" t="n">
        <v>700.62</v>
      </c>
      <c r="I152" s="401" t="n">
        <v>9861.65</v>
      </c>
      <c r="J152" s="383" t="n">
        <v>10361.22</v>
      </c>
      <c r="K152" s="383" t="n">
        <v>1061.95</v>
      </c>
      <c r="L152" s="382">
        <f>(J152-K152)</f>
        <v/>
      </c>
      <c r="M152" s="382">
        <f>SUM(F152,G152,H152,L152)</f>
        <v/>
      </c>
    </row>
    <row r="153">
      <c r="A153" s="11" t="inlineStr">
        <is>
          <t>Apr 13 - Apr 19</t>
        </is>
      </c>
      <c r="B153" s="382" t="n"/>
      <c r="C153" s="394" t="n">
        <v>35877.6</v>
      </c>
      <c r="D153" s="319" t="inlineStr">
        <is>
          <t>1,033</t>
        </is>
      </c>
      <c r="E153" s="401" t="n">
        <v>36522.67</v>
      </c>
      <c r="F153" s="401" t="n">
        <v>24918.05</v>
      </c>
      <c r="G153" s="401" t="n">
        <v>445.83</v>
      </c>
      <c r="H153" s="401" t="n">
        <v>589.6</v>
      </c>
      <c r="I153" s="401" t="n">
        <v>10569.19</v>
      </c>
      <c r="J153" s="383" t="inlineStr">
        <is>
          <t>$10,632.28</t>
        </is>
      </c>
      <c r="K153" s="383" t="inlineStr">
        <is>
          <t>$708.16</t>
        </is>
      </c>
      <c r="L153" s="382">
        <f>(J153-K153)</f>
        <v/>
      </c>
      <c r="M153" s="382">
        <f>SUM(F153,G153,H153,L153)</f>
        <v/>
      </c>
    </row>
    <row r="154">
      <c r="A154" s="11" t="inlineStr">
        <is>
          <t>Apr 20 - Apr 26</t>
        </is>
      </c>
      <c r="B154" s="382" t="n"/>
      <c r="C154" s="394" t="n">
        <v>36765.17</v>
      </c>
      <c r="D154" s="319" t="inlineStr">
        <is>
          <t>1,104</t>
        </is>
      </c>
      <c r="E154" s="401" t="n">
        <v>37384.5</v>
      </c>
      <c r="F154" s="401" t="n">
        <v>25176.62</v>
      </c>
      <c r="G154" s="401" t="n">
        <v>652.53</v>
      </c>
      <c r="H154" s="401" t="n">
        <v>482.55</v>
      </c>
      <c r="I154" s="401" t="n">
        <v>11072.8</v>
      </c>
      <c r="J154" s="383" t="n">
        <v>11364.99</v>
      </c>
      <c r="K154" s="383" t="n">
        <v>911.52</v>
      </c>
      <c r="L154" s="382">
        <f>(J154-K154)</f>
        <v/>
      </c>
      <c r="M154" s="382">
        <f>SUM(F154,G154,H154,L154)</f>
        <v/>
      </c>
    </row>
    <row r="155">
      <c r="A155" s="394" t="inlineStr">
        <is>
          <t>Apr 27 - May 03</t>
        </is>
      </c>
      <c r="B155" s="382" t="n"/>
      <c r="C155" s="394" t="n">
        <v>35937.92</v>
      </c>
      <c r="D155" s="319" t="inlineStr">
        <is>
          <t>1,106</t>
        </is>
      </c>
      <c r="E155" s="401" t="n">
        <v>36440.37</v>
      </c>
      <c r="F155" s="401" t="n">
        <v>25235.34</v>
      </c>
      <c r="G155" s="401" t="n">
        <v>500.16</v>
      </c>
      <c r="H155" s="401" t="n">
        <v>353.38</v>
      </c>
      <c r="I155" s="401" t="n">
        <v>10351.49</v>
      </c>
      <c r="J155" s="339" t="inlineStr">
        <is>
          <t>$10,290.91</t>
        </is>
      </c>
      <c r="K155" s="339" t="inlineStr">
        <is>
          <t>$441.87</t>
        </is>
      </c>
      <c r="L155" s="382">
        <f>(J155-K155)</f>
        <v/>
      </c>
      <c r="M155" s="382">
        <f>SUM(F155,G155,H155,L155)</f>
        <v/>
      </c>
      <c r="N155" s="401" t="n"/>
      <c r="O155" s="401" t="n"/>
      <c r="P155" s="401" t="n"/>
      <c r="Q155" s="401" t="n"/>
      <c r="R155" s="401" t="n"/>
      <c r="S155" s="401" t="n"/>
      <c r="T155" s="401" t="n"/>
      <c r="U155" s="401" t="n"/>
      <c r="V155" s="401" t="n"/>
      <c r="W155" s="401" t="n"/>
      <c r="X155" s="401" t="n"/>
      <c r="Y155" s="401" t="n"/>
      <c r="Z155" s="401" t="n"/>
    </row>
    <row r="156">
      <c r="A156" s="471" t="inlineStr">
        <is>
          <t>May 4 - May 10</t>
        </is>
      </c>
      <c r="B156" s="473" t="n"/>
      <c r="C156" s="471" t="n">
        <v>37355.96</v>
      </c>
      <c r="D156" s="319" t="n">
        <v>1100</v>
      </c>
      <c r="E156" s="401" t="n">
        <v>37223.94</v>
      </c>
      <c r="F156" s="401" t="n">
        <v>26619.51</v>
      </c>
      <c r="G156" s="401" t="n">
        <v>270.39</v>
      </c>
      <c r="H156" s="401" t="n">
        <v>1085.19</v>
      </c>
      <c r="I156" s="401" t="n">
        <v>9248.85</v>
      </c>
      <c r="J156" s="406" t="n">
        <v>9380.870000000001</v>
      </c>
      <c r="K156" s="401" t="n">
        <v>0</v>
      </c>
      <c r="L156" s="382">
        <f>(J156-K156)</f>
        <v/>
      </c>
      <c r="M156" s="382">
        <f>SUM(F156,G156,H156,L156)</f>
        <v/>
      </c>
      <c r="N156" s="401" t="n"/>
      <c r="O156" s="401" t="n"/>
      <c r="P156" s="401" t="n"/>
      <c r="Q156" s="401" t="n"/>
      <c r="R156" s="401" t="n"/>
      <c r="S156" s="401" t="n"/>
      <c r="T156" s="401" t="n"/>
      <c r="U156" s="401" t="n"/>
      <c r="V156" s="401" t="n"/>
      <c r="W156" s="401" t="n"/>
      <c r="X156" s="401" t="n"/>
      <c r="Y156" s="401" t="n"/>
      <c r="Z156" s="401" t="n"/>
    </row>
    <row r="157">
      <c r="A157" s="471" t="inlineStr">
        <is>
          <t>May 11 - May 17</t>
        </is>
      </c>
      <c r="B157" s="473" t="n"/>
      <c r="C157" s="471" t="n"/>
      <c r="D157" s="319" t="n">
        <v>1221</v>
      </c>
      <c r="E157" s="401" t="n">
        <v>43345.83</v>
      </c>
      <c r="F157" s="401" t="n">
        <v>30668.64</v>
      </c>
      <c r="G157" s="401" t="n">
        <v>458.86</v>
      </c>
      <c r="H157" s="401" t="n">
        <v>784.15</v>
      </c>
      <c r="I157" s="401" t="n">
        <v>11434.18</v>
      </c>
      <c r="J157" s="406" t="n"/>
      <c r="K157" s="401" t="n"/>
      <c r="L157" s="473" t="n"/>
      <c r="M157" s="473" t="n"/>
      <c r="N157" s="401" t="n"/>
      <c r="O157" s="401" t="n"/>
      <c r="P157" s="401" t="n"/>
      <c r="Q157" s="401" t="n"/>
      <c r="R157" s="401" t="n"/>
      <c r="S157" s="401" t="n"/>
      <c r="T157" s="401" t="n"/>
      <c r="U157" s="401" t="n"/>
      <c r="V157" s="401" t="n"/>
      <c r="W157" s="401" t="n"/>
      <c r="X157" s="401" t="n"/>
      <c r="Y157" s="401" t="n"/>
      <c r="Z157" s="401" t="n"/>
    </row>
    <row r="158" customFormat="1" s="3">
      <c r="A158" s="471" t="n"/>
      <c r="B158" s="473" t="n"/>
      <c r="C158" s="471" t="n"/>
      <c r="D158" s="319" t="n"/>
      <c r="E158" s="401" t="n"/>
      <c r="F158" s="401" t="n"/>
      <c r="G158" s="401" t="n"/>
      <c r="H158" s="401" t="n"/>
      <c r="I158" s="401" t="n"/>
      <c r="J158" s="406" t="n"/>
      <c r="K158" s="401" t="n"/>
      <c r="L158" s="473" t="n"/>
      <c r="M158" s="473" t="n"/>
      <c r="N158" s="401" t="n"/>
      <c r="O158" s="401" t="n"/>
      <c r="P158" s="401" t="n"/>
      <c r="Q158" s="401" t="n"/>
      <c r="R158" s="401" t="n"/>
      <c r="S158" s="401" t="n"/>
      <c r="T158" s="401" t="n"/>
      <c r="U158" s="401" t="n"/>
      <c r="V158" s="401" t="n"/>
      <c r="W158" s="401" t="n"/>
      <c r="X158" s="401" t="n"/>
      <c r="Y158" s="401" t="n"/>
      <c r="Z158" s="401" t="n"/>
    </row>
    <row r="159">
      <c r="A159" s="474" t="inlineStr">
        <is>
          <t>May 11 - May 17</t>
        </is>
      </c>
      <c r="B159" s="478" t="n"/>
      <c r="C159" s="474" t="n">
        <v>35974.85000000001</v>
      </c>
      <c r="D159" s="319" t="n">
        <v>1036</v>
      </c>
      <c r="E159" s="401" t="n">
        <v>36047.23</v>
      </c>
      <c r="F159" s="401" t="n">
        <v>26497.97</v>
      </c>
      <c r="G159" s="401" t="n">
        <v>444.93</v>
      </c>
      <c r="H159" s="401" t="n">
        <v>749.72</v>
      </c>
      <c r="I159" s="401" t="n">
        <v>8354.610000000001</v>
      </c>
      <c r="J159" s="406" t="n">
        <v>8282.23</v>
      </c>
      <c r="K159" s="401" t="n">
        <v>0</v>
      </c>
      <c r="L159" s="473">
        <f>(J157-K157)</f>
        <v/>
      </c>
      <c r="M159" s="473">
        <f>SUM(F157,G157,H157,L157)</f>
        <v/>
      </c>
      <c r="N159" s="401" t="n"/>
      <c r="O159" s="401" t="n"/>
      <c r="P159" s="401" t="n"/>
      <c r="Q159" s="401" t="n"/>
      <c r="R159" s="401" t="n"/>
      <c r="S159" s="401" t="n"/>
      <c r="T159" s="401" t="n"/>
      <c r="U159" s="401" t="n"/>
      <c r="V159" s="401" t="n"/>
      <c r="W159" s="401" t="n"/>
      <c r="X159" s="401" t="n"/>
      <c r="Y159" s="401" t="n"/>
      <c r="Z159" s="401" t="n"/>
    </row>
    <row r="160">
      <c r="A160" s="474" t="inlineStr">
        <is>
          <t>May 18 - May 24</t>
        </is>
      </c>
      <c r="B160" s="478" t="n"/>
      <c r="C160" s="474" t="n">
        <v>38082.75</v>
      </c>
      <c r="D160" s="319" t="n">
        <v>1107</v>
      </c>
      <c r="E160" s="401" t="n">
        <v>37377.63</v>
      </c>
      <c r="F160" s="401" t="n">
        <v>27954.41</v>
      </c>
      <c r="G160" s="401" t="n">
        <v>447</v>
      </c>
      <c r="H160" s="401" t="n">
        <v>517.29</v>
      </c>
      <c r="I160" s="401" t="n">
        <v>8458.93</v>
      </c>
      <c r="J160" s="406" t="n">
        <v>9164.049999999999</v>
      </c>
      <c r="K160" s="401" t="n">
        <v>0</v>
      </c>
      <c r="L160" s="473">
        <f>(J158-K158)</f>
        <v/>
      </c>
      <c r="M160" s="473">
        <f>SUM(F158,G158,H158,L158)</f>
        <v/>
      </c>
      <c r="N160" s="401" t="n"/>
      <c r="O160" s="401" t="n"/>
      <c r="P160" s="401" t="n"/>
      <c r="Q160" s="401" t="n"/>
      <c r="R160" s="401" t="n"/>
      <c r="S160" s="401" t="n"/>
      <c r="T160" s="401" t="n"/>
      <c r="U160" s="401" t="n"/>
      <c r="V160" s="401" t="n"/>
      <c r="W160" s="401" t="n"/>
      <c r="X160" s="401" t="n"/>
      <c r="Y160" s="401" t="n"/>
      <c r="Z160" s="401" t="n"/>
    </row>
    <row r="161">
      <c r="A161" s="474" t="inlineStr">
        <is>
          <t>May 25 - May 31</t>
        </is>
      </c>
      <c r="B161" s="478" t="n"/>
      <c r="C161" s="474" t="n"/>
      <c r="D161" s="319" t="n">
        <v>1221</v>
      </c>
      <c r="E161" s="401" t="n">
        <v>43345.83</v>
      </c>
      <c r="F161" s="401" t="n">
        <v>30668.64</v>
      </c>
      <c r="G161" s="401" t="n">
        <v>458.86</v>
      </c>
      <c r="H161" s="401" t="n">
        <v>784.15</v>
      </c>
      <c r="I161" s="401" t="n">
        <v>11434.18</v>
      </c>
      <c r="J161" s="406" t="n"/>
      <c r="K161" s="401" t="n"/>
      <c r="L161" s="473" t="n"/>
      <c r="M161" s="473" t="n"/>
      <c r="N161" s="401" t="n"/>
      <c r="O161" s="401" t="n"/>
      <c r="P161" s="401" t="n"/>
      <c r="Q161" s="401" t="n"/>
      <c r="R161" s="401" t="n"/>
      <c r="S161" s="401" t="n"/>
      <c r="T161" s="401" t="n"/>
      <c r="U161" s="401" t="n"/>
      <c r="V161" s="401" t="n"/>
      <c r="W161" s="401" t="n"/>
      <c r="X161" s="401" t="n"/>
      <c r="Y161" s="401" t="n"/>
      <c r="Z161" s="401" t="n"/>
    </row>
    <row r="162">
      <c r="A162" s="474" t="n"/>
      <c r="B162" s="478" t="n"/>
      <c r="C162" s="474" t="n"/>
      <c r="D162" s="319" t="n"/>
      <c r="E162" s="401" t="n"/>
      <c r="F162" s="401" t="n"/>
      <c r="G162" s="401" t="n"/>
      <c r="H162" s="401" t="n"/>
      <c r="I162" s="401" t="n"/>
      <c r="J162" s="406" t="n"/>
      <c r="K162" s="401" t="n"/>
      <c r="L162" s="473" t="n"/>
      <c r="M162" s="473" t="n"/>
      <c r="N162" s="401" t="n"/>
      <c r="O162" s="401" t="n"/>
      <c r="P162" s="401" t="n"/>
      <c r="Q162" s="401" t="n"/>
      <c r="R162" s="401" t="n"/>
      <c r="S162" s="401" t="n"/>
      <c r="T162" s="401" t="n"/>
      <c r="U162" s="401" t="n"/>
      <c r="V162" s="401" t="n"/>
      <c r="W162" s="401" t="n"/>
      <c r="X162" s="401" t="n"/>
      <c r="Y162" s="401" t="n"/>
      <c r="Z162" s="401" t="n"/>
    </row>
    <row r="163">
      <c r="A163" s="453" t="inlineStr">
        <is>
          <t>Pizza K Eglinton</t>
        </is>
      </c>
      <c r="B163" s="358" t="n"/>
      <c r="C163" s="355" t="n"/>
      <c r="D163" s="453" t="n"/>
      <c r="E163" s="453" t="n"/>
      <c r="F163" s="118" t="n"/>
      <c r="G163" s="118" t="n"/>
      <c r="H163" s="11" t="n"/>
      <c r="I163" s="118" t="n"/>
      <c r="J163" s="382" t="n"/>
      <c r="K163" s="382" t="n"/>
      <c r="L163" s="382" t="n"/>
      <c r="M163" s="382" t="n"/>
    </row>
    <row r="164">
      <c r="A164" s="454" t="inlineStr">
        <is>
          <t>Statement For Selected Period</t>
        </is>
      </c>
      <c r="B164" s="479" t="n"/>
      <c r="C164" s="454" t="inlineStr">
        <is>
          <t>Total Revenue</t>
        </is>
      </c>
      <c r="D164" s="454" t="n"/>
      <c r="E164" s="454" t="n"/>
      <c r="F164" s="480" t="n"/>
      <c r="G164" s="480" t="n"/>
      <c r="H164" s="480" t="n"/>
      <c r="I164" s="480" t="n"/>
      <c r="J164" s="480" t="n"/>
      <c r="K164" s="480" t="n"/>
      <c r="L164" s="480" t="n"/>
      <c r="M164" s="480" t="n"/>
    </row>
    <row r="165">
      <c r="A165" s="11" t="inlineStr">
        <is>
          <t>Mar 09 - Mar 15 2026</t>
        </is>
      </c>
      <c r="B165" s="56" t="n"/>
      <c r="C165" s="394" t="n">
        <v>36636.96</v>
      </c>
      <c r="D165" s="118" t="n"/>
      <c r="E165" s="118" t="n"/>
      <c r="F165" s="56" t="n"/>
      <c r="G165" s="56" t="n"/>
      <c r="H165" s="56" t="n"/>
      <c r="I165" s="56" t="n"/>
      <c r="J165" s="56" t="n"/>
      <c r="K165" s="56" t="n"/>
      <c r="L165" s="56" t="n"/>
      <c r="M165" s="56" t="n"/>
    </row>
    <row r="166">
      <c r="A166" s="11" t="inlineStr">
        <is>
          <t>Mar 16 - Mar 22 2026</t>
        </is>
      </c>
      <c r="B166" s="56" t="n"/>
      <c r="C166" s="394" t="n">
        <v>53093.71</v>
      </c>
      <c r="D166" s="118" t="n"/>
      <c r="E166" s="118" t="n"/>
      <c r="F166" s="56" t="n"/>
      <c r="G166" s="56" t="n"/>
      <c r="H166" s="56" t="n"/>
      <c r="I166" s="56" t="n"/>
      <c r="J166" s="56" t="n"/>
      <c r="K166" s="56" t="n"/>
      <c r="L166" s="56" t="n"/>
      <c r="M166" s="56" t="n"/>
    </row>
    <row r="167">
      <c r="A167" s="11" t="inlineStr">
        <is>
          <t>Mar 23 - Mar 29 2026</t>
        </is>
      </c>
      <c r="B167" s="56" t="n"/>
      <c r="C167" s="118" t="n">
        <v>37080.2</v>
      </c>
      <c r="D167" s="118" t="n"/>
      <c r="E167" s="118" t="n"/>
      <c r="F167" s="56" t="n"/>
      <c r="G167" s="56" t="n"/>
      <c r="H167" s="56" t="n"/>
      <c r="I167" s="56" t="n"/>
      <c r="J167" s="56" t="n"/>
      <c r="K167" s="56" t="n"/>
      <c r="L167" s="56" t="n"/>
      <c r="M167" s="56" t="n"/>
    </row>
    <row r="168">
      <c r="A168" s="11" t="inlineStr">
        <is>
          <t>Mar 30 - Apr 05 2026</t>
        </is>
      </c>
      <c r="B168" s="56" t="n"/>
      <c r="C168" s="394" t="n">
        <v>43302.97</v>
      </c>
      <c r="D168" s="118" t="n"/>
      <c r="E168" s="118" t="n"/>
      <c r="F168" s="56" t="n"/>
      <c r="G168" s="56" t="n"/>
      <c r="H168" s="56" t="n"/>
      <c r="I168" s="56" t="n"/>
      <c r="J168" s="56" t="n"/>
      <c r="K168" s="56" t="n"/>
      <c r="L168" s="56" t="n"/>
      <c r="M168" s="56" t="n"/>
    </row>
    <row r="169">
      <c r="A169" s="2" t="inlineStr">
        <is>
          <t>Apr 06 - Apr 12</t>
        </is>
      </c>
      <c r="B169" s="382" t="n"/>
      <c r="C169" s="394" t="n">
        <v>33902.39</v>
      </c>
    </row>
    <row r="170">
      <c r="A170" s="11" t="inlineStr">
        <is>
          <t>Apr 13 - Apr 19</t>
        </is>
      </c>
      <c r="B170" s="382" t="n"/>
      <c r="C170" s="394" t="n">
        <v>35877.6</v>
      </c>
    </row>
    <row r="171">
      <c r="A171" s="11" t="inlineStr">
        <is>
          <t>Apr 20 - Apr 26</t>
        </is>
      </c>
      <c r="B171" s="382" t="n"/>
      <c r="C171" s="394" t="n">
        <v>36765.17</v>
      </c>
    </row>
    <row r="172">
      <c r="A172" s="394" t="inlineStr">
        <is>
          <t>Apr 27 - May 03</t>
        </is>
      </c>
      <c r="B172" s="382" t="n"/>
      <c r="C172" s="394" t="n">
        <v>35937.92</v>
      </c>
    </row>
    <row r="173">
      <c r="A173" s="471" t="inlineStr">
        <is>
          <t>May 4 - May 10</t>
        </is>
      </c>
      <c r="B173" s="473" t="n"/>
      <c r="C173" s="471" t="n">
        <v>37355.96</v>
      </c>
    </row>
    <row r="174">
      <c r="A174" s="474" t="inlineStr">
        <is>
          <t>May 11 - May 17</t>
        </is>
      </c>
      <c r="B174" s="478" t="n"/>
      <c r="C174" s="474" t="n">
        <v>35974.85000000001</v>
      </c>
    </row>
    <row r="175">
      <c r="A175" s="474" t="inlineStr">
        <is>
          <t>May 18 - May 24</t>
        </is>
      </c>
      <c r="B175" s="478" t="n"/>
      <c r="C175" s="474" t="n">
        <v>38082.75</v>
      </c>
    </row>
  </sheetData>
  <mergeCells count="3">
    <mergeCell ref="G1:H1"/>
    <mergeCell ref="I1:J1"/>
    <mergeCell ref="K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1"/>
  <sheetViews>
    <sheetView topLeftCell="A60" workbookViewId="0">
      <pane ySplit="11" topLeftCell="A141" activePane="bottomLeft" state="frozen"/>
      <selection activeCell="A60" sqref="A60"/>
      <selection pane="bottomLeft" activeCell="C154" sqref="C154"/>
    </sheetView>
  </sheetViews>
  <sheetFormatPr baseColWidth="8" defaultRowHeight="14.4"/>
  <cols>
    <col width="37.33203125" customWidth="1" min="1" max="1"/>
    <col width="30.44140625" customWidth="1" min="3" max="3"/>
    <col width="16.5546875" customWidth="1" min="4" max="4"/>
    <col width="30.44140625" customWidth="1" min="5" max="5"/>
    <col width="21.88671875" customWidth="1" min="6" max="6"/>
    <col width="14.109375" customWidth="1" min="7" max="7"/>
    <col width="16.109375" customWidth="1" min="8" max="8"/>
    <col width="16.44140625" customWidth="1" min="9" max="9"/>
    <col width="17.88671875" customWidth="1" min="10" max="10"/>
    <col width="19.44140625" customWidth="1" min="11" max="11"/>
    <col width="17.109375" customWidth="1" min="12" max="12"/>
    <col width="17.44140625" customWidth="1" min="13" max="13"/>
    <col width="15.88671875" customWidth="1" min="14" max="14"/>
    <col width="14.88671875" customWidth="1" min="15" max="15"/>
    <col width="14" customWidth="1" min="16" max="16"/>
    <col width="14.6640625" customWidth="1" min="17" max="17"/>
  </cols>
  <sheetData>
    <row r="1" ht="32.4" customHeight="1">
      <c r="A1" s="360" t="inlineStr">
        <is>
          <t>Statement For Selected Period</t>
        </is>
      </c>
      <c r="B1" s="9" t="n"/>
      <c r="C1" s="361" t="inlineStr">
        <is>
          <t>Total Revenue</t>
        </is>
      </c>
      <c r="D1" s="163" t="n"/>
      <c r="E1" s="163" t="n"/>
      <c r="H1" s="361" t="n">
        <v>2023</v>
      </c>
      <c r="I1" s="355" t="n"/>
    </row>
    <row r="2" ht="27.6" customHeight="1">
      <c r="A2" s="2" t="inlineStr">
        <is>
          <t>August 28 2023 - September 3 2023</t>
        </is>
      </c>
      <c r="B2" s="9" t="n"/>
      <c r="C2" s="32" t="n"/>
      <c r="D2" s="239" t="n"/>
      <c r="E2" s="239" t="n"/>
      <c r="H2" s="2" t="inlineStr">
        <is>
          <t>January</t>
        </is>
      </c>
      <c r="I2" s="1" t="n"/>
    </row>
    <row r="3" ht="27.6" customHeight="1">
      <c r="A3" s="2" t="inlineStr">
        <is>
          <t>September 4 2023 - September 10 2023</t>
        </is>
      </c>
      <c r="B3" s="11" t="n"/>
      <c r="C3" s="32" t="n"/>
      <c r="D3" s="239" t="n"/>
      <c r="E3" s="239" t="n"/>
      <c r="H3" s="2" t="inlineStr">
        <is>
          <t>February</t>
        </is>
      </c>
      <c r="I3" s="1" t="n"/>
    </row>
    <row r="4" ht="27.6" customHeight="1">
      <c r="A4" s="2" t="inlineStr">
        <is>
          <t>September 11 2023 - September 17 2023</t>
        </is>
      </c>
      <c r="B4" s="9" t="n"/>
      <c r="C4" s="481" t="n">
        <v>19936.98</v>
      </c>
      <c r="D4" s="482" t="n"/>
      <c r="E4" s="482" t="n"/>
      <c r="H4" s="2" t="inlineStr">
        <is>
          <t>March</t>
        </is>
      </c>
      <c r="I4" s="1" t="n"/>
    </row>
    <row r="5" ht="27.6" customHeight="1">
      <c r="A5" s="2" t="inlineStr">
        <is>
          <t>September 18 2023 - September 24 2023</t>
        </is>
      </c>
      <c r="B5" s="9" t="n"/>
      <c r="C5" s="481" t="n">
        <v>26303.86</v>
      </c>
      <c r="D5" s="482" t="n"/>
      <c r="E5" s="482" t="n"/>
      <c r="H5" s="2" t="inlineStr">
        <is>
          <t>April</t>
        </is>
      </c>
      <c r="I5" s="1" t="n"/>
    </row>
    <row r="6" ht="27.6" customHeight="1">
      <c r="A6" s="2" t="inlineStr">
        <is>
          <t>September 25 2023 - October 1 2023</t>
        </is>
      </c>
      <c r="B6" s="9" t="n"/>
      <c r="C6" s="481" t="n">
        <v>26748.71</v>
      </c>
      <c r="D6" s="482" t="n"/>
      <c r="E6" s="482" t="n"/>
      <c r="H6" s="2" t="inlineStr">
        <is>
          <t>May</t>
        </is>
      </c>
      <c r="I6" s="1" t="n"/>
    </row>
    <row r="7">
      <c r="A7" s="2" t="inlineStr">
        <is>
          <t>October 2 2023 - October 8 2023</t>
        </is>
      </c>
      <c r="B7" s="9" t="n"/>
      <c r="C7" s="481" t="n">
        <v>27040.61</v>
      </c>
      <c r="D7" s="482" t="n"/>
      <c r="E7" s="482" t="n"/>
      <c r="H7" s="2" t="inlineStr">
        <is>
          <t>June</t>
        </is>
      </c>
      <c r="I7" s="1" t="n"/>
    </row>
    <row r="8">
      <c r="A8" s="2" t="inlineStr">
        <is>
          <t>October 9 2023 - October 15 2023</t>
        </is>
      </c>
      <c r="B8" s="9" t="n"/>
      <c r="C8" s="483" t="n">
        <v>23879.31</v>
      </c>
      <c r="D8" s="484" t="n"/>
      <c r="E8" s="484" t="n"/>
      <c r="H8" s="2" t="inlineStr">
        <is>
          <t>July</t>
        </is>
      </c>
      <c r="I8" s="1" t="n"/>
    </row>
    <row r="9">
      <c r="A9" s="2" t="inlineStr">
        <is>
          <t>October 16 2023 - October 22 2023</t>
        </is>
      </c>
      <c r="B9" s="9" t="n"/>
      <c r="C9" s="481" t="n">
        <v>22117.11</v>
      </c>
      <c r="D9" s="482" t="n"/>
      <c r="E9" s="482" t="n"/>
      <c r="H9" s="2" t="inlineStr">
        <is>
          <t>August</t>
        </is>
      </c>
      <c r="I9" s="1" t="n"/>
    </row>
    <row r="10">
      <c r="A10" s="2" t="inlineStr">
        <is>
          <t>October 23 2023 - October 29 2023</t>
        </is>
      </c>
      <c r="B10" s="9" t="n"/>
      <c r="C10" s="481" t="n">
        <v>23843.55</v>
      </c>
      <c r="D10" s="482" t="n"/>
      <c r="E10" s="482" t="n"/>
      <c r="H10" s="2" t="inlineStr">
        <is>
          <t>September</t>
        </is>
      </c>
      <c r="I10" s="1" t="n"/>
    </row>
    <row r="11" ht="28.2" customHeight="1" thickBot="1">
      <c r="A11" s="2" t="inlineStr">
        <is>
          <t>October 30 2023 - November 5 2023</t>
        </is>
      </c>
      <c r="B11" s="9" t="n"/>
      <c r="C11" s="483" t="n">
        <v>21104.57</v>
      </c>
      <c r="D11" s="484" t="n"/>
      <c r="E11" s="484" t="n"/>
      <c r="H11" s="2" t="inlineStr">
        <is>
          <t>October</t>
        </is>
      </c>
      <c r="I11" s="1" t="n"/>
      <c r="R11" s="10" t="n"/>
    </row>
    <row r="12" ht="27.6" customHeight="1">
      <c r="A12" s="2" t="inlineStr">
        <is>
          <t>November 6 2023 - November 12 2023</t>
        </is>
      </c>
      <c r="B12" s="9" t="n"/>
      <c r="C12" s="481" t="n">
        <v>24501.77</v>
      </c>
      <c r="D12" s="482" t="n"/>
      <c r="E12" s="482" t="n"/>
      <c r="H12" s="2" t="inlineStr">
        <is>
          <t>November</t>
        </is>
      </c>
      <c r="I12" s="1" t="n"/>
    </row>
    <row r="13" ht="27.6" customHeight="1">
      <c r="A13" s="2" t="inlineStr">
        <is>
          <t>November 13 2023 - November 19 2023</t>
        </is>
      </c>
      <c r="B13" s="9" t="n"/>
      <c r="C13" s="481" t="n">
        <v>24352.37</v>
      </c>
      <c r="D13" s="482" t="n"/>
      <c r="E13" s="482" t="n"/>
      <c r="H13" s="2" t="inlineStr">
        <is>
          <t>December</t>
        </is>
      </c>
      <c r="I13" s="1" t="n"/>
    </row>
    <row r="14" ht="27.6" customHeight="1">
      <c r="A14" s="2" t="inlineStr">
        <is>
          <t>November 20 2023 - November 26 2023</t>
        </is>
      </c>
      <c r="B14" s="9" t="n"/>
      <c r="C14" s="481" t="n">
        <v>26183.71</v>
      </c>
      <c r="D14" s="482" t="n"/>
      <c r="E14" s="482" t="n"/>
    </row>
    <row r="15" ht="27.6" customFormat="1" customHeight="1" s="22">
      <c r="A15" s="20" t="inlineStr">
        <is>
          <t>November 27 2023 - December 03 2024</t>
        </is>
      </c>
      <c r="B15" s="21" t="n"/>
      <c r="C15" s="485" t="n">
        <v>22082.62</v>
      </c>
      <c r="D15" s="486" t="n"/>
      <c r="E15" s="486" t="n"/>
    </row>
    <row r="16" ht="27.6" customHeight="1">
      <c r="A16" s="2" t="inlineStr">
        <is>
          <t>December 04 2023 - December 10 2024</t>
        </is>
      </c>
      <c r="B16" s="9" t="n"/>
      <c r="C16" s="481" t="n">
        <v>25238.83</v>
      </c>
      <c r="D16" s="482" t="n"/>
      <c r="E16" s="482" t="n"/>
    </row>
    <row r="17" ht="27.6" customHeight="1">
      <c r="A17" s="2" t="inlineStr">
        <is>
          <t>December 11 2023 - December 17 2024</t>
        </is>
      </c>
      <c r="B17" s="9" t="n"/>
      <c r="C17" s="481" t="n">
        <v>20086.32</v>
      </c>
      <c r="D17" s="482" t="n"/>
      <c r="E17" s="482" t="n"/>
    </row>
    <row r="18" ht="27.6" customHeight="1">
      <c r="A18" s="2" t="inlineStr">
        <is>
          <t>December 18 2023 - December 24 2024</t>
        </is>
      </c>
      <c r="B18" s="9" t="n"/>
      <c r="C18" s="487" t="n">
        <v>23791.89</v>
      </c>
      <c r="D18" s="482" t="n"/>
      <c r="E18" s="482" t="n"/>
    </row>
    <row r="19" ht="27.6" customHeight="1">
      <c r="A19" s="2" t="inlineStr">
        <is>
          <t>December 25 2023 - December 31 2024</t>
        </is>
      </c>
      <c r="B19" s="9" t="n"/>
      <c r="C19" s="488" t="n">
        <v>44516.8</v>
      </c>
      <c r="D19" s="489" t="n"/>
      <c r="E19" s="489" t="n"/>
    </row>
    <row r="20">
      <c r="A20" s="2" t="inlineStr">
        <is>
          <t>Jan 1 - Jan 07 2024</t>
        </is>
      </c>
      <c r="B20" s="9" t="n"/>
      <c r="C20" s="483" t="n">
        <v>21563.55</v>
      </c>
      <c r="D20" s="484" t="n"/>
      <c r="E20" s="484" t="n"/>
    </row>
    <row r="21">
      <c r="A21" s="2" t="inlineStr">
        <is>
          <t>Jan 8 - Jan 14 2024</t>
        </is>
      </c>
      <c r="B21" s="9" t="n"/>
      <c r="C21" s="490" t="n">
        <v>17092.53</v>
      </c>
      <c r="D21" s="491" t="n"/>
      <c r="E21" s="491" t="n"/>
    </row>
    <row r="22">
      <c r="A22" s="2" t="inlineStr">
        <is>
          <t>Jan 15 - Jan 21 2024</t>
        </is>
      </c>
      <c r="B22" s="39" t="n"/>
      <c r="C22" s="492" t="n">
        <v>9587.799999999999</v>
      </c>
      <c r="D22" s="484" t="n"/>
      <c r="E22" s="484" t="n"/>
    </row>
    <row r="23">
      <c r="A23" s="2" t="inlineStr">
        <is>
          <t>Jan 22 - Jan 28 2025</t>
        </is>
      </c>
      <c r="B23" s="39" t="n"/>
      <c r="C23" s="488" t="n">
        <v>20279.16</v>
      </c>
      <c r="D23" s="489" t="n"/>
      <c r="E23" s="489" t="n"/>
    </row>
    <row r="24">
      <c r="A24" s="27" t="inlineStr">
        <is>
          <t>Jan 29 - Feb 04 2026</t>
        </is>
      </c>
      <c r="B24" s="29" t="n"/>
      <c r="C24" s="492" t="n">
        <v>19566.21</v>
      </c>
      <c r="D24" s="484" t="n"/>
      <c r="E24" s="484" t="n"/>
    </row>
    <row r="25">
      <c r="A25" s="2" t="inlineStr">
        <is>
          <t>Feb 05 - Feb 11 2026</t>
        </is>
      </c>
      <c r="B25" s="9" t="n"/>
      <c r="C25" s="483" t="n">
        <v>19072.64</v>
      </c>
      <c r="D25" s="484" t="n"/>
      <c r="E25" s="484" t="n"/>
    </row>
    <row r="26">
      <c r="A26" s="27" t="inlineStr">
        <is>
          <t>Feb 12 - Feb 18 2024</t>
        </is>
      </c>
      <c r="B26" s="42" t="n"/>
      <c r="C26" s="493" t="n">
        <v>24809.13</v>
      </c>
      <c r="D26" s="489" t="n"/>
      <c r="E26" s="489" t="n"/>
    </row>
    <row r="27">
      <c r="A27" s="27" t="inlineStr">
        <is>
          <t>Feb 19 - Feb 25 2024</t>
        </is>
      </c>
      <c r="B27" s="42" t="n"/>
      <c r="C27" s="494" t="n">
        <v>19568.48</v>
      </c>
      <c r="D27" s="495" t="n"/>
      <c r="E27" s="495" t="n"/>
    </row>
    <row r="28">
      <c r="A28" s="45" t="inlineStr">
        <is>
          <t>Feb 26 - Mar 03, 2024</t>
        </is>
      </c>
      <c r="B28" s="9" t="n"/>
      <c r="C28" s="496" t="n">
        <v>22062.46</v>
      </c>
      <c r="D28" s="495" t="n"/>
      <c r="E28" s="495" t="n"/>
    </row>
    <row r="29">
      <c r="A29" s="45" t="inlineStr">
        <is>
          <t>Mar 04 - Mar 10, 2024</t>
        </is>
      </c>
      <c r="B29" s="9" t="n"/>
      <c r="C29" s="496" t="n">
        <v>26606.86</v>
      </c>
      <c r="D29" s="495" t="n"/>
      <c r="E29" s="495" t="n"/>
    </row>
    <row r="30">
      <c r="A30" s="45" t="inlineStr">
        <is>
          <t>Mar 11 - Mar 17, 2024</t>
        </is>
      </c>
      <c r="B30" s="9" t="n"/>
      <c r="C30" s="496" t="n">
        <v>18437.35</v>
      </c>
      <c r="D30" s="495" t="n"/>
      <c r="E30" s="495" t="n"/>
    </row>
    <row r="31">
      <c r="A31" s="45" t="inlineStr">
        <is>
          <t>Mar 18 - Mar 25, 2024</t>
        </is>
      </c>
      <c r="B31" s="9" t="n"/>
      <c r="C31" s="496" t="n">
        <v>19189.58</v>
      </c>
      <c r="D31" s="495" t="n"/>
      <c r="E31" s="495" t="n"/>
    </row>
    <row r="32">
      <c r="A32" s="45" t="inlineStr">
        <is>
          <t>Mar 25 - Mar 31, 2024</t>
        </is>
      </c>
      <c r="B32" s="9" t="n"/>
      <c r="C32" s="496" t="n">
        <v>29294.77</v>
      </c>
      <c r="D32" s="495" t="n"/>
      <c r="E32" s="495" t="n"/>
    </row>
    <row r="33">
      <c r="A33" s="2" t="inlineStr">
        <is>
          <t>Apr 1 - Apr 07 2024</t>
        </is>
      </c>
      <c r="B33" s="9" t="n"/>
      <c r="C33" s="496" t="n">
        <v>27484.28</v>
      </c>
      <c r="D33" s="495" t="n"/>
      <c r="E33" s="495" t="n"/>
    </row>
    <row r="34">
      <c r="A34" s="27" t="inlineStr">
        <is>
          <t>Apr 8 - Apr 14 2024</t>
        </is>
      </c>
      <c r="B34" s="42" t="n"/>
      <c r="C34" s="494" t="n">
        <v>46447.58</v>
      </c>
      <c r="D34" s="495" t="n"/>
      <c r="E34" s="495" t="n"/>
    </row>
    <row r="35">
      <c r="A35" s="27" t="inlineStr">
        <is>
          <t>Apr 15 - Apr 21 2024</t>
        </is>
      </c>
      <c r="B35" s="42" t="n"/>
      <c r="C35" s="494" t="n">
        <v>30151.22</v>
      </c>
      <c r="D35" s="495" t="n"/>
      <c r="E35" s="495" t="n"/>
    </row>
    <row r="36">
      <c r="A36" s="27" t="inlineStr">
        <is>
          <t>Apr 22 - Apr 28 2024</t>
        </is>
      </c>
      <c r="B36" s="42" t="n"/>
      <c r="C36" s="497" t="n">
        <v>32989.24</v>
      </c>
      <c r="D36" s="498" t="n"/>
      <c r="E36" s="498" t="n"/>
    </row>
    <row r="37">
      <c r="A37" s="27" t="inlineStr">
        <is>
          <t>Apr 29 - May 5 2024</t>
        </is>
      </c>
      <c r="B37" s="42" t="n"/>
      <c r="C37" s="494" t="n">
        <v>31382.04</v>
      </c>
      <c r="D37" s="495" t="n"/>
      <c r="E37" s="495" t="n"/>
    </row>
    <row r="38">
      <c r="A38" s="27" t="inlineStr">
        <is>
          <t>May 6 - May 12 2024</t>
        </is>
      </c>
      <c r="B38" s="42" t="n"/>
      <c r="C38" s="494" t="n">
        <v>33493.47</v>
      </c>
      <c r="D38" s="495" t="n"/>
      <c r="E38" s="495" t="n"/>
    </row>
    <row r="39">
      <c r="A39" s="27" t="inlineStr">
        <is>
          <t>May 13 - May 19 2024</t>
        </is>
      </c>
      <c r="B39" s="42" t="n"/>
      <c r="C39" s="494" t="n">
        <v>33863.91</v>
      </c>
      <c r="D39" s="495" t="n"/>
      <c r="E39" s="495" t="n"/>
    </row>
    <row r="40">
      <c r="A40" s="27" t="inlineStr">
        <is>
          <t>May 20 - May 26 2024</t>
        </is>
      </c>
      <c r="B40" s="42" t="n"/>
      <c r="C40" s="494" t="n">
        <v>38001.61</v>
      </c>
      <c r="D40" s="495" t="n"/>
      <c r="E40" s="495" t="n"/>
    </row>
    <row r="41">
      <c r="A41" s="2" t="inlineStr">
        <is>
          <t>May 27 - Jun 02 2024</t>
        </is>
      </c>
      <c r="B41" s="9" t="n"/>
      <c r="C41" s="494" t="n">
        <v>33360.74</v>
      </c>
      <c r="D41" s="495" t="n"/>
      <c r="E41" s="495" t="n"/>
    </row>
    <row r="42">
      <c r="A42" s="2" t="inlineStr">
        <is>
          <t>Jun 03 - Jun 09 2024</t>
        </is>
      </c>
      <c r="B42" s="39" t="n"/>
      <c r="C42" s="496" t="n">
        <v>30911.73</v>
      </c>
      <c r="D42" s="495" t="n"/>
      <c r="E42" s="495" t="n"/>
    </row>
    <row r="43">
      <c r="A43" s="2" t="inlineStr">
        <is>
          <t>Jun 10 - Jun 16 2024</t>
        </is>
      </c>
      <c r="B43" s="39" t="n"/>
      <c r="C43" s="496" t="n">
        <v>42076.09</v>
      </c>
      <c r="D43" s="495" t="n"/>
      <c r="E43" s="495" t="n"/>
    </row>
    <row r="44">
      <c r="A44" s="27" t="inlineStr">
        <is>
          <t>Jun 17 - Jun 23 2024</t>
        </is>
      </c>
      <c r="B44" s="54" t="n"/>
      <c r="C44" s="494" t="n">
        <v>42428.13</v>
      </c>
      <c r="D44" s="495" t="n"/>
      <c r="E44" s="495" t="n"/>
    </row>
    <row r="45">
      <c r="A45" s="27" t="inlineStr">
        <is>
          <t>Jun 24 - Jun 30 2024</t>
        </is>
      </c>
      <c r="B45" s="42" t="n"/>
      <c r="C45" s="494" t="n">
        <v>46172.33</v>
      </c>
      <c r="D45" s="495" t="n"/>
      <c r="E45" s="495" t="n"/>
    </row>
    <row r="46">
      <c r="A46" s="2" t="inlineStr">
        <is>
          <t>Jul 1 - Jul 7 2024</t>
        </is>
      </c>
      <c r="B46" s="9" t="n"/>
      <c r="C46" s="496" t="n">
        <v>52905.38</v>
      </c>
      <c r="D46" s="495" t="n"/>
      <c r="E46" s="495" t="n"/>
    </row>
    <row r="47">
      <c r="A47" s="27" t="inlineStr">
        <is>
          <t>Jul 8 - Jul 14 2024</t>
        </is>
      </c>
      <c r="B47" s="42" t="n"/>
      <c r="C47" s="494" t="n">
        <v>36971.47</v>
      </c>
      <c r="D47" s="495" t="n"/>
      <c r="E47" s="495" t="n"/>
    </row>
    <row r="48">
      <c r="A48" s="30" t="inlineStr">
        <is>
          <t>Jul 15 - Jul 21 2024</t>
        </is>
      </c>
      <c r="B48" s="99" t="n"/>
      <c r="C48" s="499" t="n">
        <v>41428.68</v>
      </c>
      <c r="D48" s="500" t="n"/>
      <c r="E48" s="500" t="n"/>
    </row>
    <row r="49">
      <c r="A49" s="2" t="inlineStr">
        <is>
          <t>Jul 22 - Jul 28 2024</t>
        </is>
      </c>
      <c r="B49" s="109" t="n"/>
      <c r="C49" s="501" t="n">
        <v>44753.59</v>
      </c>
      <c r="D49" s="502" t="n"/>
      <c r="E49" s="502" t="n"/>
    </row>
    <row r="50">
      <c r="A50" s="27" t="inlineStr">
        <is>
          <t>Jul 29 - Aug 04 2024</t>
        </is>
      </c>
      <c r="B50" s="110" t="n"/>
      <c r="C50" s="503" t="n">
        <v>51909.66</v>
      </c>
      <c r="D50" s="502" t="n"/>
      <c r="E50" s="502" t="n"/>
    </row>
    <row r="51">
      <c r="A51" s="2" t="inlineStr">
        <is>
          <t>Aug 05 - Aug 11 2024</t>
        </is>
      </c>
      <c r="B51" s="109" t="n"/>
      <c r="C51" s="501" t="n">
        <v>54296.89</v>
      </c>
      <c r="D51" s="502" t="n"/>
      <c r="E51" s="502" t="n"/>
    </row>
    <row r="52">
      <c r="A52" s="2" t="inlineStr">
        <is>
          <t>Aug 12 - Aug 18 2024</t>
        </is>
      </c>
      <c r="B52" s="109" t="n"/>
      <c r="C52" s="501" t="n">
        <v>53846.11</v>
      </c>
      <c r="D52" s="502" t="n"/>
      <c r="E52" s="502" t="n"/>
    </row>
    <row r="53">
      <c r="A53" s="2" t="inlineStr">
        <is>
          <t>Aug 19 - Aug 25 2024</t>
        </is>
      </c>
      <c r="B53" s="109" t="n"/>
      <c r="C53" s="389" t="n">
        <v>47499.52</v>
      </c>
      <c r="D53" s="457" t="n"/>
      <c r="E53" s="457" t="n"/>
    </row>
    <row r="54">
      <c r="A54" s="2" t="inlineStr">
        <is>
          <t>Aug 26 - Sep 01 2024</t>
        </is>
      </c>
      <c r="B54" s="109" t="n"/>
      <c r="C54" s="389" t="n">
        <v>54527.68</v>
      </c>
      <c r="D54" s="457" t="n"/>
      <c r="E54" s="457" t="n"/>
    </row>
    <row r="55">
      <c r="A55" s="2" t="inlineStr">
        <is>
          <t>Sep 02 - Sep 08 2024</t>
        </is>
      </c>
      <c r="B55" s="109" t="n"/>
      <c r="C55" s="389" t="n">
        <v>45859</v>
      </c>
      <c r="D55" s="457" t="n"/>
      <c r="E55" s="457" t="n"/>
    </row>
    <row r="56">
      <c r="A56" s="2" t="inlineStr">
        <is>
          <t>Sep 09 - Sep 15 2024</t>
        </is>
      </c>
      <c r="B56" s="109" t="n"/>
      <c r="C56" s="389" t="n">
        <v>43847.55</v>
      </c>
      <c r="D56" s="457" t="n"/>
      <c r="E56" s="457" t="n"/>
    </row>
    <row r="57">
      <c r="A57" s="2" t="inlineStr">
        <is>
          <t>Sep 16 - Sep 22 2024</t>
        </is>
      </c>
      <c r="B57" s="109" t="n"/>
      <c r="C57" s="389" t="n">
        <v>41825.83</v>
      </c>
      <c r="D57" s="457" t="n"/>
      <c r="E57" s="457" t="n"/>
    </row>
    <row r="58">
      <c r="A58" s="2" t="inlineStr">
        <is>
          <t>Sep 23 - Sep 29 2024</t>
        </is>
      </c>
      <c r="B58" s="109" t="n"/>
      <c r="C58" s="389" t="n">
        <v>42377.66</v>
      </c>
      <c r="D58" s="457" t="n"/>
      <c r="E58" s="457" t="n"/>
    </row>
    <row r="59">
      <c r="A59" s="2" t="inlineStr">
        <is>
          <t>Sep 30 - Oct 06 2024</t>
        </is>
      </c>
      <c r="B59" s="109" t="n"/>
      <c r="C59" s="389" t="n">
        <v>43808.33</v>
      </c>
      <c r="D59" s="457" t="n"/>
      <c r="E59" s="457" t="n"/>
    </row>
    <row r="60">
      <c r="A60" s="2" t="inlineStr">
        <is>
          <t>Oct 07 - Oct 13 2024</t>
        </is>
      </c>
      <c r="B60" s="109" t="n"/>
      <c r="C60" s="389" t="n">
        <v>52344.21</v>
      </c>
      <c r="D60" s="457" t="n"/>
      <c r="E60" s="457" t="n"/>
    </row>
    <row r="61">
      <c r="A61" s="2" t="inlineStr">
        <is>
          <t>Oct 14 - Oct 20 2024</t>
        </is>
      </c>
      <c r="B61" s="109" t="n"/>
      <c r="C61" s="389" t="n">
        <v>51932.82</v>
      </c>
      <c r="D61" s="457" t="n"/>
      <c r="E61" s="457" t="n"/>
    </row>
    <row r="62">
      <c r="A62" s="2" t="inlineStr">
        <is>
          <t>Oct 21 - Oct 27 2024</t>
        </is>
      </c>
      <c r="B62" s="109" t="n"/>
      <c r="C62" s="389" t="n">
        <v>45777.79</v>
      </c>
      <c r="D62" s="457" t="n"/>
      <c r="E62" s="457" t="n"/>
    </row>
    <row r="63">
      <c r="A63" s="2" t="inlineStr">
        <is>
          <t>Oct 28 - Nov 03 2024</t>
        </is>
      </c>
      <c r="B63" s="109" t="n"/>
      <c r="C63" s="389" t="n">
        <v>45639.83</v>
      </c>
      <c r="D63" s="457" t="n"/>
      <c r="E63" s="457" t="n"/>
    </row>
    <row r="64">
      <c r="A64" s="2" t="inlineStr">
        <is>
          <t>Nov 4 - Nov 10 2024</t>
        </is>
      </c>
      <c r="B64" s="109" t="n"/>
      <c r="C64" s="389" t="n">
        <v>48315.7</v>
      </c>
      <c r="D64" s="457" t="n"/>
      <c r="E64" s="457" t="n"/>
    </row>
    <row r="65">
      <c r="A65" s="2" t="inlineStr">
        <is>
          <t>Nov 11 - Nov 17 2024</t>
        </is>
      </c>
      <c r="B65" s="109" t="n"/>
      <c r="C65" s="389" t="n">
        <v>44643.47</v>
      </c>
      <c r="D65" s="457" t="n"/>
      <c r="E65" s="457" t="n"/>
    </row>
    <row r="66" ht="15" customHeight="1" thickBot="1">
      <c r="A66" s="2" t="inlineStr">
        <is>
          <t>Nov 18 - Nov 24 2024</t>
        </is>
      </c>
      <c r="B66" s="109" t="n"/>
      <c r="C66" s="389" t="n">
        <v>43508.31</v>
      </c>
      <c r="D66" s="457" t="n"/>
      <c r="E66" s="457" t="n"/>
    </row>
    <row r="67" ht="18" customHeight="1" thickBot="1">
      <c r="A67" s="2" t="inlineStr">
        <is>
          <t>Nov 25 - Dec 01 2024</t>
        </is>
      </c>
      <c r="B67" s="109" t="n"/>
      <c r="C67" s="389" t="n">
        <v>45439.31</v>
      </c>
      <c r="D67" s="457" t="n"/>
      <c r="E67" s="457" t="n"/>
      <c r="F67" s="151" t="n"/>
      <c r="G67" s="152" t="n"/>
      <c r="H67" s="504" t="n"/>
    </row>
    <row r="68" ht="18" customHeight="1" thickBot="1">
      <c r="A68" s="2" t="inlineStr">
        <is>
          <t>Dec 02 - Dec 08 2024</t>
        </is>
      </c>
      <c r="B68" s="109" t="n"/>
      <c r="C68" s="389" t="n">
        <v>37215.02</v>
      </c>
      <c r="D68" s="457" t="n"/>
      <c r="E68" s="457" t="n"/>
      <c r="F68" s="154" t="n"/>
      <c r="G68" s="152" t="n"/>
      <c r="H68" s="504" t="n"/>
    </row>
    <row r="69" ht="17.4" customHeight="1">
      <c r="A69" s="27" t="inlineStr">
        <is>
          <t>Dec 09 - Dec 15 2024</t>
        </is>
      </c>
      <c r="B69" s="110" t="n"/>
      <c r="C69" s="505" t="n">
        <v>37559.1</v>
      </c>
      <c r="D69" s="457" t="n"/>
      <c r="E69" s="457" t="n"/>
      <c r="F69" s="155" t="n"/>
      <c r="G69" s="156" t="n"/>
      <c r="H69" s="506" t="n"/>
    </row>
    <row r="70" ht="41.4" customHeight="1">
      <c r="A70" s="2" t="inlineStr">
        <is>
          <t>Dec 16 - Dec 22 2024</t>
        </is>
      </c>
      <c r="B70" s="56" t="n"/>
      <c r="C70" s="389" t="n">
        <v>43475.56</v>
      </c>
      <c r="D70" s="389" t="inlineStr">
        <is>
          <t>Bill Count</t>
        </is>
      </c>
      <c r="E70" s="507" t="inlineStr">
        <is>
          <t>TB Total</t>
        </is>
      </c>
      <c r="F70" s="361" t="inlineStr">
        <is>
          <t>In Store</t>
        </is>
      </c>
      <c r="G70" s="361" t="inlineStr">
        <is>
          <t>Skip</t>
        </is>
      </c>
      <c r="H70" s="361" t="inlineStr">
        <is>
          <t>DD</t>
        </is>
      </c>
      <c r="I70" s="361" t="inlineStr">
        <is>
          <t>Uber TB</t>
        </is>
      </c>
      <c r="J70" s="361" t="inlineStr">
        <is>
          <t>FC Rev</t>
        </is>
      </c>
      <c r="K70" s="361" t="inlineStr">
        <is>
          <t>FC Marketing</t>
        </is>
      </c>
      <c r="L70" s="361" t="inlineStr">
        <is>
          <t>Chickentarian Rev</t>
        </is>
      </c>
      <c r="M70" s="361" t="inlineStr">
        <is>
          <t>Chickentarian Marketing</t>
        </is>
      </c>
      <c r="N70" s="361" t="inlineStr">
        <is>
          <t>Smash Rev</t>
        </is>
      </c>
      <c r="O70" s="361" t="inlineStr">
        <is>
          <t>Smash Marketing</t>
        </is>
      </c>
      <c r="P70" s="361" t="inlineStr">
        <is>
          <t>Uber (After Discount)</t>
        </is>
      </c>
      <c r="Q70" s="361" t="inlineStr">
        <is>
          <t>Total Revenue</t>
        </is>
      </c>
    </row>
    <row r="71">
      <c r="A71" s="2" t="inlineStr">
        <is>
          <t>Dec 23 - Dec 29 2024</t>
        </is>
      </c>
      <c r="B71" s="56" t="n"/>
      <c r="C71" s="389" t="n">
        <v>89842.47</v>
      </c>
      <c r="D71" s="389" t="n"/>
      <c r="E71" s="389" t="n"/>
      <c r="F71" s="373">
        <f>C71-(I71+G71+H71)</f>
        <v/>
      </c>
      <c r="G71" s="373" t="n">
        <v>174.68</v>
      </c>
      <c r="H71" s="373" t="n">
        <v>971.89</v>
      </c>
      <c r="I71" s="373" t="n">
        <v>3025.65</v>
      </c>
      <c r="J71" s="56" t="n"/>
    </row>
    <row r="72">
      <c r="A72" s="2" t="inlineStr">
        <is>
          <t>Dec 30 - Jan 05 2025</t>
        </is>
      </c>
      <c r="B72" s="56" t="n"/>
      <c r="C72" s="389" t="n">
        <v>77438.75</v>
      </c>
      <c r="D72" s="389" t="n"/>
      <c r="E72" s="389" t="n"/>
      <c r="F72" s="373">
        <f>C72-(I72+G72+H72)</f>
        <v/>
      </c>
      <c r="G72" s="373" t="n">
        <v>421.45</v>
      </c>
      <c r="H72" s="373" t="n">
        <v>171.72</v>
      </c>
      <c r="I72" s="373" t="n">
        <v>2832.93</v>
      </c>
      <c r="J72" s="56" t="n"/>
    </row>
    <row r="73">
      <c r="A73" s="2" t="inlineStr">
        <is>
          <t>Jan 06 - Jan 12 2025</t>
        </is>
      </c>
      <c r="B73" s="56" t="n"/>
      <c r="C73" s="389" t="n">
        <v>39667.86</v>
      </c>
      <c r="D73" s="389" t="n"/>
      <c r="E73" s="389" t="n"/>
      <c r="F73" s="56" t="n"/>
      <c r="G73" s="56" t="n"/>
      <c r="H73" s="56" t="n"/>
      <c r="I73" s="56" t="n"/>
      <c r="J73" s="56" t="n"/>
    </row>
    <row r="74">
      <c r="A74" s="2" t="inlineStr">
        <is>
          <t>Jan 13 - Jan 19 2025</t>
        </is>
      </c>
      <c r="B74" s="56" t="n"/>
      <c r="C74" s="391" t="n">
        <v>44859.21</v>
      </c>
      <c r="D74" s="391" t="n"/>
      <c r="E74" s="391" t="n"/>
      <c r="F74" s="389" t="n">
        <v>41435.41</v>
      </c>
      <c r="G74" s="373" t="n">
        <v>210.42</v>
      </c>
      <c r="H74" s="373" t="n">
        <v>346.95</v>
      </c>
      <c r="I74" s="373" t="n">
        <v>2866.43</v>
      </c>
      <c r="J74" s="390" t="n">
        <v>2750.28</v>
      </c>
      <c r="K74" s="460" t="n"/>
      <c r="L74" s="460" t="n"/>
      <c r="M74" s="460" t="n"/>
      <c r="N74" s="460" t="n"/>
      <c r="O74" s="460" t="n"/>
    </row>
    <row r="75">
      <c r="A75" s="2" t="inlineStr">
        <is>
          <t>Jan 20 - Jan 26 2025</t>
        </is>
      </c>
      <c r="B75" s="56" t="n"/>
      <c r="C75" s="373" t="n">
        <v>44159.58</v>
      </c>
      <c r="D75" s="373" t="n"/>
      <c r="E75" s="373" t="n"/>
      <c r="F75" s="373" t="n">
        <v>41486.14</v>
      </c>
      <c r="G75" s="373" t="n">
        <v>380.65</v>
      </c>
      <c r="H75" s="373" t="n">
        <v>43.38</v>
      </c>
      <c r="I75" s="373" t="n">
        <v>2249.41</v>
      </c>
      <c r="J75" s="56" t="n"/>
    </row>
    <row r="76">
      <c r="A76" s="2" t="inlineStr">
        <is>
          <t>Jan 27 - Feb 02 2025</t>
        </is>
      </c>
      <c r="B76" s="56" t="n"/>
      <c r="C76" s="373" t="n">
        <v>41432.64</v>
      </c>
      <c r="D76" s="373" t="n"/>
      <c r="E76" s="373" t="n"/>
      <c r="F76" s="373" t="n">
        <v>38186.99</v>
      </c>
      <c r="G76" s="373" t="n">
        <v>362.55</v>
      </c>
      <c r="H76" s="373" t="n">
        <v>433.19</v>
      </c>
      <c r="I76" s="373" t="n">
        <v>2449.91</v>
      </c>
      <c r="J76" s="56" t="n"/>
    </row>
    <row r="77">
      <c r="A77" s="2" t="inlineStr">
        <is>
          <t>Feb 03 - Feb 09 2025</t>
        </is>
      </c>
      <c r="B77" s="56" t="n"/>
      <c r="C77" s="391" t="n">
        <v>42408.88</v>
      </c>
      <c r="D77" s="391" t="n"/>
      <c r="E77" s="391" t="n"/>
      <c r="F77" s="389" t="n">
        <v>39376.72</v>
      </c>
      <c r="G77" s="389" t="n">
        <v>240.13</v>
      </c>
      <c r="H77" s="389" t="n">
        <v>186.2</v>
      </c>
      <c r="I77" s="389" t="n">
        <v>2605.83</v>
      </c>
      <c r="J77" s="56" t="n"/>
    </row>
    <row r="78">
      <c r="A78" s="2" t="inlineStr">
        <is>
          <t>Feb 10 - Feb 16 2025</t>
        </is>
      </c>
      <c r="B78" s="56" t="n"/>
      <c r="C78" s="391" t="n">
        <v>38328.99</v>
      </c>
      <c r="D78" s="391" t="n"/>
      <c r="E78" s="391" t="n"/>
      <c r="F78" s="389" t="n">
        <v>36670.19</v>
      </c>
      <c r="G78" s="389" t="n">
        <v>169.34</v>
      </c>
      <c r="H78" s="389" t="n">
        <v>37.47</v>
      </c>
      <c r="I78" s="389" t="n">
        <v>1451.99</v>
      </c>
      <c r="J78" s="56" t="n"/>
    </row>
    <row r="79">
      <c r="A79" s="2" t="inlineStr">
        <is>
          <t>Feb 17 - Feb 23 2025</t>
        </is>
      </c>
      <c r="B79" s="109" t="n"/>
      <c r="C79" s="391" t="n">
        <v>55100.66</v>
      </c>
      <c r="D79" s="391" t="n"/>
      <c r="E79" s="391" t="n"/>
      <c r="F79" s="389" t="n">
        <v>51373.3</v>
      </c>
      <c r="G79" s="389" t="n">
        <v>344.81</v>
      </c>
      <c r="H79" s="389" t="n">
        <v>76.09</v>
      </c>
      <c r="I79" s="389" t="n">
        <v>3306.46</v>
      </c>
      <c r="J79" s="56" t="n"/>
    </row>
    <row r="80">
      <c r="A80" s="27" t="inlineStr">
        <is>
          <t>Feb 24 - Mar 02 2025</t>
        </is>
      </c>
      <c r="B80" s="110" t="n"/>
      <c r="C80" s="463" t="n">
        <v>38257.93</v>
      </c>
      <c r="D80" s="463" t="n"/>
      <c r="E80" s="463" t="n"/>
      <c r="F80" s="505" t="n">
        <v>35952.52</v>
      </c>
      <c r="G80" s="505" t="n">
        <v>274.03</v>
      </c>
      <c r="H80" s="505" t="n">
        <v>23.38</v>
      </c>
      <c r="I80" s="505" t="n">
        <v>2008</v>
      </c>
      <c r="J80" s="55" t="n"/>
    </row>
    <row r="81">
      <c r="A81" s="418" t="inlineStr">
        <is>
          <t>Mar 03 - Mar 09 2025</t>
        </is>
      </c>
      <c r="B81" s="449" t="n"/>
      <c r="C81" s="420" t="n">
        <v>43531.99</v>
      </c>
      <c r="D81" s="420" t="n"/>
      <c r="E81" s="420" t="n"/>
      <c r="F81" s="394" t="n">
        <v>39887.7</v>
      </c>
      <c r="G81" s="394" t="n">
        <v>219.35</v>
      </c>
      <c r="H81" s="394" t="n">
        <v>234.34</v>
      </c>
      <c r="I81" s="394" t="n">
        <v>3190.6</v>
      </c>
      <c r="J81" s="382" t="n"/>
      <c r="K81" s="382" t="n"/>
      <c r="L81" s="382" t="n"/>
      <c r="M81" s="382" t="n"/>
      <c r="N81" s="382" t="n"/>
      <c r="O81" s="382" t="n"/>
      <c r="P81" s="382" t="n"/>
      <c r="Q81" s="382" t="n"/>
    </row>
    <row r="82">
      <c r="A82" s="418" t="inlineStr">
        <is>
          <t>Mar 10 - Mar 16 2025</t>
        </is>
      </c>
      <c r="B82" s="449" t="n"/>
      <c r="C82" s="420" t="n">
        <v>59192.5</v>
      </c>
      <c r="D82" s="420" t="n"/>
      <c r="E82" s="420" t="n"/>
      <c r="F82" s="394" t="n">
        <v>56306.62</v>
      </c>
      <c r="G82" s="394" t="n">
        <v>306.77</v>
      </c>
      <c r="H82" s="382" t="n">
        <v>110.65</v>
      </c>
      <c r="I82" s="394" t="n">
        <v>2509.93</v>
      </c>
      <c r="J82" s="445" t="n">
        <v>2617.51</v>
      </c>
      <c r="K82" s="444" t="n">
        <v>149.05</v>
      </c>
      <c r="L82" s="444" t="n"/>
      <c r="M82" s="444" t="n"/>
      <c r="N82" s="444" t="n"/>
      <c r="O82" s="444" t="n"/>
      <c r="P82" s="382">
        <f>(J82-K82)</f>
        <v/>
      </c>
      <c r="Q82" s="382">
        <f>SUM(F82,G82,H82,P82)</f>
        <v/>
      </c>
    </row>
    <row r="83">
      <c r="A83" s="418" t="inlineStr">
        <is>
          <t>Mar 17 - Mar 23 2025</t>
        </is>
      </c>
      <c r="B83" s="449" t="n"/>
      <c r="C83" s="420" t="n">
        <v>56656.53000000001</v>
      </c>
      <c r="D83" s="420" t="n"/>
      <c r="E83" s="420" t="n"/>
      <c r="F83" s="394" t="n">
        <v>52209.01</v>
      </c>
      <c r="G83" s="394" t="n">
        <v>254.79</v>
      </c>
      <c r="H83" s="394" t="n">
        <v>80.97</v>
      </c>
      <c r="I83" s="394" t="n">
        <v>4481.31</v>
      </c>
      <c r="J83" s="445" t="n">
        <v>4427.92</v>
      </c>
      <c r="K83" s="444" t="n">
        <v>316.16</v>
      </c>
      <c r="L83" s="444" t="n"/>
      <c r="M83" s="444" t="n"/>
      <c r="N83" s="444" t="n"/>
      <c r="O83" s="444" t="n"/>
      <c r="P83" s="382">
        <f>(J83-K83)</f>
        <v/>
      </c>
      <c r="Q83" s="382">
        <f>SUM(F83,G83,H83,P83)</f>
        <v/>
      </c>
    </row>
    <row r="84">
      <c r="A84" s="382" t="inlineStr">
        <is>
          <t>Mar 24 - Mar 30 2025</t>
        </is>
      </c>
      <c r="B84" s="449" t="n"/>
      <c r="C84" s="420" t="n">
        <v>70466.62</v>
      </c>
      <c r="D84" s="420" t="n"/>
      <c r="E84" s="420" t="n"/>
      <c r="F84" s="389" t="n">
        <v>65804.91</v>
      </c>
      <c r="G84" s="389" t="n">
        <v>260.59</v>
      </c>
      <c r="H84" s="389" t="n">
        <v>116.93</v>
      </c>
      <c r="I84" s="389" t="n">
        <v>3929.61</v>
      </c>
      <c r="J84" s="390" t="n">
        <v>4284.19</v>
      </c>
      <c r="K84" s="382" t="n">
        <v>0</v>
      </c>
      <c r="L84" s="382" t="n"/>
      <c r="M84" s="382" t="n"/>
      <c r="N84" s="382" t="n"/>
      <c r="O84" s="382" t="n"/>
      <c r="P84" s="382">
        <f>(J84-K84)</f>
        <v/>
      </c>
      <c r="Q84" s="382">
        <f>SUM(F84,G84,H84,P84)</f>
        <v/>
      </c>
    </row>
    <row r="85">
      <c r="A85" s="382" t="inlineStr">
        <is>
          <t>Mar 31 - Apr 6 2025</t>
        </is>
      </c>
      <c r="B85" s="449" t="n"/>
      <c r="C85" s="420" t="n">
        <v>65442.42</v>
      </c>
      <c r="D85" s="420" t="n"/>
      <c r="E85" s="420" t="n"/>
      <c r="F85" s="389" t="n">
        <v>61646.29</v>
      </c>
      <c r="G85" s="389" t="n">
        <v>89.75</v>
      </c>
      <c r="H85" s="389" t="n">
        <v>283.22</v>
      </c>
      <c r="I85" s="389" t="n">
        <v>3465.36</v>
      </c>
      <c r="J85" s="390" t="n">
        <v>3423.16</v>
      </c>
      <c r="K85" s="382" t="n">
        <v>0</v>
      </c>
      <c r="L85" s="382" t="n"/>
      <c r="M85" s="382" t="n"/>
      <c r="N85" s="382" t="n"/>
      <c r="O85" s="382" t="n"/>
      <c r="P85" s="382">
        <f>(J85-K85)</f>
        <v/>
      </c>
      <c r="Q85" s="382">
        <f>SUM(F85,G85,H85,P85)</f>
        <v/>
      </c>
    </row>
    <row r="86">
      <c r="A86" s="382" t="inlineStr">
        <is>
          <t>Apr 7 - Apr 13 2025</t>
        </is>
      </c>
      <c r="B86" s="449" t="n"/>
      <c r="C86" s="420" t="n">
        <v>56383.64</v>
      </c>
      <c r="D86" s="420" t="n"/>
      <c r="E86" s="420" t="n"/>
      <c r="F86" s="389" t="n">
        <v>52694.01</v>
      </c>
      <c r="G86" s="389" t="n">
        <v>329.73</v>
      </c>
      <c r="H86" s="389" t="n">
        <v>251.06</v>
      </c>
      <c r="I86" s="389" t="n">
        <v>3494.58</v>
      </c>
      <c r="J86" s="390" t="n">
        <v>3380.84</v>
      </c>
      <c r="K86" s="383" t="n">
        <v>272</v>
      </c>
      <c r="L86" s="383" t="n"/>
      <c r="M86" s="383" t="n"/>
      <c r="N86" s="383" t="n"/>
      <c r="O86" s="383" t="n"/>
      <c r="P86" s="382">
        <f>(J86-K86)</f>
        <v/>
      </c>
      <c r="Q86" s="382">
        <f>SUM(F86,G86,H86,P86)</f>
        <v/>
      </c>
    </row>
    <row r="87">
      <c r="A87" s="382" t="inlineStr">
        <is>
          <t>Apr 14 - Apr 20 2025</t>
        </is>
      </c>
      <c r="B87" s="449" t="n"/>
      <c r="C87" s="420" t="n">
        <v>72066.39999999999</v>
      </c>
      <c r="D87" s="420" t="n"/>
      <c r="E87" s="420" t="n"/>
      <c r="F87" s="389" t="n">
        <v>67953.78</v>
      </c>
      <c r="G87" s="389" t="n">
        <v>287.06</v>
      </c>
      <c r="H87" s="389" t="n">
        <v>521.5</v>
      </c>
      <c r="I87" s="389" t="n">
        <v>3469.83</v>
      </c>
      <c r="J87" s="390" t="n">
        <v>3484.22</v>
      </c>
      <c r="K87" s="383" t="n">
        <v>180.16</v>
      </c>
      <c r="L87" s="383" t="n"/>
      <c r="M87" s="383" t="n"/>
      <c r="N87" s="383" t="n"/>
      <c r="O87" s="383" t="n"/>
      <c r="P87" s="382">
        <f>(J87-K87)</f>
        <v/>
      </c>
      <c r="Q87" s="382">
        <f>SUM(F87,G87,H87,P87)</f>
        <v/>
      </c>
    </row>
    <row r="88">
      <c r="A88" s="382" t="inlineStr">
        <is>
          <t>Apr 21 - Apr 27 2025</t>
        </is>
      </c>
      <c r="B88" s="449" t="n"/>
      <c r="C88" s="391" t="n">
        <v>55031.27</v>
      </c>
      <c r="D88" s="391" t="n"/>
      <c r="E88" s="391" t="n"/>
      <c r="F88" s="389" t="n">
        <v>51573.96</v>
      </c>
      <c r="G88" s="389" t="n">
        <v>189.97</v>
      </c>
      <c r="H88" s="389" t="n">
        <v>277.59</v>
      </c>
      <c r="I88" s="389" t="n">
        <v>2967.88</v>
      </c>
      <c r="J88" s="390" t="n">
        <v>3105.9</v>
      </c>
      <c r="K88" s="383" t="n">
        <v>116.15</v>
      </c>
      <c r="L88" s="383" t="n"/>
      <c r="M88" s="383" t="n"/>
      <c r="N88" s="383" t="n"/>
      <c r="O88" s="383" t="n"/>
      <c r="P88" s="382">
        <f>(J88-K88)</f>
        <v/>
      </c>
      <c r="Q88" s="382">
        <f>SUM(F88,G88,H88,P88)</f>
        <v/>
      </c>
    </row>
    <row r="89">
      <c r="A89" s="382" t="inlineStr">
        <is>
          <t>Apr 28 - May 04 2025</t>
        </is>
      </c>
      <c r="B89" s="449" t="n"/>
      <c r="C89" s="420" t="n">
        <v>54863.13</v>
      </c>
      <c r="D89" s="420" t="n"/>
      <c r="E89" s="420" t="n"/>
      <c r="F89" s="389" t="n">
        <v>51416.75</v>
      </c>
      <c r="G89" s="389" t="n">
        <v>107.43</v>
      </c>
      <c r="H89" s="389" t="n">
        <v>341.33</v>
      </c>
      <c r="I89" s="389" t="n">
        <v>3043.92</v>
      </c>
      <c r="J89" s="390" t="n">
        <v>3050.42</v>
      </c>
      <c r="K89" s="383" t="n">
        <v>52.8</v>
      </c>
      <c r="L89" s="383" t="n"/>
      <c r="M89" s="383" t="n"/>
      <c r="N89" s="383" t="n"/>
      <c r="O89" s="383" t="n"/>
      <c r="P89" s="382">
        <f>(J89-K89)</f>
        <v/>
      </c>
      <c r="Q89" s="382">
        <f>SUM(F89,G89,H89,P89)</f>
        <v/>
      </c>
    </row>
    <row r="90">
      <c r="A90" s="382" t="inlineStr">
        <is>
          <t>May 05 - May 11 2025</t>
        </is>
      </c>
      <c r="B90" s="449" t="n"/>
      <c r="C90" s="420" t="n">
        <v>58615.74</v>
      </c>
      <c r="D90" s="420" t="n"/>
      <c r="E90" s="391" t="n">
        <v>58655.27</v>
      </c>
      <c r="F90" s="389" t="n">
        <v>55827.69</v>
      </c>
      <c r="G90" s="389" t="n">
        <v>317.86</v>
      </c>
      <c r="H90" s="389" t="n">
        <v>130.13</v>
      </c>
      <c r="I90" s="389" t="n">
        <v>2379.59</v>
      </c>
      <c r="J90" s="390" t="n">
        <v>2340.06</v>
      </c>
      <c r="K90" s="383" t="n">
        <v>0</v>
      </c>
      <c r="L90" s="383" t="n"/>
      <c r="M90" s="383" t="n"/>
      <c r="N90" s="383" t="n"/>
      <c r="O90" s="383" t="n"/>
      <c r="P90" s="382">
        <f>(J90-K90)</f>
        <v/>
      </c>
      <c r="Q90" s="382">
        <f>SUM(F90,G90,H90,P90)</f>
        <v/>
      </c>
    </row>
    <row r="91">
      <c r="A91" s="382" t="inlineStr">
        <is>
          <t>May 12 - May 18 2025</t>
        </is>
      </c>
      <c r="B91" s="449" t="n"/>
      <c r="C91" s="420" t="n">
        <v>64103.37</v>
      </c>
      <c r="D91" s="420" t="n"/>
      <c r="E91" s="391" t="n">
        <v>64319.69</v>
      </c>
      <c r="F91" s="389" t="n">
        <v>61079.04</v>
      </c>
      <c r="G91" s="389" t="n">
        <v>296.9</v>
      </c>
      <c r="H91" s="389" t="n">
        <v>15.7</v>
      </c>
      <c r="I91" s="389" t="n">
        <v>2928.05</v>
      </c>
      <c r="J91" s="390" t="n">
        <v>2711.73</v>
      </c>
      <c r="K91" s="383" t="n">
        <v>0</v>
      </c>
      <c r="L91" s="383" t="n"/>
      <c r="M91" s="383" t="n"/>
      <c r="N91" s="383" t="n"/>
      <c r="O91" s="383" t="n"/>
      <c r="P91" s="382">
        <f>(J91-K91)</f>
        <v/>
      </c>
      <c r="Q91" s="382">
        <f>SUM(F91,G91,H91,P91)</f>
        <v/>
      </c>
    </row>
    <row r="92">
      <c r="A92" s="382" t="inlineStr">
        <is>
          <t>May 19 - May 25 2025</t>
        </is>
      </c>
      <c r="B92" s="449" t="n"/>
      <c r="C92" s="420" t="n">
        <v>66835.92999999999</v>
      </c>
      <c r="D92" s="420" t="n"/>
      <c r="E92" s="391" t="n">
        <v>66620.85000000001</v>
      </c>
      <c r="F92" s="389" t="n">
        <v>63351.22</v>
      </c>
      <c r="G92" s="389" t="n">
        <v>509.1</v>
      </c>
      <c r="H92" s="389" t="n">
        <v>149.31</v>
      </c>
      <c r="I92" s="389" t="n">
        <v>2611.22</v>
      </c>
      <c r="J92" s="383" t="n">
        <v>2826.3</v>
      </c>
      <c r="K92" s="383" t="n">
        <v>0</v>
      </c>
      <c r="L92" s="383" t="n"/>
      <c r="M92" s="383" t="n"/>
      <c r="N92" s="383" t="n"/>
      <c r="O92" s="383" t="n"/>
      <c r="P92" s="382">
        <f>(J92-K92)</f>
        <v/>
      </c>
      <c r="Q92" s="382">
        <f>SUM(F92,G92,H92,P92)</f>
        <v/>
      </c>
    </row>
    <row r="93">
      <c r="A93" s="382" t="inlineStr">
        <is>
          <t>May 26 - June 01 2025</t>
        </is>
      </c>
      <c r="B93" s="449" t="n"/>
      <c r="C93" s="420" t="n">
        <v>63466.7</v>
      </c>
      <c r="D93" s="420" t="n"/>
      <c r="E93" s="391" t="n">
        <v>63478.08</v>
      </c>
      <c r="F93" s="389" t="n">
        <v>60452.9</v>
      </c>
      <c r="G93" s="389" t="n">
        <v>279.82</v>
      </c>
      <c r="H93" s="389" t="n">
        <v>252.03</v>
      </c>
      <c r="I93" s="389" t="n">
        <v>2493.33</v>
      </c>
      <c r="J93" s="390" t="n">
        <v>2465.75</v>
      </c>
      <c r="K93" s="383" t="n">
        <v>0</v>
      </c>
      <c r="L93" s="390" t="n">
        <v>16.2</v>
      </c>
      <c r="M93" s="383" t="n">
        <v>0</v>
      </c>
      <c r="N93" s="383" t="n">
        <v>0</v>
      </c>
      <c r="O93" s="383" t="n">
        <v>0</v>
      </c>
      <c r="P93" s="382">
        <f>(J93-K93)+(L93-M93)</f>
        <v/>
      </c>
      <c r="Q93" s="382">
        <f>SUM(F93,G93,H93,P93)</f>
        <v/>
      </c>
    </row>
    <row r="94">
      <c r="A94" s="394" t="inlineStr">
        <is>
          <t>June 02 - June 08 2025</t>
        </is>
      </c>
      <c r="B94" s="399" t="n"/>
      <c r="C94" s="420" t="n">
        <v>74504.60000000001</v>
      </c>
      <c r="D94" s="420" t="n"/>
      <c r="E94" s="391" t="n">
        <v>74512.66</v>
      </c>
      <c r="F94" s="389" t="n">
        <v>70969.24000000001</v>
      </c>
      <c r="G94" s="389" t="n">
        <v>655.6</v>
      </c>
      <c r="H94" s="11" t="n">
        <v>0</v>
      </c>
      <c r="I94" s="389" t="n">
        <v>2887.82</v>
      </c>
      <c r="J94" s="395" t="n">
        <v>2829.42</v>
      </c>
      <c r="K94" s="395" t="n">
        <v>0</v>
      </c>
      <c r="L94" s="390" t="n">
        <v>50.34</v>
      </c>
      <c r="M94" s="395" t="n">
        <v>0</v>
      </c>
      <c r="N94" s="395" t="n">
        <v>0</v>
      </c>
      <c r="O94" s="395" t="n">
        <v>0</v>
      </c>
      <c r="P94" s="394">
        <f>(J94-K94)+(L94-M94)</f>
        <v/>
      </c>
      <c r="Q94" s="394">
        <f>SUM(F94,G94,H94,P94)</f>
        <v/>
      </c>
    </row>
    <row r="95">
      <c r="A95" s="394" t="inlineStr">
        <is>
          <t>June 09 - June 15 2025</t>
        </is>
      </c>
      <c r="B95" s="399" t="n"/>
      <c r="C95" s="394" t="n">
        <v>68465.64</v>
      </c>
      <c r="D95" s="394" t="n"/>
      <c r="E95" s="391" t="n">
        <v>68484.61</v>
      </c>
      <c r="F95" s="389" t="n">
        <v>64870.47</v>
      </c>
      <c r="G95" s="389" t="n">
        <v>295.88</v>
      </c>
      <c r="H95" s="11" t="n">
        <v>0</v>
      </c>
      <c r="I95" s="389" t="n">
        <v>3318.26</v>
      </c>
      <c r="J95" s="390" t="n">
        <v>3299.29</v>
      </c>
      <c r="K95" s="394" t="n">
        <v>0</v>
      </c>
      <c r="L95" s="394" t="n">
        <v>0</v>
      </c>
      <c r="M95" s="394" t="n">
        <v>0</v>
      </c>
      <c r="N95" s="394" t="n">
        <v>0</v>
      </c>
      <c r="O95" s="394" t="n">
        <v>0</v>
      </c>
      <c r="P95" s="394">
        <f>(J95-K95)+(L95-M95)</f>
        <v/>
      </c>
      <c r="Q95" s="394">
        <f>SUM(F95,G95,H95,P95)</f>
        <v/>
      </c>
    </row>
    <row r="96">
      <c r="A96" s="394" t="inlineStr">
        <is>
          <t>June 16 - June 22 2025</t>
        </is>
      </c>
      <c r="B96" s="399" t="n"/>
      <c r="C96" s="394" t="n">
        <v>64651.96000000001</v>
      </c>
      <c r="D96" s="394" t="n"/>
      <c r="E96" s="391" t="n">
        <v>64628.14</v>
      </c>
      <c r="F96" s="389" t="n">
        <v>62071.43</v>
      </c>
      <c r="G96" s="389" t="n">
        <v>308.12</v>
      </c>
      <c r="H96" s="11" t="n">
        <v>0</v>
      </c>
      <c r="I96" s="389" t="n">
        <v>2248.59</v>
      </c>
      <c r="J96" s="390" t="n">
        <v>2256.82</v>
      </c>
      <c r="K96" s="394" t="n">
        <v>0</v>
      </c>
      <c r="L96" s="394" t="n">
        <v>0</v>
      </c>
      <c r="M96" s="394" t="n">
        <v>0</v>
      </c>
      <c r="N96" s="390" t="n">
        <v>15.59</v>
      </c>
      <c r="O96" s="394" t="n">
        <v>0</v>
      </c>
      <c r="P96" s="394">
        <f>(J96-K96)+(L96-M96)+(N96-O96)</f>
        <v/>
      </c>
      <c r="Q96" s="394">
        <f>SUM(F96,G96,H96,P96)</f>
        <v/>
      </c>
    </row>
    <row r="97">
      <c r="A97" s="394" t="inlineStr">
        <is>
          <t>June 23 - June 29 2025</t>
        </is>
      </c>
      <c r="B97" s="399" t="n"/>
      <c r="C97" s="394" t="n">
        <v>64214.65</v>
      </c>
      <c r="D97" s="394" t="n"/>
      <c r="E97" s="391" t="n">
        <v>64145.69</v>
      </c>
      <c r="F97" s="389" t="n">
        <v>61398.03</v>
      </c>
      <c r="G97" s="389" t="n">
        <v>206.83</v>
      </c>
      <c r="H97" s="11" t="n">
        <v>0</v>
      </c>
      <c r="I97" s="389" t="n">
        <v>2540.83</v>
      </c>
      <c r="J97" s="390" t="n">
        <v>2544.13</v>
      </c>
      <c r="K97" s="394" t="n">
        <v>0</v>
      </c>
      <c r="L97" s="390" t="n">
        <v>65.66</v>
      </c>
      <c r="M97" s="394" t="n">
        <v>0</v>
      </c>
      <c r="N97" s="394" t="n">
        <v>0</v>
      </c>
      <c r="O97" s="394" t="n">
        <v>0</v>
      </c>
      <c r="P97" s="394">
        <f>(J97-K97)+(L97-M97)+(N97-O97)</f>
        <v/>
      </c>
      <c r="Q97" s="394">
        <f>SUM(F97,G97,H97,P97)</f>
        <v/>
      </c>
    </row>
    <row r="98">
      <c r="A98" s="394" t="inlineStr">
        <is>
          <t>June 30 - July 06 2025</t>
        </is>
      </c>
      <c r="B98" s="399" t="n"/>
      <c r="C98" s="394" t="n">
        <v>85251.13</v>
      </c>
      <c r="D98" s="394" t="n"/>
      <c r="E98" s="391" t="n">
        <v>85140.47</v>
      </c>
      <c r="F98" s="389" t="n">
        <v>81944.22</v>
      </c>
      <c r="G98" s="389" t="n">
        <v>486.19</v>
      </c>
      <c r="H98" s="389" t="n">
        <v>33.58</v>
      </c>
      <c r="I98" s="389" t="n">
        <v>2676.48</v>
      </c>
      <c r="J98" s="390" t="n">
        <v>2787.14</v>
      </c>
      <c r="K98" s="394" t="n">
        <v>0</v>
      </c>
      <c r="L98" s="394" t="n">
        <v>0</v>
      </c>
      <c r="M98" s="394" t="n">
        <v>0</v>
      </c>
      <c r="N98" s="394" t="n">
        <v>0</v>
      </c>
      <c r="O98" s="394" t="n">
        <v>0</v>
      </c>
      <c r="P98" s="394">
        <f>(J98-K98)+(L98-M98)+(N98-O98)</f>
        <v/>
      </c>
      <c r="Q98" s="394">
        <f>SUM(F98,G98,H98,P98)</f>
        <v/>
      </c>
    </row>
    <row r="99">
      <c r="A99" s="394" t="inlineStr">
        <is>
          <t>July 07 - July 13 2025</t>
        </is>
      </c>
      <c r="B99" s="399" t="n"/>
      <c r="C99" s="394" t="n">
        <v>71226.32999999999</v>
      </c>
      <c r="D99" s="394" t="n"/>
      <c r="E99" s="391" t="n">
        <v>71205.28999999999</v>
      </c>
      <c r="F99" s="389" t="n">
        <v>67920.92</v>
      </c>
      <c r="G99" s="389" t="n">
        <v>392.79</v>
      </c>
      <c r="H99" s="389" t="n">
        <v>187.36</v>
      </c>
      <c r="I99" s="389" t="n">
        <v>2704.22</v>
      </c>
      <c r="J99" s="390" t="n">
        <v>2725.26</v>
      </c>
      <c r="K99" s="394" t="n">
        <v>0</v>
      </c>
      <c r="L99" s="394" t="n">
        <v>0</v>
      </c>
      <c r="M99" s="394" t="n">
        <v>0</v>
      </c>
      <c r="N99" s="394" t="n">
        <v>0</v>
      </c>
      <c r="O99" s="394" t="n">
        <v>0</v>
      </c>
      <c r="P99" s="394">
        <f>(J99-K99)+(L99-M99)+(N99-O99)</f>
        <v/>
      </c>
      <c r="Q99" s="394">
        <f>SUM(F99,G99,H99,P99)</f>
        <v/>
      </c>
    </row>
    <row r="100">
      <c r="A100" s="394" t="inlineStr">
        <is>
          <t>July 14 - July 20 2025</t>
        </is>
      </c>
      <c r="B100" s="399" t="n"/>
      <c r="C100" s="394" t="n">
        <v>73279.98</v>
      </c>
      <c r="D100" s="293" t="n">
        <v>2035</v>
      </c>
      <c r="E100" s="391" t="n">
        <v>72922.74000000001</v>
      </c>
      <c r="F100" s="389" t="n">
        <v>70067.34</v>
      </c>
      <c r="G100" s="389" t="n">
        <v>244.37</v>
      </c>
      <c r="H100" s="389" t="n">
        <v>171.17</v>
      </c>
      <c r="I100" s="389" t="n">
        <v>2439.86</v>
      </c>
      <c r="J100" s="390" t="n">
        <v>2797.1</v>
      </c>
      <c r="K100" s="394" t="n">
        <v>0</v>
      </c>
      <c r="L100" s="394" t="n">
        <v>0</v>
      </c>
      <c r="M100" s="394" t="n">
        <v>0</v>
      </c>
      <c r="N100" s="394" t="n">
        <v>0</v>
      </c>
      <c r="O100" s="394" t="n">
        <v>0</v>
      </c>
      <c r="P100" s="394">
        <f>(J100-K100)+(L100-M100)+(N100-O100)</f>
        <v/>
      </c>
      <c r="Q100" s="394">
        <f>SUM(F100,G100,H100,P100)</f>
        <v/>
      </c>
    </row>
    <row r="101">
      <c r="A101" s="394" t="inlineStr">
        <is>
          <t>July 21 - July 27 2025</t>
        </is>
      </c>
      <c r="B101" s="399" t="n"/>
      <c r="C101" s="394" t="n">
        <v>69592.61</v>
      </c>
      <c r="D101" s="293" t="n">
        <v>1955</v>
      </c>
      <c r="E101" s="391" t="n">
        <v>70061.5</v>
      </c>
      <c r="F101" s="389" t="n">
        <v>65896.94</v>
      </c>
      <c r="G101" s="389" t="n">
        <v>423.69</v>
      </c>
      <c r="H101" s="389" t="n">
        <v>224.76</v>
      </c>
      <c r="I101" s="389" t="n">
        <v>3516.11</v>
      </c>
      <c r="J101" s="508" t="n">
        <v>3031.33</v>
      </c>
      <c r="K101" s="394" t="n">
        <v>0</v>
      </c>
      <c r="L101" s="508" t="n">
        <v>15.89</v>
      </c>
      <c r="M101" s="394" t="n">
        <v>0</v>
      </c>
      <c r="N101" s="394" t="n">
        <v>0</v>
      </c>
      <c r="O101" s="394" t="n">
        <v>0</v>
      </c>
      <c r="P101" s="394">
        <f>(J101-K101)+(L101-M101)+(N101-O101)</f>
        <v/>
      </c>
      <c r="Q101" s="394">
        <f>SUM(F101,G101,H101,P101)</f>
        <v/>
      </c>
    </row>
    <row r="102">
      <c r="A102" s="394" t="inlineStr">
        <is>
          <t>July 28 - Aug 03 2025</t>
        </is>
      </c>
      <c r="B102" s="399" t="n"/>
      <c r="C102" s="394" t="n">
        <v>76659.06</v>
      </c>
      <c r="D102" s="293" t="n">
        <v>2014</v>
      </c>
      <c r="E102" s="391" t="n">
        <v>76082.34</v>
      </c>
      <c r="F102" s="389" t="n">
        <v>74236.59</v>
      </c>
      <c r="G102" s="389" t="n">
        <v>40.5</v>
      </c>
      <c r="H102" s="389" t="n">
        <v>181.83</v>
      </c>
      <c r="I102" s="389" t="n">
        <v>1623.42</v>
      </c>
      <c r="J102" s="390" t="n">
        <v>2200.14</v>
      </c>
      <c r="K102" s="394" t="n">
        <v>0</v>
      </c>
      <c r="L102" s="394" t="n">
        <v>0</v>
      </c>
      <c r="M102" s="394" t="n">
        <v>0</v>
      </c>
      <c r="N102" s="394" t="n">
        <v>0</v>
      </c>
      <c r="O102" s="394" t="n">
        <v>0</v>
      </c>
      <c r="P102" s="394">
        <f>(J102-K102)+(L102-M102)+(N102-O102)</f>
        <v/>
      </c>
      <c r="Q102" s="394">
        <f>SUM(F102,G102,H102,P102)</f>
        <v/>
      </c>
    </row>
    <row r="103">
      <c r="A103" s="394" t="inlineStr">
        <is>
          <t>Aug 04 - Aug 10 2025</t>
        </is>
      </c>
      <c r="B103" s="399" t="n"/>
      <c r="C103" s="394" t="n">
        <v>69552.59</v>
      </c>
      <c r="D103" s="293" t="n">
        <v>1979</v>
      </c>
      <c r="E103" s="391" t="n">
        <v>69742.44</v>
      </c>
      <c r="F103" s="389" t="n">
        <v>66070.17</v>
      </c>
      <c r="G103" s="389" t="n">
        <v>110.54</v>
      </c>
      <c r="H103" s="389" t="n">
        <v>192.77</v>
      </c>
      <c r="I103" s="389" t="n">
        <v>3368.96</v>
      </c>
      <c r="J103" s="390" t="n">
        <v>3179.11</v>
      </c>
      <c r="K103" s="394" t="n">
        <v>0</v>
      </c>
      <c r="L103" s="394" t="n">
        <v>0</v>
      </c>
      <c r="M103" s="394" t="n">
        <v>0</v>
      </c>
      <c r="N103" s="394" t="n">
        <v>0</v>
      </c>
      <c r="O103" s="394" t="n">
        <v>0</v>
      </c>
      <c r="P103" s="394">
        <f>(J103-K103)+(L103-M103)+(N103-O103)</f>
        <v/>
      </c>
      <c r="Q103" s="394">
        <f>SUM(F103,G103,H103,P103)</f>
        <v/>
      </c>
    </row>
    <row r="104">
      <c r="A104" s="394" t="inlineStr">
        <is>
          <t>Aug 11 - Aug 17 2025</t>
        </is>
      </c>
      <c r="B104" s="399" t="n"/>
      <c r="C104" s="394" t="n">
        <v>70303.48999999999</v>
      </c>
      <c r="D104" s="293" t="n">
        <v>2181</v>
      </c>
      <c r="E104" s="391" t="n">
        <v>70565.17999999999</v>
      </c>
      <c r="F104" s="389" t="n">
        <v>66906.03</v>
      </c>
      <c r="G104" s="389" t="n">
        <v>294.62</v>
      </c>
      <c r="H104" s="389" t="n">
        <v>363.03</v>
      </c>
      <c r="I104" s="389" t="n">
        <v>3001.5</v>
      </c>
      <c r="J104" s="390" t="n">
        <v>2739.81</v>
      </c>
      <c r="K104" s="394" t="n">
        <v>0</v>
      </c>
      <c r="L104" s="394" t="n">
        <v>0</v>
      </c>
      <c r="M104" s="394" t="n">
        <v>0</v>
      </c>
      <c r="N104" s="394" t="n">
        <v>0</v>
      </c>
      <c r="O104" s="394" t="n">
        <v>0</v>
      </c>
      <c r="P104" s="394">
        <f>(J104-K104)+(L104-M104)+(N104-O104)</f>
        <v/>
      </c>
      <c r="Q104" s="394">
        <f>SUM(F104,G104,H104,P104)</f>
        <v/>
      </c>
    </row>
    <row r="105">
      <c r="A105" s="394" t="inlineStr">
        <is>
          <t>Aug 18 - Aug 24 2025</t>
        </is>
      </c>
      <c r="B105" s="399" t="n"/>
      <c r="C105" s="394" t="n">
        <v>67644.62</v>
      </c>
      <c r="D105" s="293" t="n">
        <v>2225</v>
      </c>
      <c r="E105" s="391" t="n">
        <v>67396.75999999999</v>
      </c>
      <c r="F105" s="389" t="n">
        <v>64676.56</v>
      </c>
      <c r="G105" s="389" t="n">
        <v>142.2</v>
      </c>
      <c r="H105" s="389" t="n">
        <v>215.16</v>
      </c>
      <c r="I105" s="389" t="n">
        <v>2362.84</v>
      </c>
      <c r="J105" s="390" t="n">
        <v>2593.35</v>
      </c>
      <c r="K105" s="394" t="n">
        <v>0</v>
      </c>
      <c r="L105" s="394" t="n">
        <v>0</v>
      </c>
      <c r="M105" s="394" t="n">
        <v>0</v>
      </c>
      <c r="N105" s="390" t="n">
        <v>22.78</v>
      </c>
      <c r="O105" s="383" t="n">
        <v>5.43</v>
      </c>
      <c r="P105" s="394">
        <f>(J105-K105)+(L105-M105)+(N105-O105)</f>
        <v/>
      </c>
      <c r="Q105" s="394">
        <f>SUM(F105,G105,H105,P105)</f>
        <v/>
      </c>
    </row>
    <row r="106">
      <c r="A106" s="394" t="inlineStr">
        <is>
          <t>Aug 25 - Aug 31 2025</t>
        </is>
      </c>
      <c r="B106" s="399" t="n"/>
      <c r="C106" s="394" t="n">
        <v>75626.59</v>
      </c>
      <c r="D106" s="293" t="n">
        <v>2024</v>
      </c>
      <c r="E106" s="391" t="n">
        <v>75977.24000000001</v>
      </c>
      <c r="F106" s="389" t="n">
        <v>71910.28</v>
      </c>
      <c r="G106" s="389" t="n">
        <v>33.58</v>
      </c>
      <c r="H106" s="389" t="n">
        <v>343.55</v>
      </c>
      <c r="I106" s="389" t="n">
        <v>3689.83</v>
      </c>
      <c r="J106" s="390" t="n">
        <v>3304.7</v>
      </c>
      <c r="K106" s="394" t="n">
        <v>0</v>
      </c>
      <c r="L106" s="390" t="n">
        <v>34.48</v>
      </c>
      <c r="M106" s="394" t="n">
        <v>0</v>
      </c>
      <c r="N106" s="394" t="n">
        <v>0</v>
      </c>
      <c r="O106" s="394" t="n">
        <v>0</v>
      </c>
      <c r="P106" s="394">
        <f>(J106-K106)+(L106-M106)+(N106-O106)</f>
        <v/>
      </c>
      <c r="Q106" s="394">
        <f>SUM(F106,G106,H106,P106)</f>
        <v/>
      </c>
    </row>
    <row r="107">
      <c r="A107" s="394" t="inlineStr">
        <is>
          <t>Sep 01 - Sep 07 2025</t>
        </is>
      </c>
      <c r="B107" s="399" t="n"/>
      <c r="C107" s="394" t="n">
        <v>63118.01000000001</v>
      </c>
      <c r="D107" s="293" t="n">
        <v>1809</v>
      </c>
      <c r="E107" s="391" t="n">
        <v>62792.45</v>
      </c>
      <c r="F107" s="389" t="n">
        <v>60151.61</v>
      </c>
      <c r="G107" s="389" t="n">
        <v>16.8</v>
      </c>
      <c r="H107" s="389" t="n">
        <v>161.69</v>
      </c>
      <c r="I107" s="389" t="n">
        <v>2462.35</v>
      </c>
      <c r="J107" s="390" t="n">
        <v>2727.4</v>
      </c>
      <c r="K107" s="394" t="n">
        <v>0</v>
      </c>
      <c r="L107" s="390" t="n">
        <v>35.08</v>
      </c>
      <c r="M107" s="394" t="n">
        <v>0</v>
      </c>
      <c r="N107" s="390" t="n">
        <v>43.17</v>
      </c>
      <c r="O107" s="383" t="n">
        <v>17.74</v>
      </c>
      <c r="P107" s="394">
        <f>(J107-K107)+(L107-M107)+(N107-O107)</f>
        <v/>
      </c>
      <c r="Q107" s="394">
        <f>SUM(F107,G107,H107,P107)</f>
        <v/>
      </c>
    </row>
    <row r="108">
      <c r="A108" s="394" t="inlineStr">
        <is>
          <t>Sep 08 - Sep 14 2025</t>
        </is>
      </c>
      <c r="B108" s="399" t="n"/>
      <c r="C108" s="394" t="n">
        <v>51481.48</v>
      </c>
      <c r="D108" s="293" t="n">
        <v>1521</v>
      </c>
      <c r="E108" s="391" t="n">
        <v>51120.24</v>
      </c>
      <c r="F108" s="389" t="n">
        <v>48208.76</v>
      </c>
      <c r="G108" s="389" t="n">
        <v>45.57</v>
      </c>
      <c r="H108" s="389" t="n">
        <v>266.63</v>
      </c>
      <c r="I108" s="389" t="n">
        <v>2599.28</v>
      </c>
      <c r="J108" s="390" t="n">
        <v>2883.52</v>
      </c>
      <c r="K108" s="394" t="n">
        <v>0</v>
      </c>
      <c r="L108" s="394" t="n">
        <v>0</v>
      </c>
      <c r="M108" s="394" t="n">
        <v>0</v>
      </c>
      <c r="N108" s="390" t="n">
        <v>123.8</v>
      </c>
      <c r="O108" s="383" t="n">
        <v>46.8</v>
      </c>
      <c r="P108" s="394">
        <f>(J108-K108)+(L108-M108)+(N108-O108)</f>
        <v/>
      </c>
      <c r="Q108" s="394">
        <f>SUM(F108,G108,H108,P108)</f>
        <v/>
      </c>
    </row>
    <row r="109">
      <c r="A109" s="394" t="inlineStr">
        <is>
          <t>Sep 15 - Sep 21 2025</t>
        </is>
      </c>
      <c r="B109" s="399" t="n"/>
      <c r="C109" s="394" t="n">
        <v>58889.9</v>
      </c>
      <c r="D109" s="293" t="n">
        <v>1712</v>
      </c>
      <c r="E109" s="391" t="n">
        <v>59019.05</v>
      </c>
      <c r="F109" s="389" t="n">
        <v>56012.74</v>
      </c>
      <c r="G109" s="389" t="n">
        <v>85.15000000000001</v>
      </c>
      <c r="H109" s="389" t="n">
        <v>390.12</v>
      </c>
      <c r="I109" s="389" t="n">
        <v>2531.04</v>
      </c>
      <c r="J109" s="383" t="n">
        <v>2348.13</v>
      </c>
      <c r="K109" s="394" t="n">
        <v>0</v>
      </c>
      <c r="L109" s="394" t="n">
        <v>0</v>
      </c>
      <c r="M109" s="394" t="n">
        <v>0</v>
      </c>
      <c r="N109" s="390" t="n">
        <v>88.73999999999999</v>
      </c>
      <c r="O109" s="383" t="n">
        <v>34.98</v>
      </c>
      <c r="P109" s="394">
        <f>(J109-K109)+(L109-M109)+(N109-O109)</f>
        <v/>
      </c>
      <c r="Q109" s="394">
        <f>SUM(F109,G109,H109,P109)</f>
        <v/>
      </c>
    </row>
    <row r="110">
      <c r="A110" s="394" t="inlineStr">
        <is>
          <t>Sep 22 - Sep 28 2025</t>
        </is>
      </c>
      <c r="B110" s="399" t="n"/>
      <c r="C110" s="394" t="n">
        <v>56173.31</v>
      </c>
      <c r="D110" s="293" t="n">
        <v>1639</v>
      </c>
      <c r="E110" s="391" t="n">
        <v>56118.34</v>
      </c>
      <c r="F110" s="389" t="n">
        <v>53314.93</v>
      </c>
      <c r="G110" s="389" t="n">
        <v>42.06</v>
      </c>
      <c r="H110" s="389" t="n">
        <v>421.98</v>
      </c>
      <c r="I110" s="389" t="n">
        <v>2339.37</v>
      </c>
      <c r="J110" s="464" t="n">
        <v>2329.57</v>
      </c>
      <c r="K110" s="394" t="n">
        <v>0</v>
      </c>
      <c r="L110" s="394" t="n">
        <v>0</v>
      </c>
      <c r="M110" s="394" t="n">
        <v>0</v>
      </c>
      <c r="N110" s="464" t="n">
        <v>81.54000000000001</v>
      </c>
      <c r="O110" s="465" t="n">
        <v>16.77</v>
      </c>
      <c r="P110" s="394">
        <f>(J110-K110)+(L110-M110)+(N110-O110)</f>
        <v/>
      </c>
      <c r="Q110" s="394">
        <f>SUM(F110,G110,H110,P110)</f>
        <v/>
      </c>
    </row>
    <row r="111">
      <c r="A111" s="394" t="inlineStr">
        <is>
          <t>Sep 29 - Oct 05 2025</t>
        </is>
      </c>
      <c r="B111" s="399" t="n"/>
      <c r="C111" s="394" t="n">
        <v>58371.85999999999</v>
      </c>
      <c r="D111" s="293" t="n">
        <v>1688</v>
      </c>
      <c r="E111" s="391" t="n">
        <v>58305.05</v>
      </c>
      <c r="F111" s="389" t="n">
        <v>55248.7</v>
      </c>
      <c r="G111" s="389" t="n">
        <v>43.09</v>
      </c>
      <c r="H111" s="389" t="n">
        <v>347.69</v>
      </c>
      <c r="I111" s="389" t="n">
        <v>2665.57</v>
      </c>
      <c r="J111" s="390" t="n">
        <v>2716.8</v>
      </c>
      <c r="K111" s="394" t="n">
        <v>0</v>
      </c>
      <c r="L111" s="390" t="n">
        <v>15.58</v>
      </c>
      <c r="M111" s="394" t="n">
        <v>0</v>
      </c>
      <c r="N111" s="390" t="n">
        <v>0</v>
      </c>
      <c r="O111" s="383" t="n">
        <v>0</v>
      </c>
      <c r="P111" s="394">
        <f>(J111-K111)+(L111-M111)+(N111-O111)</f>
        <v/>
      </c>
      <c r="Q111" s="394">
        <f>SUM(F111,G111,H111,P111)</f>
        <v/>
      </c>
    </row>
    <row r="112">
      <c r="A112" s="394" t="inlineStr">
        <is>
          <t>Oct 6 - Oct 12 2025</t>
        </is>
      </c>
      <c r="B112" s="399" t="n"/>
      <c r="C112" s="394" t="n">
        <v>63649.28999999999</v>
      </c>
      <c r="D112" s="293" t="n">
        <v>1787</v>
      </c>
      <c r="E112" s="391" t="n">
        <v>63735.45</v>
      </c>
      <c r="F112" s="389" t="n">
        <v>61307.37</v>
      </c>
      <c r="G112" s="389" t="n">
        <v>52.49</v>
      </c>
      <c r="H112" s="389" t="n">
        <v>271.09</v>
      </c>
      <c r="I112" s="389" t="n">
        <v>2104.5</v>
      </c>
      <c r="J112" s="383" t="n">
        <v>2018.34</v>
      </c>
      <c r="K112" s="394" t="n">
        <v>0</v>
      </c>
      <c r="L112" s="394" t="n">
        <v>0</v>
      </c>
      <c r="M112" s="394" t="n">
        <v>0</v>
      </c>
      <c r="N112" s="390" t="n">
        <v>0</v>
      </c>
      <c r="O112" s="383" t="n">
        <v>0</v>
      </c>
      <c r="P112" s="394">
        <f>(J112-K112)+(L112-M112)+(N112-O112)</f>
        <v/>
      </c>
      <c r="Q112" s="394">
        <f>SUM(F112,G112,H112,P112)</f>
        <v/>
      </c>
    </row>
    <row r="113">
      <c r="A113" s="394" t="inlineStr">
        <is>
          <t>Oct 13 - Oct 19 2025</t>
        </is>
      </c>
      <c r="B113" s="399" t="n"/>
      <c r="C113" s="394" t="n">
        <v>60398.42</v>
      </c>
      <c r="D113" s="293" t="n"/>
      <c r="E113" s="56" t="n">
        <v>60191.27</v>
      </c>
      <c r="F113" s="56" t="n">
        <v>57178.93</v>
      </c>
      <c r="G113" s="501" t="n">
        <v>0</v>
      </c>
      <c r="H113" s="56" t="n">
        <v>432.17</v>
      </c>
      <c r="I113" s="56" t="n">
        <v>2580.17</v>
      </c>
      <c r="J113" s="447" t="n">
        <v>2787.32</v>
      </c>
      <c r="K113" s="394" t="n">
        <v>0</v>
      </c>
      <c r="L113" s="394" t="n">
        <v>0</v>
      </c>
      <c r="M113" s="394" t="n">
        <v>0</v>
      </c>
      <c r="N113" s="390" t="n">
        <v>0</v>
      </c>
      <c r="O113" s="383" t="n">
        <v>0</v>
      </c>
      <c r="P113" s="394">
        <f>(J113-K113)+(L113-M113)+(N113-O113)</f>
        <v/>
      </c>
      <c r="Q113" s="394">
        <f>SUM(F113,G113,H113,P113)</f>
        <v/>
      </c>
    </row>
    <row r="114">
      <c r="A114" s="394" t="inlineStr">
        <is>
          <t>Oct 20 - Oct 26 2025</t>
        </is>
      </c>
      <c r="B114" s="399" t="n"/>
      <c r="C114" s="394" t="n">
        <v>56964.52</v>
      </c>
      <c r="D114" s="293" t="n"/>
      <c r="E114" s="56" t="n">
        <v>56942.14999999999</v>
      </c>
      <c r="F114" s="56" t="n">
        <v>54420.33</v>
      </c>
      <c r="G114" s="501" t="n">
        <v>61.78</v>
      </c>
      <c r="H114" s="56" t="n">
        <v>299.88</v>
      </c>
      <c r="I114" s="56" t="n">
        <v>2160.16</v>
      </c>
      <c r="J114" s="383" t="n">
        <v>2166.34</v>
      </c>
      <c r="K114" s="394" t="n">
        <v>0</v>
      </c>
      <c r="L114" s="383" t="n">
        <v>16.19</v>
      </c>
      <c r="M114" s="394" t="n">
        <v>0</v>
      </c>
      <c r="N114" s="390" t="n">
        <v>0</v>
      </c>
      <c r="O114" s="383" t="n">
        <v>0</v>
      </c>
      <c r="P114" s="394">
        <f>(J114-K114)+(L114-M114)+(N114-O114)</f>
        <v/>
      </c>
      <c r="Q114" s="394">
        <f>SUM(F114,G114,H114,P114)</f>
        <v/>
      </c>
    </row>
    <row r="115">
      <c r="A115" s="394" t="inlineStr">
        <is>
          <t>Oct 27 - Nov 02 2025</t>
        </is>
      </c>
      <c r="B115" s="399" t="n"/>
      <c r="C115" s="394" t="n">
        <v>54356.75</v>
      </c>
      <c r="D115" s="2" t="n">
        <v>1637</v>
      </c>
      <c r="E115" s="394" t="n">
        <v>54239.89</v>
      </c>
      <c r="F115" s="394" t="n">
        <v>50919.68</v>
      </c>
      <c r="G115" s="394" t="n">
        <v>46.77</v>
      </c>
      <c r="H115" s="394" t="n">
        <v>283.04</v>
      </c>
      <c r="I115" s="394" t="n">
        <v>2990.4</v>
      </c>
      <c r="J115" s="383" t="n">
        <v>3083.28</v>
      </c>
      <c r="K115" s="394" t="n">
        <v>0</v>
      </c>
      <c r="L115" s="394" t="n">
        <v>0</v>
      </c>
      <c r="M115" s="394" t="n">
        <v>0</v>
      </c>
      <c r="N115" s="383" t="n">
        <v>23.98</v>
      </c>
      <c r="O115" s="383" t="n">
        <v>0</v>
      </c>
      <c r="P115" s="394">
        <f>(J115-K115)+(L115-M115)+(N115-O115)</f>
        <v/>
      </c>
      <c r="Q115" s="394">
        <f>SUM(F115,G115,H115,P115)</f>
        <v/>
      </c>
    </row>
    <row r="116">
      <c r="A116" s="394" t="inlineStr">
        <is>
          <t>Nov 03 - Nov 09 2025</t>
        </is>
      </c>
      <c r="B116" s="399" t="n"/>
      <c r="C116" s="394" t="n">
        <v>49653.3</v>
      </c>
      <c r="D116" s="394" t="inlineStr">
        <is>
          <t>1,519</t>
        </is>
      </c>
      <c r="E116" s="394" t="n">
        <v>49748.57999999999</v>
      </c>
      <c r="F116" s="394" t="n">
        <v>46128.03</v>
      </c>
      <c r="G116" s="394" t="n">
        <v>102.36</v>
      </c>
      <c r="H116" s="394" t="n">
        <v>289.88</v>
      </c>
      <c r="I116" s="394" t="n">
        <v>3228.31</v>
      </c>
      <c r="J116" s="383" t="n">
        <v>3133.03</v>
      </c>
      <c r="K116" s="394" t="n">
        <v>0</v>
      </c>
      <c r="L116" s="394" t="n">
        <v>0</v>
      </c>
      <c r="M116" s="394" t="n">
        <v>0</v>
      </c>
      <c r="N116" s="390" t="n">
        <v>0</v>
      </c>
      <c r="O116" s="383" t="n">
        <v>0</v>
      </c>
      <c r="P116" s="394">
        <f>(J116-K116)+(L116-M116)+(N116-O116)</f>
        <v/>
      </c>
      <c r="Q116" s="394">
        <f>SUM(F116,G116,H116,P116)</f>
        <v/>
      </c>
    </row>
    <row r="117">
      <c r="A117" s="394" t="inlineStr">
        <is>
          <t>Nov 10 - Nov 16 2025</t>
        </is>
      </c>
      <c r="B117" s="399" t="n"/>
      <c r="C117" s="394" t="n">
        <v>50527.75</v>
      </c>
      <c r="D117" s="30" t="inlineStr">
        <is>
          <t>1,488</t>
        </is>
      </c>
      <c r="E117" s="394" t="n">
        <v>50407.18</v>
      </c>
      <c r="F117" s="394" t="n">
        <v>47850.75</v>
      </c>
      <c r="G117" s="394" t="n">
        <v>25.18</v>
      </c>
      <c r="H117" s="394" t="n">
        <v>188.22</v>
      </c>
      <c r="I117" s="394" t="n">
        <v>2343.03</v>
      </c>
      <c r="J117" s="383" t="n">
        <v>2357.33</v>
      </c>
      <c r="K117" s="394" t="n">
        <v>0</v>
      </c>
      <c r="L117" s="383" t="n">
        <v>87.06999999999999</v>
      </c>
      <c r="M117" s="394" t="n">
        <v>0</v>
      </c>
      <c r="N117" s="383" t="n">
        <v>19.2</v>
      </c>
      <c r="O117" s="383" t="n">
        <v>0</v>
      </c>
      <c r="P117" s="394">
        <f>(J117-K117)+(L117-M117)+(N117-O117)</f>
        <v/>
      </c>
      <c r="Q117" s="394">
        <f>SUM(F117,G117,H117,P117)</f>
        <v/>
      </c>
    </row>
    <row r="118">
      <c r="A118" s="2" t="inlineStr">
        <is>
          <t>Nov 17 - Nov 23 2025</t>
        </is>
      </c>
      <c r="B118" s="399" t="n"/>
      <c r="C118" s="394" t="n">
        <v>47385.9</v>
      </c>
      <c r="D118" s="2" t="inlineStr">
        <is>
          <t>1,448</t>
        </is>
      </c>
      <c r="E118" s="394" t="n">
        <v>46870.52</v>
      </c>
      <c r="F118" s="394" t="n">
        <v>44573.78</v>
      </c>
      <c r="G118" s="394" t="n">
        <v>64.16</v>
      </c>
      <c r="H118" s="394" t="n">
        <v>87.67</v>
      </c>
      <c r="I118" s="394" t="n">
        <v>2144.91</v>
      </c>
      <c r="J118" s="383" t="n">
        <v>2634.51</v>
      </c>
      <c r="K118" s="394" t="n">
        <v>0</v>
      </c>
      <c r="L118" s="383" t="n">
        <v>25.78</v>
      </c>
      <c r="M118" s="394" t="n">
        <v>0</v>
      </c>
      <c r="N118" s="390" t="n">
        <v>0</v>
      </c>
      <c r="O118" s="383" t="n">
        <v>0</v>
      </c>
      <c r="P118" s="394">
        <f>(J118-K118)+(L118-M118)+(N118-O118)</f>
        <v/>
      </c>
      <c r="Q118" s="394">
        <f>SUM(F118,G118,H118,P118)</f>
        <v/>
      </c>
    </row>
    <row r="119">
      <c r="A119" s="2" t="inlineStr">
        <is>
          <t>Nov 24 - Nov 30 2025</t>
        </is>
      </c>
      <c r="B119" s="399" t="n"/>
      <c r="C119" s="394" t="n">
        <v>48813.64999999999</v>
      </c>
      <c r="D119" s="56" t="n">
        <v>1407</v>
      </c>
      <c r="E119" s="394" t="n">
        <v>49452.29</v>
      </c>
      <c r="F119" s="2" t="n">
        <v>45726.39</v>
      </c>
      <c r="G119" s="394" t="n">
        <v>32.38</v>
      </c>
      <c r="H119" s="394" t="n">
        <v>46.17</v>
      </c>
      <c r="I119" s="394" t="n">
        <v>3647.35</v>
      </c>
      <c r="J119" s="383" t="n">
        <v>2957.33</v>
      </c>
      <c r="K119" s="394" t="n">
        <v>0</v>
      </c>
      <c r="L119" s="383" t="n">
        <v>24.99</v>
      </c>
      <c r="M119" s="394" t="n">
        <v>0</v>
      </c>
      <c r="N119" s="383" t="n">
        <v>26.39</v>
      </c>
      <c r="O119" s="383" t="n">
        <v>0</v>
      </c>
      <c r="P119" s="394">
        <f>(J119-K119)+(L119-M119)+(N119-O119)</f>
        <v/>
      </c>
      <c r="Q119" s="394">
        <f>SUM(F119,G119,H119,P119)</f>
        <v/>
      </c>
    </row>
    <row r="120">
      <c r="A120" s="2" t="inlineStr">
        <is>
          <t>Dec 01 - Dec 07 2025</t>
        </is>
      </c>
      <c r="B120" s="399" t="n"/>
      <c r="C120" s="394" t="n">
        <v>42687.82999999999</v>
      </c>
      <c r="D120" s="300" t="n">
        <v>1281</v>
      </c>
      <c r="E120" s="394" t="n">
        <v>42457.23</v>
      </c>
      <c r="F120" s="2" t="n">
        <v>38758.09</v>
      </c>
      <c r="G120" s="394" t="n">
        <v>0</v>
      </c>
      <c r="H120" s="394" t="n">
        <v>144.72</v>
      </c>
      <c r="I120" s="394" t="n">
        <v>3554.42</v>
      </c>
      <c r="J120" s="383" t="n">
        <v>3737.35</v>
      </c>
      <c r="K120" s="394" t="n">
        <v>0</v>
      </c>
      <c r="L120" s="383" t="n">
        <v>47.67</v>
      </c>
      <c r="M120" s="394" t="n">
        <v>0</v>
      </c>
      <c r="N120" s="390" t="n">
        <v>0</v>
      </c>
      <c r="O120" s="383" t="n">
        <v>0</v>
      </c>
      <c r="P120" s="394">
        <f>(J120-K120)+(L120-M120)+(N120-O120)</f>
        <v/>
      </c>
      <c r="Q120" s="394">
        <f>SUM(F120,G120,H120,P120)</f>
        <v/>
      </c>
    </row>
    <row r="121">
      <c r="A121" s="118" t="inlineStr">
        <is>
          <t>Dec 08 - Dec 14 2025</t>
        </is>
      </c>
      <c r="B121" s="394" t="n"/>
      <c r="C121" s="394" t="n">
        <v>37865.16</v>
      </c>
      <c r="D121" s="11" t="inlineStr">
        <is>
          <t>1,138</t>
        </is>
      </c>
      <c r="E121" s="394" t="n">
        <v>37599.25</v>
      </c>
      <c r="F121" s="394" t="n">
        <v>34426.32</v>
      </c>
      <c r="G121" s="394" t="n">
        <v>16.79</v>
      </c>
      <c r="H121" s="394" t="n">
        <v>163.09</v>
      </c>
      <c r="I121" s="394" t="n">
        <v>2993.05</v>
      </c>
      <c r="J121" s="373" t="n">
        <v>3180.41</v>
      </c>
      <c r="K121" s="394" t="n">
        <v>0</v>
      </c>
      <c r="L121" s="373" t="n">
        <v>67.16</v>
      </c>
      <c r="M121" s="394" t="n">
        <v>0</v>
      </c>
      <c r="N121" s="373" t="n">
        <v>11.39</v>
      </c>
      <c r="O121" s="373" t="n">
        <v>0</v>
      </c>
      <c r="P121" s="394">
        <f>(J121-K121)+(L121-M121)+(N121-O121)</f>
        <v/>
      </c>
      <c r="Q121" s="394">
        <f>SUM(F121,G121,H121,P121)</f>
        <v/>
      </c>
    </row>
    <row r="122">
      <c r="A122" s="11" t="inlineStr">
        <is>
          <t>Dec 15 - Dec 21 2025</t>
        </is>
      </c>
      <c r="B122" s="394" t="n"/>
      <c r="C122" s="394" t="n">
        <v>47376.36</v>
      </c>
      <c r="D122" s="300" t="inlineStr">
        <is>
          <t>1,603</t>
        </is>
      </c>
      <c r="E122" s="394" t="n">
        <v>47606.93</v>
      </c>
      <c r="F122" s="394" t="n">
        <v>43702.94</v>
      </c>
      <c r="G122" s="394" t="n">
        <v>125.92</v>
      </c>
      <c r="H122" s="394" t="n">
        <v>64.34999999999999</v>
      </c>
      <c r="I122" s="394" t="n">
        <v>3713.72</v>
      </c>
      <c r="J122" s="448" t="n">
        <v>3409.1</v>
      </c>
      <c r="K122" s="394" t="n">
        <v>0</v>
      </c>
      <c r="L122" s="448" t="n">
        <v>32.68</v>
      </c>
      <c r="M122" s="394" t="n">
        <v>0</v>
      </c>
      <c r="N122" s="448" t="n">
        <v>41.37</v>
      </c>
      <c r="O122" s="373" t="n">
        <v>0</v>
      </c>
      <c r="P122" s="394">
        <f>(J122-K122)+(L122-M122)+(N122-O122)</f>
        <v/>
      </c>
      <c r="Q122" s="394">
        <f>SUM(F122,G122,H122,P122)</f>
        <v/>
      </c>
    </row>
    <row r="123">
      <c r="A123" s="11" t="inlineStr">
        <is>
          <t>Dec 22 - Dec 28 2025</t>
        </is>
      </c>
      <c r="B123" s="394" t="n"/>
      <c r="C123" s="394" t="n">
        <v>66636.7</v>
      </c>
      <c r="D123" s="56" t="n">
        <v>1806</v>
      </c>
      <c r="E123" s="394" t="n">
        <v>66529.91</v>
      </c>
      <c r="F123" s="394" t="n">
        <v>62433.53</v>
      </c>
      <c r="G123" s="394" t="n">
        <v>35.39</v>
      </c>
      <c r="H123" s="394" t="n">
        <v>383.46</v>
      </c>
      <c r="I123" s="394" t="n">
        <v>3677.53</v>
      </c>
      <c r="J123" s="373" t="n">
        <v>3702.67</v>
      </c>
      <c r="K123" s="394" t="n">
        <v>0</v>
      </c>
      <c r="L123" s="373" t="n">
        <v>81.65000000000001</v>
      </c>
      <c r="M123" s="394" t="n">
        <v>0</v>
      </c>
      <c r="N123" s="391" t="n">
        <v>0</v>
      </c>
      <c r="O123" s="373" t="n">
        <v>0</v>
      </c>
      <c r="P123" s="394">
        <f>(J123-K123)+(L123-M123)+(N123-O123)</f>
        <v/>
      </c>
      <c r="Q123" s="394">
        <f>SUM(F123,G123,H123,P123)</f>
        <v/>
      </c>
    </row>
    <row r="124">
      <c r="A124" s="11" t="inlineStr">
        <is>
          <t>Dec 29 - Jan 04 2026</t>
        </is>
      </c>
      <c r="B124" s="394" t="n"/>
      <c r="C124" s="394" t="n">
        <v>75840.28</v>
      </c>
      <c r="D124" s="2" t="inlineStr">
        <is>
          <t>2,080</t>
        </is>
      </c>
      <c r="E124" s="394" t="n">
        <v>75867.23</v>
      </c>
      <c r="F124" s="394" t="n">
        <v>72085.37</v>
      </c>
      <c r="G124" s="394" t="n">
        <v>137.95</v>
      </c>
      <c r="H124" s="394" t="n">
        <v>0</v>
      </c>
      <c r="I124" s="394" t="n">
        <v>3643.91</v>
      </c>
      <c r="J124" s="383" t="n">
        <v>3528.71</v>
      </c>
      <c r="K124" s="394" t="n">
        <v>0</v>
      </c>
      <c r="L124" s="383" t="n">
        <v>90.05</v>
      </c>
      <c r="M124" s="383" t="n">
        <v>20.98</v>
      </c>
      <c r="N124" s="383" t="n">
        <v>19.18</v>
      </c>
      <c r="O124" s="373" t="n">
        <v>0</v>
      </c>
      <c r="P124" s="394">
        <f>(J124-K124)+(L124-M124)+(N124-O124)</f>
        <v/>
      </c>
      <c r="Q124" s="394">
        <f>SUM(F124,G124,H124,P124)</f>
        <v/>
      </c>
    </row>
    <row r="125">
      <c r="A125" s="11" t="inlineStr">
        <is>
          <t>Jan 05 - Jan 11 2026</t>
        </is>
      </c>
      <c r="B125" s="394" t="n"/>
      <c r="C125" s="394" t="n">
        <v>42077.29</v>
      </c>
      <c r="D125" s="2" t="inlineStr">
        <is>
          <t>1,228</t>
        </is>
      </c>
      <c r="E125" s="394" t="n">
        <v>41725.22</v>
      </c>
      <c r="F125" s="394" t="n">
        <v>39246.19</v>
      </c>
      <c r="G125" s="394" t="n">
        <v>93.45999999999999</v>
      </c>
      <c r="H125" s="394" t="n">
        <v>58.44</v>
      </c>
      <c r="I125" s="394" t="n">
        <v>2327.13</v>
      </c>
      <c r="J125" s="383" t="n">
        <v>2608.43</v>
      </c>
      <c r="K125" s="394" t="n">
        <v>0</v>
      </c>
      <c r="L125" s="383" t="n">
        <v>70.77</v>
      </c>
      <c r="M125" s="383" t="n">
        <v>0</v>
      </c>
      <c r="N125" s="383" t="n">
        <v>0</v>
      </c>
      <c r="O125" s="373" t="n">
        <v>0</v>
      </c>
      <c r="P125" s="394">
        <f>(J125-K125)+(L125-M125)+(N125-O125)</f>
        <v/>
      </c>
      <c r="Q125" s="394">
        <f>SUM(F125,G125,H125,P125)</f>
        <v/>
      </c>
    </row>
    <row r="126">
      <c r="A126" s="11" t="inlineStr">
        <is>
          <t>Jan 12 - Jan 18 2026</t>
        </is>
      </c>
      <c r="B126" s="394" t="n"/>
      <c r="C126" s="394" t="n">
        <v>42198.97</v>
      </c>
      <c r="D126" s="2" t="inlineStr">
        <is>
          <t>1,494</t>
        </is>
      </c>
      <c r="E126" s="394" t="n">
        <v>42393.06</v>
      </c>
      <c r="F126" s="394" t="n">
        <v>38683.62</v>
      </c>
      <c r="G126" s="394" t="n">
        <v>100.2</v>
      </c>
      <c r="H126" s="394" t="n">
        <v>53</v>
      </c>
      <c r="I126" s="394" t="n">
        <v>3556.24</v>
      </c>
      <c r="J126" s="509" t="n">
        <v>3362.15</v>
      </c>
      <c r="K126" s="394" t="n">
        <v>0</v>
      </c>
      <c r="L126" s="383" t="n">
        <v>0</v>
      </c>
      <c r="M126" s="383" t="n">
        <v>0</v>
      </c>
      <c r="N126" s="383" t="n">
        <v>0</v>
      </c>
      <c r="O126" s="373" t="n">
        <v>0</v>
      </c>
      <c r="P126" s="394">
        <f>(J126-K126)+(L126-M126)+(N126-O126)</f>
        <v/>
      </c>
      <c r="Q126" s="394">
        <f>SUM(F126,G126,H126,P126)</f>
        <v/>
      </c>
    </row>
    <row r="127">
      <c r="A127" s="30" t="inlineStr">
        <is>
          <t>Jan 19 - Jan 25 2026</t>
        </is>
      </c>
      <c r="B127" s="394" t="n"/>
      <c r="C127" s="394" t="n">
        <v>31282.94</v>
      </c>
      <c r="D127" s="2" t="inlineStr">
        <is>
          <t>943</t>
        </is>
      </c>
      <c r="E127" s="394" t="n">
        <v>31294.9</v>
      </c>
      <c r="F127" s="394" t="n">
        <v>28030.97</v>
      </c>
      <c r="G127" s="394" t="n">
        <v>97.23999999999999</v>
      </c>
      <c r="H127" s="394" t="n">
        <v>117.8</v>
      </c>
      <c r="I127" s="394" t="n">
        <v>3048.89</v>
      </c>
      <c r="J127" s="383" t="n">
        <v>3191.35</v>
      </c>
      <c r="K127" s="383" t="n">
        <v>166.71</v>
      </c>
      <c r="L127" s="383" t="n">
        <v>12.29</v>
      </c>
      <c r="M127" s="383" t="n">
        <v>0</v>
      </c>
      <c r="N127" s="383" t="n">
        <v>0</v>
      </c>
      <c r="O127" s="373" t="n">
        <v>0</v>
      </c>
      <c r="P127" s="394">
        <f>(J127-K127)+(L127-M127)+(N127-O127)</f>
        <v/>
      </c>
      <c r="Q127" s="394">
        <f>SUM(F127,G127,H127,P127)</f>
        <v/>
      </c>
    </row>
    <row r="128">
      <c r="A128" s="30" t="inlineStr">
        <is>
          <t>Jan 26 - Feb 01 2026</t>
        </is>
      </c>
      <c r="B128" s="394" t="n"/>
      <c r="C128" s="394" t="n">
        <v>45129.9</v>
      </c>
      <c r="D128" s="2" t="inlineStr">
        <is>
          <t>1,362</t>
        </is>
      </c>
      <c r="E128" s="394" t="n">
        <v>45575.27</v>
      </c>
      <c r="F128" s="394" t="n">
        <v>40263.6</v>
      </c>
      <c r="G128" s="394" t="n">
        <v>385.4</v>
      </c>
      <c r="H128" s="394" t="n">
        <v>73.18000000000001</v>
      </c>
      <c r="I128" s="394" t="n">
        <v>4853.09</v>
      </c>
      <c r="J128" s="383" t="n">
        <v>4847.02</v>
      </c>
      <c r="K128" s="383" t="n">
        <v>439.3</v>
      </c>
      <c r="L128" s="383" t="n">
        <v>0</v>
      </c>
      <c r="M128" s="383" t="n">
        <v>0</v>
      </c>
      <c r="N128" s="383" t="n">
        <v>0</v>
      </c>
      <c r="O128" s="373" t="n">
        <v>0</v>
      </c>
      <c r="P128" s="394">
        <f>(J128-K128)+(L128-M128)+(N128-O128)</f>
        <v/>
      </c>
      <c r="Q128" s="394">
        <f>SUM(F128,G128,H128,P128)</f>
        <v/>
      </c>
    </row>
    <row r="129">
      <c r="A129" s="30" t="inlineStr">
        <is>
          <t>Feb 02 - Feb 08 2026</t>
        </is>
      </c>
      <c r="B129" s="394" t="n"/>
      <c r="C129" s="394" t="n">
        <v>40752.28</v>
      </c>
      <c r="D129" s="2" t="inlineStr">
        <is>
          <t>1,269</t>
        </is>
      </c>
      <c r="E129" s="394" t="n">
        <v>40826.02</v>
      </c>
      <c r="F129" s="394" t="n">
        <v>36789.72</v>
      </c>
      <c r="G129" s="394" t="n">
        <v>154.55</v>
      </c>
      <c r="H129" s="394" t="n">
        <v>206.1</v>
      </c>
      <c r="I129" s="394" t="n">
        <v>3675.65</v>
      </c>
      <c r="J129" s="383" t="n">
        <v>3585.12</v>
      </c>
      <c r="K129" s="394" t="n">
        <v>0</v>
      </c>
      <c r="L129" s="383" t="n">
        <v>16.79</v>
      </c>
      <c r="M129" s="383" t="n">
        <v>0</v>
      </c>
      <c r="N129" s="383" t="n">
        <v>0</v>
      </c>
      <c r="O129" s="373" t="n">
        <v>0</v>
      </c>
      <c r="P129" s="394">
        <f>(J129-K129)+(L129-M129)+(N129-O129)</f>
        <v/>
      </c>
      <c r="Q129" s="394">
        <f>SUM(F129,G129,H129,P129)</f>
        <v/>
      </c>
    </row>
    <row r="130">
      <c r="A130" s="11" t="inlineStr">
        <is>
          <t>Feb 09 - Feb 15 2026</t>
        </is>
      </c>
      <c r="B130" s="394" t="n"/>
      <c r="C130" s="394" t="n">
        <v>55904.41</v>
      </c>
      <c r="D130" s="2" t="inlineStr">
        <is>
          <t>1,646</t>
        </is>
      </c>
      <c r="E130" s="394" t="n">
        <v>55395.55</v>
      </c>
      <c r="F130" s="394" t="n">
        <v>51724.97</v>
      </c>
      <c r="G130" s="394" t="n">
        <v>135.53</v>
      </c>
      <c r="H130" s="394" t="n">
        <v>153.17</v>
      </c>
      <c r="I130" s="394" t="n">
        <v>3381.88</v>
      </c>
      <c r="J130" s="389" t="n">
        <v>3819.17</v>
      </c>
      <c r="K130" s="394" t="n">
        <v>0</v>
      </c>
      <c r="L130" s="389" t="n">
        <v>49.77</v>
      </c>
      <c r="M130" s="383" t="n">
        <v>0</v>
      </c>
      <c r="N130" s="389" t="n">
        <v>35.58</v>
      </c>
      <c r="O130" s="389" t="n">
        <v>13.78</v>
      </c>
      <c r="P130" s="394">
        <f>(J130-K130)+(L130-M130)+(N130-O130)</f>
        <v/>
      </c>
      <c r="Q130" s="394">
        <f>SUM(F130,G130,H130,P130)</f>
        <v/>
      </c>
    </row>
    <row r="131">
      <c r="A131" s="11" t="inlineStr">
        <is>
          <t>Feb 16 - Feb 22 2026</t>
        </is>
      </c>
      <c r="B131" s="394" t="n"/>
      <c r="C131" s="394" t="n">
        <v>46088.54000000001</v>
      </c>
      <c r="D131" s="2" t="inlineStr">
        <is>
          <t>1,402</t>
        </is>
      </c>
      <c r="E131" s="394" t="n">
        <v>46369.31</v>
      </c>
      <c r="F131" s="394" t="n">
        <v>42333.83</v>
      </c>
      <c r="G131" s="394" t="n">
        <v>110.51</v>
      </c>
      <c r="H131" s="394" t="n">
        <v>771.72</v>
      </c>
      <c r="I131" s="394" t="n">
        <v>3153.25</v>
      </c>
      <c r="J131" s="389" t="n">
        <v>2812.5</v>
      </c>
      <c r="K131" s="394" t="n">
        <v>0</v>
      </c>
      <c r="L131" s="389" t="n">
        <v>41.78</v>
      </c>
      <c r="M131" s="383" t="n">
        <v>0</v>
      </c>
      <c r="N131" s="389" t="n">
        <v>31.98</v>
      </c>
      <c r="O131" s="389" t="n">
        <v>13.78</v>
      </c>
      <c r="P131" s="394">
        <f>(J131-K131)+(L131-M131)+(N131-O131)</f>
        <v/>
      </c>
      <c r="Q131" s="394">
        <f>SUM(F131,G131,H131,P131)</f>
        <v/>
      </c>
    </row>
    <row r="132">
      <c r="A132" s="11" t="inlineStr">
        <is>
          <t>Feb 23 - Mar 1 2026</t>
        </is>
      </c>
      <c r="B132" s="394" t="n"/>
      <c r="C132" s="394" t="n">
        <v>40600.81</v>
      </c>
      <c r="D132" s="2" t="inlineStr">
        <is>
          <t>1,303</t>
        </is>
      </c>
      <c r="E132" s="394" t="n">
        <v>40559.22</v>
      </c>
      <c r="F132" s="394" t="n">
        <v>36265.92</v>
      </c>
      <c r="G132" s="394" t="n">
        <v>201.29</v>
      </c>
      <c r="H132" s="394" t="n">
        <v>846.64</v>
      </c>
      <c r="I132" s="394" t="n">
        <v>3245.37</v>
      </c>
      <c r="J132" s="389" t="n">
        <v>3222.18</v>
      </c>
      <c r="K132" s="394" t="n">
        <v>0</v>
      </c>
      <c r="L132" s="389" t="n">
        <v>24.99</v>
      </c>
      <c r="M132" s="383" t="n">
        <v>0</v>
      </c>
      <c r="N132" s="389" t="n">
        <v>67.95999999999999</v>
      </c>
      <c r="O132" s="389" t="n">
        <v>28.17</v>
      </c>
      <c r="P132" s="394">
        <f>(J132-K132)+(L132-M132)+(N132-O132)</f>
        <v/>
      </c>
      <c r="Q132" s="394">
        <f>SUM(F132,G132,H132,P132)</f>
        <v/>
      </c>
    </row>
    <row r="133">
      <c r="A133" s="11" t="inlineStr">
        <is>
          <t>Mar 02 - Mar 08 2026</t>
        </is>
      </c>
      <c r="B133" s="394" t="n"/>
      <c r="C133" s="394" t="n">
        <v>47921.56999999999</v>
      </c>
      <c r="D133" s="2" t="inlineStr">
        <is>
          <t>1,572</t>
        </is>
      </c>
      <c r="E133" s="394" t="n">
        <v>47892.34</v>
      </c>
      <c r="F133" s="394" t="n">
        <v>44305.3</v>
      </c>
      <c r="G133" s="394" t="n">
        <v>109.52</v>
      </c>
      <c r="H133" s="394" t="n">
        <v>443.09</v>
      </c>
      <c r="I133" s="394" t="n">
        <v>3034.43</v>
      </c>
      <c r="J133" s="389" t="n">
        <v>3000.87</v>
      </c>
      <c r="K133" s="394" t="n">
        <v>0</v>
      </c>
      <c r="L133" s="383" t="n">
        <v>0</v>
      </c>
      <c r="M133" s="383" t="n">
        <v>0</v>
      </c>
      <c r="N133" s="389" t="n">
        <v>107.94</v>
      </c>
      <c r="O133" s="389" t="n">
        <v>45.15</v>
      </c>
      <c r="P133" s="394">
        <f>(J133-K133)+(L133-M133)+(N133-O133)</f>
        <v/>
      </c>
      <c r="Q133" s="394">
        <f>SUM(F133,G133,H133,P133)</f>
        <v/>
      </c>
    </row>
    <row r="134">
      <c r="A134" s="11" t="inlineStr">
        <is>
          <t>Mar 09 - Mar 15 2026</t>
        </is>
      </c>
      <c r="B134" s="394" t="n"/>
      <c r="C134" s="394" t="n">
        <v>52613.88</v>
      </c>
      <c r="D134" s="2" t="inlineStr">
        <is>
          <t>1,577</t>
        </is>
      </c>
      <c r="E134" s="394" t="n">
        <v>52248.71000000001</v>
      </c>
      <c r="F134" s="394" t="n">
        <v>48605.05</v>
      </c>
      <c r="G134" s="394" t="n">
        <v>95.26000000000001</v>
      </c>
      <c r="H134" s="394" t="n">
        <v>764.8</v>
      </c>
      <c r="I134" s="394" t="n">
        <v>2783.6</v>
      </c>
      <c r="J134" s="389" t="n">
        <v>3056.29</v>
      </c>
      <c r="K134" s="394" t="n">
        <v>0</v>
      </c>
      <c r="L134" s="389" t="n">
        <v>18.89</v>
      </c>
      <c r="M134" s="383" t="n">
        <v>0</v>
      </c>
      <c r="N134" s="389" t="n">
        <v>119.54</v>
      </c>
      <c r="O134" s="389" t="n">
        <v>45.95</v>
      </c>
      <c r="P134" s="394">
        <f>(J134-K134)+(L134-M134)+(N134-O134)</f>
        <v/>
      </c>
      <c r="Q134" s="394">
        <f>SUM(F134,G134,H134,P134)</f>
        <v/>
      </c>
    </row>
    <row r="135">
      <c r="A135" s="11" t="inlineStr">
        <is>
          <t>Mar 16 - Mar 22 2026</t>
        </is>
      </c>
      <c r="B135" s="394" t="n"/>
      <c r="C135" s="394" t="n">
        <v>88000.02</v>
      </c>
      <c r="D135" s="2" t="inlineStr">
        <is>
          <t>2,170</t>
        </is>
      </c>
      <c r="E135" s="394" t="n">
        <v>86996.77</v>
      </c>
      <c r="F135" s="394" t="n">
        <v>82950.35000000001</v>
      </c>
      <c r="G135" s="394" t="n">
        <v>62.5</v>
      </c>
      <c r="H135" s="394" t="n">
        <v>177.98</v>
      </c>
      <c r="I135" s="394" t="n">
        <v>3805.94</v>
      </c>
      <c r="J135" s="312" t="n">
        <v>4760.79</v>
      </c>
      <c r="K135" s="394" t="n">
        <v>0</v>
      </c>
      <c r="L135" s="389" t="n">
        <v>0</v>
      </c>
      <c r="M135" s="383" t="n">
        <v>0</v>
      </c>
      <c r="N135" s="118" t="n">
        <v>80.76000000000001</v>
      </c>
      <c r="O135" s="118" t="n">
        <v>32.36</v>
      </c>
      <c r="P135" s="394">
        <f>(J135-K135)+(L135-M135)+(N135-O135)</f>
        <v/>
      </c>
      <c r="Q135" s="394">
        <f>SUM(F135,G135,H135,P135)</f>
        <v/>
      </c>
    </row>
    <row r="136">
      <c r="A136" s="11" t="inlineStr">
        <is>
          <t>Mar 23 - Mar 29 2026</t>
        </is>
      </c>
      <c r="B136" s="394" t="n"/>
      <c r="C136" s="394" t="n">
        <v>57392.81999999999</v>
      </c>
      <c r="D136" s="2" t="inlineStr">
        <is>
          <t>1,662</t>
        </is>
      </c>
      <c r="E136" s="394" t="n">
        <v>57733.00999999999</v>
      </c>
      <c r="F136" s="394" t="n">
        <v>53561.46</v>
      </c>
      <c r="G136" s="394" t="n">
        <v>71.84</v>
      </c>
      <c r="H136" s="394" t="n">
        <v>186.18</v>
      </c>
      <c r="I136" s="394" t="n">
        <v>3913.53</v>
      </c>
      <c r="J136" s="312" t="n">
        <v>3532.14</v>
      </c>
      <c r="K136" s="394" t="n">
        <v>0</v>
      </c>
      <c r="L136" s="389" t="n">
        <v>0</v>
      </c>
      <c r="M136" s="383" t="n">
        <v>0</v>
      </c>
      <c r="N136" s="118" t="n">
        <v>71.95999999999999</v>
      </c>
      <c r="O136" s="118" t="n">
        <v>30.76</v>
      </c>
      <c r="P136" s="394">
        <f>(J136-K136)+(L136-M136)+(N136-O136)</f>
        <v/>
      </c>
      <c r="Q136" s="394">
        <f>SUM(F136,G136,H136,P136)</f>
        <v/>
      </c>
    </row>
    <row r="137">
      <c r="A137" s="11" t="inlineStr">
        <is>
          <t>Mar 30 - Apr 05 2026</t>
        </is>
      </c>
      <c r="B137" s="394" t="n"/>
      <c r="C137" s="394" t="n">
        <v>75773.69</v>
      </c>
      <c r="D137" s="2" t="inlineStr">
        <is>
          <t>2,038</t>
        </is>
      </c>
      <c r="E137" s="394" t="n">
        <v>75948.79000000001</v>
      </c>
      <c r="F137" s="394" t="n">
        <v>71362.75</v>
      </c>
      <c r="G137" s="394" t="n">
        <v>171.06</v>
      </c>
      <c r="H137" s="394" t="n">
        <v>295.05</v>
      </c>
      <c r="I137" s="394" t="n">
        <v>4119.93</v>
      </c>
      <c r="J137" s="389" t="n">
        <v>3885.04</v>
      </c>
      <c r="K137" s="394" t="n">
        <v>0</v>
      </c>
      <c r="L137" s="389" t="n">
        <v>54.97</v>
      </c>
      <c r="M137" s="389" t="n">
        <v>16.98</v>
      </c>
      <c r="N137" s="389" t="n">
        <v>37.98</v>
      </c>
      <c r="O137" s="389" t="n">
        <v>16.18</v>
      </c>
      <c r="P137" s="394">
        <f>(J137-K137)+(L137-M137)+(N137-O137)</f>
        <v/>
      </c>
      <c r="Q137" s="394">
        <f>SUM(F137,G137,H137,P137)</f>
        <v/>
      </c>
    </row>
    <row r="138">
      <c r="A138" s="2" t="inlineStr">
        <is>
          <t>Apr 06 - Apr 12</t>
        </is>
      </c>
      <c r="B138" s="394" t="n"/>
      <c r="C138" s="394" t="n">
        <v>56910.23</v>
      </c>
      <c r="D138" s="27" t="inlineStr">
        <is>
          <t>1,724</t>
        </is>
      </c>
      <c r="E138" s="401" t="n">
        <v>57120.37</v>
      </c>
      <c r="F138" s="401" t="n">
        <v>53661.92</v>
      </c>
      <c r="G138" s="401" t="n">
        <v>190.83</v>
      </c>
      <c r="H138" s="401" t="n">
        <v>159.8</v>
      </c>
      <c r="I138" s="401" t="n">
        <v>3107.82</v>
      </c>
      <c r="J138" s="389" t="n">
        <v>2865.11</v>
      </c>
      <c r="K138" s="394" t="n">
        <v>0</v>
      </c>
      <c r="L138" s="389" t="n">
        <v>0</v>
      </c>
      <c r="M138" s="383" t="n">
        <v>0</v>
      </c>
      <c r="N138" s="389" t="n">
        <v>48.75</v>
      </c>
      <c r="O138" s="389" t="n">
        <v>16.18</v>
      </c>
      <c r="P138" s="394">
        <f>(J138-K138)+(L138-M138)+(N138-O138)</f>
        <v/>
      </c>
      <c r="Q138" s="394">
        <f>SUM(F138,G138,H138,P138)</f>
        <v/>
      </c>
    </row>
    <row r="139">
      <c r="A139" s="325" t="inlineStr">
        <is>
          <t>Apr 13 - Apr 19</t>
        </is>
      </c>
      <c r="B139" s="394" t="n"/>
      <c r="C139" s="394" t="n">
        <v>58051.89</v>
      </c>
      <c r="D139" s="2" t="inlineStr">
        <is>
          <t>1,854</t>
        </is>
      </c>
      <c r="E139" s="402" t="n">
        <v>58012.78</v>
      </c>
      <c r="F139" s="402" t="n">
        <v>54171.54</v>
      </c>
      <c r="G139" s="402" t="n">
        <v>26.38</v>
      </c>
      <c r="H139" s="402" t="n">
        <v>238.43</v>
      </c>
      <c r="I139" s="402" t="n">
        <v>3576.43</v>
      </c>
      <c r="J139" s="389" t="inlineStr">
        <is>
          <t>$3,491.18</t>
        </is>
      </c>
      <c r="K139" s="394" t="n">
        <v>0</v>
      </c>
      <c r="L139" s="389" t="n">
        <v>13.19</v>
      </c>
      <c r="M139" s="383" t="n">
        <v>0</v>
      </c>
      <c r="N139" s="389" t="inlineStr">
        <is>
          <t>$172.69</t>
        </is>
      </c>
      <c r="O139" s="389" t="inlineStr">
        <is>
          <t>$61.52</t>
        </is>
      </c>
      <c r="P139" s="394">
        <f>(J139-K139)+(L139-M139)+(N139-O139)</f>
        <v/>
      </c>
      <c r="Q139" s="394">
        <f>SUM(F139,G139,H139,P139)</f>
        <v/>
      </c>
    </row>
    <row r="140">
      <c r="A140" s="11" t="inlineStr">
        <is>
          <t>Apr 20 - Apr 26</t>
        </is>
      </c>
      <c r="B140" s="394" t="n"/>
      <c r="C140" s="394" t="n">
        <v>56750.23</v>
      </c>
      <c r="D140" s="2" t="inlineStr">
        <is>
          <t>1,690</t>
        </is>
      </c>
      <c r="E140" s="402" t="n">
        <v>56679.69</v>
      </c>
      <c r="F140" s="402" t="n">
        <v>53681.34</v>
      </c>
      <c r="G140" s="402" t="n">
        <v>119.93</v>
      </c>
      <c r="H140" s="402" t="n">
        <v>325.46</v>
      </c>
      <c r="I140" s="402" t="n">
        <v>2552.96</v>
      </c>
      <c r="J140" s="389" t="n">
        <v>2574.13</v>
      </c>
      <c r="K140" s="394" t="n">
        <v>0</v>
      </c>
      <c r="L140" s="389" t="n">
        <v>0</v>
      </c>
      <c r="M140" s="383" t="n">
        <v>0</v>
      </c>
      <c r="N140" s="389" t="n">
        <v>80.73999999999999</v>
      </c>
      <c r="O140" s="389" t="n">
        <v>31.37</v>
      </c>
      <c r="P140" s="394">
        <f>(J140-K140)+(L140-M140)+(N140-O140)</f>
        <v/>
      </c>
      <c r="Q140" s="394">
        <f>SUM(F140,G140,H140,P140)</f>
        <v/>
      </c>
    </row>
    <row r="141">
      <c r="A141" s="394" t="inlineStr">
        <is>
          <t>Apr 27 - May 03</t>
        </is>
      </c>
      <c r="B141" s="394" t="n"/>
      <c r="C141" s="394" t="n">
        <v>57253.16</v>
      </c>
      <c r="D141" s="2" t="inlineStr">
        <is>
          <t>1,703</t>
        </is>
      </c>
      <c r="E141" s="2" t="n">
        <v>56994.48</v>
      </c>
      <c r="F141" s="56" t="n">
        <v>54225.09</v>
      </c>
      <c r="G141" s="389" t="n">
        <v>81.54000000000001</v>
      </c>
      <c r="H141" s="373" t="n">
        <v>39.92</v>
      </c>
      <c r="I141" s="373" t="n">
        <v>2647.93</v>
      </c>
      <c r="J141" s="338" t="inlineStr">
        <is>
          <t>$2,786.66</t>
        </is>
      </c>
      <c r="K141" s="373" t="n">
        <v>0</v>
      </c>
      <c r="L141" s="56" t="n">
        <v>24.99</v>
      </c>
      <c r="M141" s="510" t="n">
        <v>0</v>
      </c>
      <c r="N141" s="339" t="inlineStr">
        <is>
          <t>$140.30</t>
        </is>
      </c>
      <c r="O141" s="339" t="inlineStr">
        <is>
          <t>$45.34</t>
        </is>
      </c>
      <c r="P141" s="394">
        <f>(J141-K141)+(L141-M141)+(N141-O141)</f>
        <v/>
      </c>
      <c r="Q141" s="394">
        <f>SUM(F141,G141,H141,P141)</f>
        <v/>
      </c>
    </row>
    <row r="142">
      <c r="A142" s="471" t="inlineStr">
        <is>
          <t>May 4 - May 10</t>
        </is>
      </c>
      <c r="B142" s="471" t="n"/>
      <c r="C142" s="471" t="n">
        <v>60756.22</v>
      </c>
      <c r="D142" s="2" t="n">
        <v>1700</v>
      </c>
      <c r="E142" s="2" t="n">
        <v>60358.29</v>
      </c>
      <c r="F142" s="332" t="n">
        <v>56042.58</v>
      </c>
      <c r="G142" s="472" t="n">
        <v>86.13</v>
      </c>
      <c r="H142" s="448" t="n">
        <v>131.93</v>
      </c>
      <c r="I142" s="448" t="n">
        <v>4097.65</v>
      </c>
      <c r="J142" s="405" t="n">
        <v>4419.32</v>
      </c>
      <c r="K142" s="448" t="n">
        <v>0</v>
      </c>
      <c r="L142" s="332" t="n">
        <v>76.26000000000001</v>
      </c>
      <c r="M142" s="511" t="n">
        <v>0</v>
      </c>
      <c r="N142" s="457" t="n">
        <v>0</v>
      </c>
      <c r="O142" s="457" t="n">
        <v>0</v>
      </c>
      <c r="P142" s="394">
        <f>(J142-K142)+(L142-M142)+(N142-O142)</f>
        <v/>
      </c>
      <c r="Q142" s="394">
        <f>SUM(F142,G142,H142,P142)</f>
        <v/>
      </c>
    </row>
    <row r="143">
      <c r="A143" s="471" t="inlineStr">
        <is>
          <t>May 11 - May 17</t>
        </is>
      </c>
      <c r="B143" s="471" t="n"/>
      <c r="C143" s="471" t="n"/>
      <c r="D143" s="2" t="n">
        <v>1857</v>
      </c>
      <c r="E143" s="2" t="n">
        <v>74782.62</v>
      </c>
      <c r="F143" s="332" t="n">
        <v>69197.60000000001</v>
      </c>
      <c r="G143" s="472" t="n">
        <v>112.28</v>
      </c>
      <c r="H143" s="448" t="n">
        <v>907.77</v>
      </c>
      <c r="I143" s="448" t="n">
        <v>4564.97</v>
      </c>
      <c r="J143" s="405" t="n"/>
      <c r="K143" s="448" t="n"/>
      <c r="L143" s="332" t="n"/>
      <c r="M143" s="512" t="n"/>
      <c r="N143" s="513" t="n"/>
      <c r="O143" s="513" t="n"/>
      <c r="P143" s="471" t="n"/>
      <c r="Q143" s="471" t="n"/>
    </row>
    <row r="144">
      <c r="A144" s="471" t="n"/>
      <c r="B144" s="471" t="n"/>
      <c r="C144" s="471" t="n"/>
      <c r="D144" s="2" t="n"/>
      <c r="E144" s="2" t="n"/>
      <c r="F144" s="332" t="n"/>
      <c r="G144" s="472" t="n"/>
      <c r="H144" s="448" t="n"/>
      <c r="I144" s="448" t="n"/>
      <c r="J144" s="405" t="n"/>
      <c r="K144" s="448" t="n"/>
      <c r="L144" s="332" t="n"/>
      <c r="M144" s="512" t="n"/>
      <c r="N144" s="513" t="n"/>
      <c r="O144" s="513" t="n"/>
      <c r="P144" s="471" t="n"/>
      <c r="Q144" s="471" t="n"/>
    </row>
    <row r="145">
      <c r="A145" s="474" t="inlineStr">
        <is>
          <t>May 11 - May 17</t>
        </is>
      </c>
      <c r="B145" s="474" t="n"/>
      <c r="C145" s="474" t="n">
        <v>54781.81</v>
      </c>
      <c r="D145" s="2" t="n">
        <v>1679</v>
      </c>
      <c r="E145" s="2" t="n">
        <v>54962.39</v>
      </c>
      <c r="F145" s="332" t="n">
        <v>51430.74</v>
      </c>
      <c r="G145" s="472" t="n">
        <v>52.16</v>
      </c>
      <c r="H145" s="448" t="n">
        <v>110.92</v>
      </c>
      <c r="I145" s="448" t="n">
        <v>3368.57</v>
      </c>
      <c r="J145" s="405" t="n">
        <v>3187.99</v>
      </c>
      <c r="K145" s="448" t="n">
        <v>0</v>
      </c>
      <c r="L145" s="332" t="n">
        <v>0</v>
      </c>
      <c r="M145" s="512" t="n">
        <v>0</v>
      </c>
      <c r="N145" s="513" t="n">
        <v>0</v>
      </c>
      <c r="O145" s="513" t="n">
        <v>0</v>
      </c>
      <c r="P145" s="471">
        <f>(J143-K143)+(L143-M143)+(N143-O143)</f>
        <v/>
      </c>
      <c r="Q145" s="471">
        <f>SUM(F143,G143,H143,P143)</f>
        <v/>
      </c>
    </row>
    <row r="146">
      <c r="A146" s="474" t="inlineStr">
        <is>
          <t>May 18 - May 24</t>
        </is>
      </c>
      <c r="B146" s="474" t="n"/>
      <c r="C146" s="474" t="n">
        <v>63431.41</v>
      </c>
      <c r="D146" s="2" t="n">
        <v>1796</v>
      </c>
      <c r="E146" s="2" t="n">
        <v>63689.3</v>
      </c>
      <c r="F146" s="332" t="n">
        <v>59630.24</v>
      </c>
      <c r="G146" s="472" t="n">
        <v>66.86</v>
      </c>
      <c r="H146" s="448" t="n">
        <v>156.09</v>
      </c>
      <c r="I146" s="448" t="n">
        <v>3836.11</v>
      </c>
      <c r="J146" s="405" t="n">
        <v>3562.33</v>
      </c>
      <c r="K146" s="448" t="n">
        <v>0</v>
      </c>
      <c r="L146" s="332" t="n">
        <v>15.89</v>
      </c>
      <c r="M146" s="512" t="n">
        <v>0</v>
      </c>
      <c r="N146" s="513" t="n">
        <v>0</v>
      </c>
      <c r="O146" s="513" t="n">
        <v>0</v>
      </c>
      <c r="P146" s="471">
        <f>(J144-K144)+(L144-M144)+(N144-O144)</f>
        <v/>
      </c>
      <c r="Q146" s="471">
        <f>SUM(F144,G144,H144,P144)</f>
        <v/>
      </c>
    </row>
    <row r="147">
      <c r="A147" s="474" t="inlineStr">
        <is>
          <t>May 25 - May 31</t>
        </is>
      </c>
      <c r="B147" s="474" t="n"/>
      <c r="C147" s="474" t="n"/>
      <c r="D147" s="2" t="n">
        <v>1857</v>
      </c>
      <c r="E147" s="2" t="n">
        <v>74782.62</v>
      </c>
      <c r="F147" s="332" t="n">
        <v>69197.60000000001</v>
      </c>
      <c r="G147" s="472" t="n">
        <v>112.28</v>
      </c>
      <c r="H147" s="448" t="n">
        <v>907.77</v>
      </c>
      <c r="I147" s="448" t="n">
        <v>4564.97</v>
      </c>
      <c r="J147" s="405" t="n"/>
      <c r="K147" s="448" t="n"/>
      <c r="L147" s="332" t="n"/>
      <c r="M147" s="512" t="n"/>
      <c r="N147" s="513" t="n"/>
      <c r="O147" s="513" t="n"/>
      <c r="P147" s="471" t="n"/>
      <c r="Q147" s="471" t="n"/>
    </row>
    <row r="148">
      <c r="A148" s="474" t="n"/>
      <c r="B148" s="474" t="n"/>
      <c r="C148" s="474" t="n"/>
      <c r="D148" s="2" t="n"/>
      <c r="E148" s="2" t="n"/>
      <c r="F148" s="332" t="n"/>
      <c r="G148" s="472" t="n"/>
      <c r="H148" s="448" t="n"/>
      <c r="I148" s="448" t="n"/>
      <c r="J148" s="405" t="n"/>
      <c r="K148" s="448" t="n"/>
      <c r="L148" s="332" t="n"/>
      <c r="M148" s="512" t="n"/>
      <c r="N148" s="513" t="n"/>
      <c r="O148" s="513" t="n"/>
      <c r="P148" s="471" t="n"/>
      <c r="Q148" s="471" t="n"/>
    </row>
    <row r="149">
      <c r="A149" s="394" t="inlineStr">
        <is>
          <t>Karachi Food Court</t>
        </is>
      </c>
      <c r="B149" s="358" t="n"/>
      <c r="C149" s="355" t="n"/>
      <c r="D149" s="394" t="n"/>
      <c r="E149" s="394" t="n"/>
      <c r="F149" s="118" t="n"/>
      <c r="G149" s="118" t="n"/>
      <c r="H149" s="394" t="n"/>
      <c r="I149" s="11" t="n"/>
      <c r="J149" s="394" t="n"/>
      <c r="K149" s="394" t="n"/>
      <c r="L149" s="394" t="n"/>
      <c r="M149" s="394" t="n"/>
      <c r="N149" s="394" t="n"/>
      <c r="O149" s="394" t="n"/>
      <c r="P149" s="394" t="n"/>
      <c r="Q149" s="394" t="n"/>
    </row>
    <row r="150">
      <c r="A150" s="420" t="inlineStr">
        <is>
          <t>Statement For Selected Period</t>
        </is>
      </c>
      <c r="B150" s="394" t="n"/>
      <c r="C150" s="420" t="inlineStr">
        <is>
          <t>Total Revenue</t>
        </is>
      </c>
      <c r="D150" s="420" t="n"/>
      <c r="E150" s="420" t="n"/>
      <c r="F150" s="394" t="n"/>
      <c r="G150" s="394" t="n"/>
      <c r="H150" s="394" t="n"/>
      <c r="I150" s="394" t="n"/>
      <c r="J150" s="394" t="n"/>
      <c r="K150" s="394" t="n"/>
      <c r="L150" s="394" t="n"/>
      <c r="M150" s="394" t="n"/>
      <c r="N150" s="394" t="n"/>
      <c r="O150" s="394" t="n"/>
      <c r="P150" s="394" t="n"/>
      <c r="Q150" s="394" t="n"/>
    </row>
    <row r="151">
      <c r="A151" s="11" t="inlineStr">
        <is>
          <t>Mar 09 - Mar 15 2026</t>
        </is>
      </c>
      <c r="B151" s="56" t="n"/>
      <c r="C151" s="56" t="n">
        <v>52613.88</v>
      </c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</row>
    <row r="152">
      <c r="A152" s="11" t="inlineStr">
        <is>
          <t>Mar 16 - Mar 22 2026</t>
        </is>
      </c>
      <c r="B152" s="56" t="n"/>
      <c r="C152" s="394" t="n">
        <v>88000.02</v>
      </c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</row>
    <row r="153">
      <c r="A153" s="11" t="inlineStr">
        <is>
          <t>Mar 23 - Mar 29 2026</t>
        </is>
      </c>
      <c r="B153" s="56" t="n"/>
      <c r="C153" s="394" t="n">
        <v>57392.81999999999</v>
      </c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</row>
    <row r="154">
      <c r="A154" s="11" t="inlineStr">
        <is>
          <t>Mar 30 - Apr 05 2026</t>
        </is>
      </c>
      <c r="B154" s="56" t="n"/>
      <c r="C154" s="394" t="n">
        <v>75773.69</v>
      </c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</row>
    <row r="155">
      <c r="A155" s="2" t="inlineStr">
        <is>
          <t>Apr 06 - Apr 12</t>
        </is>
      </c>
      <c r="B155" s="394" t="n"/>
      <c r="C155" s="394" t="n">
        <v>56910.23</v>
      </c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</row>
    <row r="156">
      <c r="A156" s="325" t="inlineStr">
        <is>
          <t>Apr 13 - Apr 19</t>
        </is>
      </c>
      <c r="B156" s="394" t="n"/>
      <c r="C156" s="394" t="n">
        <v>58051.89</v>
      </c>
    </row>
    <row r="157">
      <c r="A157" s="11" t="inlineStr">
        <is>
          <t>Apr 20 - Apr 26</t>
        </is>
      </c>
      <c r="B157" s="394" t="n"/>
      <c r="C157" s="394" t="n">
        <v>56750.23</v>
      </c>
    </row>
    <row r="158">
      <c r="A158" s="394" t="inlineStr">
        <is>
          <t>Apr 27 - May 03</t>
        </is>
      </c>
      <c r="B158" s="394" t="n"/>
      <c r="C158" s="394" t="n">
        <v>57253.16</v>
      </c>
    </row>
    <row r="159">
      <c r="A159" s="471" t="inlineStr">
        <is>
          <t>May 4 - May 10</t>
        </is>
      </c>
      <c r="B159" s="471" t="n"/>
      <c r="C159" s="471" t="n">
        <v>60756.22</v>
      </c>
    </row>
    <row r="160">
      <c r="A160" s="474" t="inlineStr">
        <is>
          <t>May 11 - May 17</t>
        </is>
      </c>
      <c r="B160" s="474" t="n"/>
      <c r="C160" s="474" t="n">
        <v>54781.81</v>
      </c>
    </row>
    <row r="161">
      <c r="A161" s="474" t="inlineStr">
        <is>
          <t>May 18 - May 24</t>
        </is>
      </c>
      <c r="B161" s="474" t="n"/>
      <c r="C161" s="474" t="n">
        <v>63431.41</v>
      </c>
    </row>
  </sheetData>
  <mergeCells count="1"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5"/>
  <sheetViews>
    <sheetView topLeftCell="A43" workbookViewId="0">
      <pane ySplit="12" topLeftCell="A142" activePane="bottomLeft" state="frozen"/>
      <selection activeCell="A43" sqref="A43"/>
      <selection pane="bottomLeft" activeCell="D160" sqref="D160"/>
    </sheetView>
  </sheetViews>
  <sheetFormatPr baseColWidth="8" defaultColWidth="9.109375" defaultRowHeight="13.8"/>
  <cols>
    <col width="33.6640625" customWidth="1" style="69" min="1" max="1"/>
    <col width="18.109375" customWidth="1" style="69" min="2" max="2"/>
    <col width="16.109375" customWidth="1" style="69" min="3" max="3"/>
    <col width="16.33203125" customWidth="1" style="69" min="4" max="6"/>
    <col width="16.88671875" customWidth="1" style="69" min="7" max="7"/>
    <col width="17.44140625" customWidth="1" style="69" min="8" max="8"/>
    <col width="21.88671875" customWidth="1" style="69" min="9" max="9"/>
    <col width="23.88671875" customWidth="1" style="69" min="10" max="10"/>
    <col width="16.33203125" customWidth="1" style="69" min="11" max="11"/>
    <col width="17.109375" customWidth="1" style="69" min="12" max="12"/>
    <col width="16.109375" customWidth="1" style="69" min="13" max="13"/>
    <col width="17" customWidth="1" style="69" min="14" max="14"/>
    <col width="9.109375" customWidth="1" style="69" min="15" max="17"/>
    <col width="9.109375" customWidth="1" style="69" min="18" max="16384"/>
  </cols>
  <sheetData>
    <row r="1" ht="14.4" customHeight="1">
      <c r="A1" s="362" t="inlineStr">
        <is>
          <t>Markham</t>
        </is>
      </c>
      <c r="B1" s="358" t="n"/>
      <c r="C1" s="358" t="n"/>
      <c r="D1" s="355" t="n"/>
      <c r="E1" s="72" t="n"/>
      <c r="F1" s="72" t="n"/>
    </row>
    <row r="2" ht="27.6" customFormat="1" customHeight="1" s="72">
      <c r="A2" s="70" t="inlineStr">
        <is>
          <t>Statement For Selected Period</t>
        </is>
      </c>
      <c r="B2" s="71" t="inlineStr">
        <is>
          <t>Total Revenue (Net Sales)</t>
        </is>
      </c>
      <c r="C2" s="71" t="inlineStr">
        <is>
          <t>Royalties
(6%)</t>
        </is>
      </c>
      <c r="D2" s="71" t="inlineStr">
        <is>
          <t>Marketing
(2%)</t>
        </is>
      </c>
      <c r="E2" s="250" t="n"/>
      <c r="F2" s="250" t="n"/>
    </row>
    <row r="3" ht="27.6" customHeight="1">
      <c r="A3" s="58" t="inlineStr">
        <is>
          <t>December 18 2023 - December 24 2024</t>
        </is>
      </c>
      <c r="B3" s="514" t="n">
        <v>4640.56</v>
      </c>
      <c r="C3" s="515">
        <f>B3*0.06</f>
        <v/>
      </c>
      <c r="D3" s="515">
        <f>B3*0.02</f>
        <v/>
      </c>
      <c r="E3" s="516" t="n"/>
      <c r="F3" s="516" t="n"/>
    </row>
    <row r="4" ht="27.6" customHeight="1">
      <c r="A4" s="58" t="inlineStr">
        <is>
          <t>December 25 2023 - December 31 2024</t>
        </is>
      </c>
      <c r="B4" s="517" t="n">
        <v>12060.9</v>
      </c>
      <c r="C4" s="515">
        <f>B4*0.06</f>
        <v/>
      </c>
      <c r="D4" s="515">
        <f>B4*0.02</f>
        <v/>
      </c>
      <c r="E4" s="516" t="n"/>
      <c r="F4" s="516" t="n"/>
    </row>
    <row r="5" ht="14.4" customHeight="1" thickBot="1">
      <c r="A5" s="58" t="inlineStr">
        <is>
          <t>Jan 1 - Jan 07 2024</t>
        </is>
      </c>
      <c r="B5" s="518" t="n">
        <v>11251.81</v>
      </c>
      <c r="C5" s="515">
        <f>B5*0.06</f>
        <v/>
      </c>
      <c r="D5" s="515">
        <f>B5*0.02</f>
        <v/>
      </c>
      <c r="E5" s="516" t="n"/>
      <c r="F5" s="516" t="n"/>
      <c r="G5" s="77" t="n"/>
    </row>
    <row r="6">
      <c r="A6" s="60" t="inlineStr">
        <is>
          <t>Jan 8 - Jan 14 2024</t>
        </is>
      </c>
      <c r="B6" s="519" t="n">
        <v>8547.709999999999</v>
      </c>
      <c r="C6" s="520">
        <f>B6*0.06</f>
        <v/>
      </c>
      <c r="D6" s="515">
        <f>B6*0.02</f>
        <v/>
      </c>
      <c r="E6" s="516" t="n"/>
      <c r="F6" s="516" t="n"/>
    </row>
    <row r="7">
      <c r="A7" s="60" t="inlineStr">
        <is>
          <t>Jan 15 - Jan 21 2024</t>
        </is>
      </c>
      <c r="B7" s="519" t="n">
        <v>10272.1</v>
      </c>
      <c r="C7" s="520">
        <f>B7*0.06</f>
        <v/>
      </c>
      <c r="D7" s="515">
        <f>B7*0.02</f>
        <v/>
      </c>
      <c r="E7" s="516" t="n"/>
      <c r="F7" s="516" t="n"/>
    </row>
    <row r="8">
      <c r="A8" s="80" t="inlineStr">
        <is>
          <t>Jan 22 - Jan 28 2024</t>
        </is>
      </c>
      <c r="B8" s="518" t="n">
        <v>11991.64</v>
      </c>
      <c r="C8" s="521">
        <f>B8*0.06</f>
        <v/>
      </c>
      <c r="D8" s="522">
        <f>B8*0.02</f>
        <v/>
      </c>
      <c r="E8" s="516" t="n"/>
      <c r="F8" s="516" t="n"/>
    </row>
    <row r="9">
      <c r="A9" s="59" t="inlineStr">
        <is>
          <t>Jan 29 - Feb 04 2024</t>
        </is>
      </c>
      <c r="B9" s="523" t="n">
        <v>10169.08</v>
      </c>
      <c r="C9" s="515">
        <f>B9*0.06</f>
        <v/>
      </c>
      <c r="D9" s="515">
        <f>B9*0.02</f>
        <v/>
      </c>
      <c r="E9" s="516" t="n"/>
      <c r="F9" s="516" t="n"/>
    </row>
    <row r="10">
      <c r="A10" s="58" t="inlineStr">
        <is>
          <t>Feb 05 - Feb 11 2024</t>
        </is>
      </c>
      <c r="B10" s="524" t="n">
        <v>10185.83</v>
      </c>
      <c r="C10" s="515">
        <f>B10*0.06</f>
        <v/>
      </c>
      <c r="D10" s="515">
        <f>B10*0.02</f>
        <v/>
      </c>
      <c r="E10" s="516" t="n"/>
      <c r="F10" s="516" t="n"/>
    </row>
    <row r="11">
      <c r="A11" s="58" t="inlineStr">
        <is>
          <t>Feb 12 - Feb 18 2024</t>
        </is>
      </c>
      <c r="B11" s="519" t="n">
        <v>9415.219999999999</v>
      </c>
      <c r="C11" s="515">
        <f>B11*0.06</f>
        <v/>
      </c>
      <c r="D11" s="515">
        <f>B11*0.02</f>
        <v/>
      </c>
      <c r="E11" s="516" t="n"/>
      <c r="F11" s="516" t="n"/>
    </row>
    <row r="12">
      <c r="A12" s="85" t="inlineStr">
        <is>
          <t>Feb 19 - Feb 25 2024</t>
        </is>
      </c>
      <c r="B12" s="525" t="n">
        <v>10664.05</v>
      </c>
      <c r="C12" s="526">
        <f>B12*0.06</f>
        <v/>
      </c>
      <c r="D12" s="526">
        <f>B12*0.02</f>
        <v/>
      </c>
      <c r="E12" s="527" t="n"/>
      <c r="F12" s="527" t="n"/>
    </row>
    <row r="13">
      <c r="A13" s="87" t="inlineStr">
        <is>
          <t>Feb 26 - Mar 03, 2024</t>
        </is>
      </c>
      <c r="B13" s="528" t="n">
        <v>10643.55</v>
      </c>
      <c r="C13" s="526">
        <f>B13*0.06</f>
        <v/>
      </c>
      <c r="D13" s="526">
        <f>B13*0.02</f>
        <v/>
      </c>
      <c r="E13" s="527" t="n"/>
      <c r="F13" s="527" t="n"/>
    </row>
    <row r="14">
      <c r="A14" s="89" t="inlineStr">
        <is>
          <t>Mar 04 - Mar 10, 2024</t>
        </is>
      </c>
      <c r="B14" s="524" t="n">
        <v>8627.639999999999</v>
      </c>
      <c r="C14" s="526">
        <f>B14*0.06</f>
        <v/>
      </c>
      <c r="D14" s="526">
        <f>B14*0.02</f>
        <v/>
      </c>
      <c r="E14" s="527" t="n"/>
      <c r="F14" s="527" t="n"/>
    </row>
    <row r="15">
      <c r="A15" s="87" t="inlineStr">
        <is>
          <t>Mar 11 - Mar 17, 2024</t>
        </is>
      </c>
      <c r="B15" s="519" t="n">
        <v>6972.79</v>
      </c>
      <c r="C15" s="526">
        <f>B15*0.06</f>
        <v/>
      </c>
      <c r="D15" s="526">
        <f>B15*0.02</f>
        <v/>
      </c>
      <c r="E15" s="527" t="n"/>
      <c r="F15" s="527" t="n"/>
    </row>
    <row r="16">
      <c r="A16" s="89" t="inlineStr">
        <is>
          <t>Mar 18 - Mar 25, 2024</t>
        </is>
      </c>
      <c r="B16" s="524" t="n">
        <v>7716.13</v>
      </c>
      <c r="C16" s="526">
        <f>B16*0.06</f>
        <v/>
      </c>
      <c r="D16" s="526">
        <f>B16*0.02</f>
        <v/>
      </c>
      <c r="E16" s="527" t="n"/>
      <c r="F16" s="527" t="n"/>
    </row>
    <row r="17">
      <c r="A17" s="87" t="inlineStr">
        <is>
          <t>Mar 25 - Mar 31, 2024</t>
        </is>
      </c>
      <c r="B17" s="524" t="n">
        <v>10826.18</v>
      </c>
      <c r="C17" s="526">
        <f>B17*0.06</f>
        <v/>
      </c>
      <c r="D17" s="526">
        <f>B17*0.02</f>
        <v/>
      </c>
      <c r="E17" s="527" t="n"/>
      <c r="F17" s="527" t="n"/>
    </row>
    <row r="18">
      <c r="A18" s="58" t="inlineStr">
        <is>
          <t>Apr 1 - Apr 07 2024</t>
        </is>
      </c>
      <c r="B18" s="524" t="n">
        <v>10472.75</v>
      </c>
      <c r="C18" s="526">
        <f>B18*0.06</f>
        <v/>
      </c>
      <c r="D18" s="526">
        <f>B18*0.02</f>
        <v/>
      </c>
      <c r="E18" s="527" t="n"/>
      <c r="F18" s="527" t="n"/>
    </row>
    <row r="19">
      <c r="A19" s="58" t="inlineStr">
        <is>
          <t>Apr 8 - Apr 14 2024</t>
        </is>
      </c>
      <c r="B19" s="524" t="n">
        <v>12144.18</v>
      </c>
      <c r="C19" s="526">
        <f>B19*0.06</f>
        <v/>
      </c>
      <c r="D19" s="526">
        <f>B19*0.02</f>
        <v/>
      </c>
      <c r="E19" s="527" t="n"/>
      <c r="F19" s="527" t="n"/>
    </row>
    <row r="20">
      <c r="A20" s="58" t="inlineStr">
        <is>
          <t>Apr 15 - Apr 21 2024</t>
        </is>
      </c>
      <c r="B20" s="524" t="n">
        <v>9134.629999999999</v>
      </c>
      <c r="C20" s="526">
        <f>B20*0.06</f>
        <v/>
      </c>
      <c r="D20" s="526">
        <f>B20*0.02</f>
        <v/>
      </c>
      <c r="E20" s="527" t="n"/>
      <c r="F20" s="527" t="n"/>
    </row>
    <row r="21">
      <c r="A21" s="58" t="inlineStr">
        <is>
          <t>Apr 22 - Apr 28 2024</t>
        </is>
      </c>
      <c r="B21" s="522" t="n">
        <v>9378.85</v>
      </c>
      <c r="C21" s="526">
        <f>(B21*0.06)*1.13</f>
        <v/>
      </c>
      <c r="D21" s="526">
        <f>(B21*0.02)*1.13</f>
        <v/>
      </c>
      <c r="E21" s="527" t="n"/>
      <c r="F21" s="527" t="n"/>
    </row>
    <row r="22">
      <c r="A22" s="60" t="inlineStr">
        <is>
          <t>Apr 29 - May 5 2024</t>
        </is>
      </c>
      <c r="B22" s="515" t="n">
        <v>8840.32</v>
      </c>
      <c r="C22" s="529">
        <f>(B22*0.06)*1.13</f>
        <v/>
      </c>
      <c r="D22" s="526">
        <f>(B22*0.02)*1.13</f>
        <v/>
      </c>
      <c r="E22" s="527" t="n"/>
      <c r="F22" s="527" t="n"/>
    </row>
    <row r="23">
      <c r="A23" s="58" t="inlineStr">
        <is>
          <t>May 6 - May 12 2024</t>
        </is>
      </c>
      <c r="B23" s="515" t="n">
        <v>9831.200000000001</v>
      </c>
      <c r="C23" s="526">
        <f>(B23*0.06)*1.13</f>
        <v/>
      </c>
      <c r="D23" s="526">
        <f>(B23*0.02)*1.13</f>
        <v/>
      </c>
      <c r="E23" s="527" t="n"/>
      <c r="F23" s="527" t="n"/>
    </row>
    <row r="24">
      <c r="A24" s="58" t="inlineStr">
        <is>
          <t>May 13 - May 19 2024</t>
        </is>
      </c>
      <c r="B24" s="515" t="n">
        <v>10206.77</v>
      </c>
      <c r="C24" s="526">
        <f>(B24*0.06)*1.13</f>
        <v/>
      </c>
      <c r="D24" s="526">
        <f>(B24*0.02)*1.13</f>
        <v/>
      </c>
      <c r="E24" s="527" t="n"/>
      <c r="F24" s="527" t="n"/>
    </row>
    <row r="25">
      <c r="A25" s="59" t="inlineStr">
        <is>
          <t>May 20 - May 26 2024</t>
        </is>
      </c>
      <c r="B25" s="530" t="n">
        <v>12184.27</v>
      </c>
      <c r="C25" s="531">
        <f>(B25*0.06)*1.13</f>
        <v/>
      </c>
      <c r="D25" s="531">
        <f>(B25*0.02)*1.13</f>
        <v/>
      </c>
      <c r="E25" s="527" t="n"/>
      <c r="F25" s="527" t="n"/>
    </row>
    <row r="26">
      <c r="A26" s="58" t="inlineStr">
        <is>
          <t>May 27 - Jun 02 2024</t>
        </is>
      </c>
      <c r="B26" s="522" t="n">
        <v>11920.02</v>
      </c>
      <c r="C26" s="526">
        <f>(B26*0.06)*1.13</f>
        <v/>
      </c>
      <c r="D26" s="526">
        <f>(B26*0.02)*1.13</f>
        <v/>
      </c>
      <c r="E26" s="527" t="n"/>
      <c r="F26" s="527" t="n"/>
    </row>
    <row r="27" customFormat="1" s="61">
      <c r="A27" s="60" t="inlineStr">
        <is>
          <t>Jun 03 - Jun 09 2024</t>
        </is>
      </c>
      <c r="B27" s="515" t="n">
        <v>13116.63</v>
      </c>
      <c r="C27" s="526">
        <f>(B27*0.06)*1.13</f>
        <v/>
      </c>
      <c r="D27" s="526">
        <f>(B27*0.02)*1.13</f>
        <v/>
      </c>
      <c r="E27" s="527" t="n"/>
      <c r="F27" s="527" t="n"/>
    </row>
    <row r="28" customFormat="1" s="61">
      <c r="A28" s="60" t="inlineStr">
        <is>
          <t>Jun 10 - Jun 16 2024</t>
        </is>
      </c>
      <c r="B28" s="515" t="n">
        <v>12257.18</v>
      </c>
      <c r="C28" s="526">
        <f>(B28*0.06)*1.13</f>
        <v/>
      </c>
      <c r="D28" s="526">
        <f>(B28*0.02)*1.13</f>
        <v/>
      </c>
      <c r="E28" s="527" t="n"/>
      <c r="F28" s="527" t="n"/>
    </row>
    <row r="29" customFormat="1" s="61">
      <c r="A29" s="60" t="inlineStr">
        <is>
          <t>Jun 17 - Jun 23 2024</t>
        </is>
      </c>
      <c r="B29" s="515" t="n">
        <v>13754.28</v>
      </c>
      <c r="C29" s="526">
        <f>(B29*0.06)*1.13</f>
        <v/>
      </c>
      <c r="D29" s="526">
        <f>(B29*0.02)*1.13</f>
        <v/>
      </c>
      <c r="E29" s="527" t="n"/>
      <c r="F29" s="527" t="n"/>
    </row>
    <row r="30">
      <c r="A30" s="58" t="inlineStr">
        <is>
          <t>Jun 24 - Jun 30 2024</t>
        </is>
      </c>
      <c r="B30" s="522" t="n">
        <v>12247.99</v>
      </c>
      <c r="C30" s="526">
        <f>(B30*0.06)*1.13</f>
        <v/>
      </c>
      <c r="D30" s="526">
        <f>(B30*0.02)*1.13</f>
        <v/>
      </c>
      <c r="E30" s="527" t="n"/>
      <c r="F30" s="527" t="n"/>
    </row>
    <row r="31">
      <c r="A31" s="62" t="inlineStr">
        <is>
          <t>Jul 1 - Jul 7 2024</t>
        </is>
      </c>
      <c r="B31" s="532">
        <f>13152.46-1164.26</f>
        <v/>
      </c>
      <c r="C31" s="533">
        <f>(B31*0.06)*1.13</f>
        <v/>
      </c>
      <c r="D31" s="531">
        <f>(B31*0.02)*1.13</f>
        <v/>
      </c>
      <c r="E31" s="527" t="n"/>
      <c r="F31" s="527" t="n"/>
    </row>
    <row r="32">
      <c r="A32" s="59" t="inlineStr">
        <is>
          <t>Jul 8 - Jul 14 2024</t>
        </is>
      </c>
      <c r="B32" s="522" t="n">
        <v>11665.99</v>
      </c>
      <c r="C32" s="531">
        <f>(B32*0.06)*1.13</f>
        <v/>
      </c>
      <c r="D32" s="531">
        <f>(B32*0.02)*1.13</f>
        <v/>
      </c>
      <c r="E32" s="527" t="n"/>
      <c r="F32" s="527" t="n"/>
    </row>
    <row r="33">
      <c r="A33" s="59" t="inlineStr">
        <is>
          <t>Jul 15 - Jul 21 2024</t>
        </is>
      </c>
      <c r="B33" s="530" t="n">
        <v>11814.15</v>
      </c>
      <c r="C33" s="531">
        <f>(B33*0.06)*1.13</f>
        <v/>
      </c>
      <c r="D33" s="531">
        <f>(B33*0.02)*1.13</f>
        <v/>
      </c>
      <c r="E33" s="527" t="n"/>
      <c r="F33" s="527" t="n"/>
    </row>
    <row r="34" customFormat="1" s="94">
      <c r="A34" s="58" t="inlineStr">
        <is>
          <t>Jul 22 - Jul 28 2024</t>
        </is>
      </c>
      <c r="B34" s="515" t="n">
        <v>11963.75</v>
      </c>
      <c r="C34" s="526">
        <f>(B34*0.06)*1.13</f>
        <v/>
      </c>
      <c r="D34" s="526">
        <f>(B34*0.02)*1.13</f>
        <v/>
      </c>
      <c r="E34" s="526" t="n"/>
      <c r="F34" s="526" t="n"/>
    </row>
    <row r="35" customFormat="1" s="94">
      <c r="A35" s="58" t="inlineStr">
        <is>
          <t>Jul 29 - Aug 04 2024</t>
        </is>
      </c>
      <c r="B35" s="534" t="n">
        <v>12977.57</v>
      </c>
      <c r="C35" s="526">
        <f>(B35*0.06)*1.13</f>
        <v/>
      </c>
      <c r="D35" s="526">
        <f>(B35*0.02)*1.13</f>
        <v/>
      </c>
      <c r="E35" s="526" t="n"/>
      <c r="F35" s="526" t="n"/>
    </row>
    <row r="36" customFormat="1" s="94">
      <c r="A36" s="58" t="inlineStr">
        <is>
          <t>Aug 05 - Aug 11 2024</t>
        </is>
      </c>
      <c r="B36" s="535" t="n">
        <v>13094.69</v>
      </c>
      <c r="C36" s="526">
        <f>(B36*0.06)*1.13</f>
        <v/>
      </c>
      <c r="D36" s="526">
        <f>(B36*0.02)*1.13</f>
        <v/>
      </c>
      <c r="E36" s="526" t="n"/>
      <c r="F36" s="526" t="n"/>
    </row>
    <row r="37" customFormat="1" s="94">
      <c r="A37" s="27" t="inlineStr">
        <is>
          <t>Aug 12 - Aug 18 2024</t>
        </is>
      </c>
      <c r="B37" s="536" t="n">
        <v>13216.82</v>
      </c>
      <c r="C37" s="531">
        <f>(B37*0.06)*1.13</f>
        <v/>
      </c>
      <c r="D37" s="531">
        <f>(B37*0.02)*1.13</f>
        <v/>
      </c>
      <c r="E37" s="531" t="n"/>
      <c r="F37" s="531" t="n"/>
    </row>
    <row r="38" customFormat="1" s="94">
      <c r="A38" s="2" t="inlineStr">
        <is>
          <t>Aug 19 - Aug 25 2024</t>
        </is>
      </c>
      <c r="B38" s="537" t="n">
        <v>12088.66</v>
      </c>
      <c r="C38" s="398">
        <f>(B38*0.06)*1.13</f>
        <v/>
      </c>
      <c r="D38" s="398">
        <f>(B38*0.02)*1.13</f>
        <v/>
      </c>
      <c r="E38" s="538" t="n"/>
      <c r="F38" s="538" t="n"/>
      <c r="G38" s="114" t="n"/>
    </row>
    <row r="39" customFormat="1" s="94">
      <c r="A39" s="2" t="inlineStr">
        <is>
          <t>Aug 26 - Sep 01 2024</t>
        </is>
      </c>
      <c r="B39" s="537" t="n">
        <v>13164.76</v>
      </c>
      <c r="C39" s="398">
        <f>(B39*0.06)*1.13</f>
        <v/>
      </c>
      <c r="D39" s="398">
        <f>(B39*0.02)*1.13</f>
        <v/>
      </c>
      <c r="E39" s="538" t="n"/>
      <c r="F39" s="538" t="n"/>
      <c r="G39" s="114" t="n"/>
    </row>
    <row r="40" customFormat="1" s="94">
      <c r="A40" s="2" t="inlineStr">
        <is>
          <t>Sep 02 - Sep 08 2024</t>
        </is>
      </c>
      <c r="B40" s="537" t="n">
        <v>13465.82</v>
      </c>
      <c r="C40" s="398">
        <f>(B40*0.06)*1.13</f>
        <v/>
      </c>
      <c r="D40" s="398">
        <f>(B40*0.02)*1.13</f>
        <v/>
      </c>
      <c r="E40" s="538" t="n"/>
      <c r="F40" s="538" t="n"/>
      <c r="G40" s="114" t="n"/>
    </row>
    <row r="41" customFormat="1" s="94">
      <c r="A41" s="2" t="inlineStr">
        <is>
          <t>Sep 09 - Sep 15 2024</t>
        </is>
      </c>
      <c r="B41" s="537" t="n">
        <v>12064.43</v>
      </c>
      <c r="C41" s="398">
        <f>(B41*0.06)*1.13</f>
        <v/>
      </c>
      <c r="D41" s="398">
        <f>(B41*0.02)*1.13</f>
        <v/>
      </c>
      <c r="E41" s="538" t="n"/>
      <c r="F41" s="538" t="n"/>
      <c r="G41" s="114" t="n"/>
    </row>
    <row r="42" customFormat="1" s="61">
      <c r="A42" s="2" t="inlineStr">
        <is>
          <t>Sep 16 - Sep 22 2024</t>
        </is>
      </c>
      <c r="B42" s="537" t="n">
        <v>13132.43</v>
      </c>
      <c r="C42" s="398">
        <f>(B42*0.06)*1.13</f>
        <v/>
      </c>
      <c r="D42" s="398">
        <f>(B42*0.02)*1.13</f>
        <v/>
      </c>
      <c r="E42" s="539" t="n"/>
      <c r="F42" s="539" t="n"/>
    </row>
    <row r="43" customFormat="1" s="94">
      <c r="A43" s="2" t="inlineStr">
        <is>
          <t>Sep 23 - Sep 29 2024</t>
        </is>
      </c>
      <c r="B43" s="537" t="n">
        <v>12136.79</v>
      </c>
      <c r="C43" s="398">
        <f>(B43*0.06)*1.13</f>
        <v/>
      </c>
      <c r="D43" s="398">
        <f>(B43*0.02)*1.13</f>
        <v/>
      </c>
      <c r="E43" s="538" t="n"/>
      <c r="F43" s="538" t="n"/>
      <c r="G43" s="114" t="n"/>
    </row>
    <row r="44" customFormat="1" s="94">
      <c r="A44" s="2" t="inlineStr">
        <is>
          <t>Sep 30 - Oct 06 2024</t>
        </is>
      </c>
      <c r="B44" s="537" t="n">
        <v>10521.5</v>
      </c>
      <c r="C44" s="398">
        <f>(B44*0.06)*1.13</f>
        <v/>
      </c>
      <c r="D44" s="398">
        <f>(B44*0.02)*1.13</f>
        <v/>
      </c>
      <c r="E44" s="538" t="n"/>
      <c r="F44" s="538" t="n"/>
      <c r="G44" s="114" t="n"/>
    </row>
    <row r="45" customFormat="1" s="61">
      <c r="A45" s="2" t="inlineStr">
        <is>
          <t>Oct 07 - Oct 13 2024</t>
        </is>
      </c>
      <c r="B45" s="537" t="n">
        <v>11342.72</v>
      </c>
      <c r="C45" s="398">
        <f>(B45*0.06)*1.13</f>
        <v/>
      </c>
      <c r="D45" s="398">
        <f>(B45*0.02)*1.13</f>
        <v/>
      </c>
      <c r="E45" s="539" t="n"/>
      <c r="F45" s="539" t="n"/>
    </row>
    <row r="46" customFormat="1" s="94">
      <c r="A46" s="2" t="inlineStr">
        <is>
          <t>Oct 14 - Oct 20 2024</t>
        </is>
      </c>
      <c r="B46" s="537" t="n">
        <v>11613.62</v>
      </c>
      <c r="C46" s="398">
        <f>(B46*0.06)*1.13</f>
        <v/>
      </c>
      <c r="D46" s="398">
        <f>(B46*0.02)*1.13</f>
        <v/>
      </c>
      <c r="E46" s="538" t="n"/>
      <c r="F46" s="538" t="n"/>
      <c r="G46" s="114" t="n"/>
    </row>
    <row r="47" ht="14.4" customFormat="1" customHeight="1" s="94" thickBot="1">
      <c r="A47" s="2" t="inlineStr">
        <is>
          <t>Oct 21 - Oct 27 2024</t>
        </is>
      </c>
      <c r="B47" s="537" t="n">
        <v>10459.85</v>
      </c>
      <c r="C47" s="398">
        <f>(B47*0.06)*1.13</f>
        <v/>
      </c>
      <c r="D47" s="398">
        <f>(B47*0.02)*1.13</f>
        <v/>
      </c>
      <c r="E47" s="538" t="n"/>
      <c r="F47" s="538" t="n"/>
      <c r="G47" s="114" t="n"/>
    </row>
    <row r="48" ht="18" customFormat="1" customHeight="1" s="94" thickBot="1">
      <c r="A48" s="2" t="inlineStr">
        <is>
          <t>Oct 28 - Nov 03 2024</t>
        </is>
      </c>
      <c r="B48" s="537" t="n">
        <v>10632.8</v>
      </c>
      <c r="C48" s="398">
        <f>(B48*0.06)*1.13</f>
        <v/>
      </c>
      <c r="D48" s="398">
        <f>(B48*0.02)*1.13</f>
        <v/>
      </c>
      <c r="E48" s="539" t="n"/>
      <c r="F48" s="539" t="n"/>
      <c r="G48" s="136" t="n"/>
      <c r="H48" s="133" t="n"/>
      <c r="I48" s="459" t="n"/>
    </row>
    <row r="49" ht="18" customFormat="1" customHeight="1" s="94" thickBot="1">
      <c r="A49" s="2" t="inlineStr">
        <is>
          <t>Nov 4 - Nov 10 2024</t>
        </is>
      </c>
      <c r="B49" s="389" t="n">
        <v>9288.83</v>
      </c>
      <c r="C49" s="398">
        <f>(B49*0.06)*1.13</f>
        <v/>
      </c>
      <c r="D49" s="398">
        <f>(B49*0.02)*1.13</f>
        <v/>
      </c>
      <c r="E49" s="539" t="n"/>
      <c r="F49" s="539" t="n"/>
      <c r="G49" s="137" t="n"/>
      <c r="H49" s="133" t="n"/>
      <c r="I49" s="459" t="n"/>
      <c r="J49" s="61" t="n"/>
      <c r="K49" s="61" t="n"/>
      <c r="L49" s="61" t="n"/>
      <c r="M49" s="61" t="n"/>
    </row>
    <row r="50" ht="18" customFormat="1" customHeight="1" s="94" thickBot="1">
      <c r="A50" s="2" t="inlineStr">
        <is>
          <t>Nov 11 - Nov 17 2024</t>
        </is>
      </c>
      <c r="B50" s="389" t="n">
        <v>11689.34</v>
      </c>
      <c r="C50" s="398">
        <f>(B50*0.06)*1.13</f>
        <v/>
      </c>
      <c r="D50" s="398">
        <f>(B50*0.02)*1.13</f>
        <v/>
      </c>
      <c r="E50" s="539" t="n"/>
      <c r="F50" s="539" t="n"/>
      <c r="G50" s="138" t="n"/>
      <c r="H50" s="133" t="n"/>
      <c r="I50" s="459" t="n"/>
      <c r="J50" s="133" t="n"/>
      <c r="K50" s="61" t="n"/>
      <c r="L50" s="96" t="n"/>
      <c r="M50" s="61" t="n"/>
    </row>
    <row r="51" ht="14.4" customFormat="1" customHeight="1" s="94">
      <c r="A51" s="2" t="inlineStr">
        <is>
          <t>Nov 18 - Nov 24 2024</t>
        </is>
      </c>
      <c r="B51" s="389" t="n">
        <v>10149.26</v>
      </c>
      <c r="C51" s="398">
        <f>(B51*0.06)*1.13</f>
        <v/>
      </c>
      <c r="D51" s="398">
        <f>(B51*0.02)*1.13</f>
        <v/>
      </c>
      <c r="E51" s="539" t="n"/>
      <c r="F51" s="539" t="n"/>
      <c r="I51" s="460" t="n"/>
      <c r="J51" s="61" t="n"/>
      <c r="K51" s="69" t="n"/>
      <c r="L51" s="69" t="n"/>
      <c r="M51" s="61" t="n"/>
    </row>
    <row r="52" customFormat="1" s="94">
      <c r="A52" s="2" t="inlineStr">
        <is>
          <t>Nov 25 - Dec 01 2024</t>
        </is>
      </c>
      <c r="B52" s="389" t="n">
        <v>10629.35</v>
      </c>
      <c r="C52" s="398">
        <f>(B52*0.06)*1.13</f>
        <v/>
      </c>
      <c r="D52" s="398">
        <f>(B52*0.02)*1.13</f>
        <v/>
      </c>
      <c r="E52" s="539" t="n"/>
      <c r="F52" s="539" t="n"/>
      <c r="G52" s="61" t="n"/>
      <c r="H52" s="61" t="n"/>
      <c r="I52" s="61" t="n"/>
      <c r="J52" s="61" t="n"/>
      <c r="K52" s="69" t="n"/>
      <c r="L52" s="97" t="n"/>
      <c r="M52" s="61" t="n"/>
    </row>
    <row r="53" customFormat="1" s="94">
      <c r="A53" s="2" t="inlineStr">
        <is>
          <t>Dec 02 - Dec 08 2024</t>
        </is>
      </c>
      <c r="B53" s="389" t="n">
        <v>10374.78</v>
      </c>
      <c r="C53" s="398">
        <f>(B53*0.06)*1.13</f>
        <v/>
      </c>
      <c r="D53" s="398">
        <f>(B53*0.02)*1.13</f>
        <v/>
      </c>
      <c r="E53" s="539" t="n"/>
      <c r="F53" s="539" t="n"/>
      <c r="G53" s="61" t="n"/>
      <c r="H53" s="61" t="n"/>
      <c r="I53" s="61" t="n"/>
      <c r="J53" s="61" t="n"/>
      <c r="K53" s="69" t="n"/>
      <c r="L53" s="98" t="n"/>
      <c r="M53" s="61" t="n"/>
    </row>
    <row r="54" customFormat="1" s="61">
      <c r="A54" s="2" t="inlineStr">
        <is>
          <t>Dec 09 - Dec 15 2024</t>
        </is>
      </c>
      <c r="B54" s="389" t="n">
        <v>10277.44</v>
      </c>
      <c r="C54" s="398">
        <f>(B54*0.06)*1.13</f>
        <v/>
      </c>
      <c r="D54" s="398">
        <f>(B54*0.02)*1.13</f>
        <v/>
      </c>
      <c r="E54" s="398" t="inlineStr">
        <is>
          <t>Bill Count</t>
        </is>
      </c>
      <c r="F54" s="540" t="inlineStr">
        <is>
          <t>TB Total</t>
        </is>
      </c>
      <c r="G54" s="364" t="inlineStr">
        <is>
          <t>In Store</t>
        </is>
      </c>
      <c r="H54" s="364" t="inlineStr">
        <is>
          <t>Skip</t>
        </is>
      </c>
      <c r="I54" s="364" t="inlineStr">
        <is>
          <t>DD</t>
        </is>
      </c>
      <c r="J54" s="364" t="inlineStr">
        <is>
          <t>Uber TB</t>
        </is>
      </c>
      <c r="K54" s="364" t="inlineStr">
        <is>
          <t>Uber Website</t>
        </is>
      </c>
      <c r="L54" s="364" t="inlineStr">
        <is>
          <t>Marketing</t>
        </is>
      </c>
      <c r="M54" s="364" t="inlineStr">
        <is>
          <t>Uber Total</t>
        </is>
      </c>
      <c r="N54" s="364" t="inlineStr">
        <is>
          <t>Total</t>
        </is>
      </c>
    </row>
    <row r="55" customFormat="1" s="61">
      <c r="A55" s="2" t="inlineStr">
        <is>
          <t>Dec 16 - Dec 22 2024</t>
        </is>
      </c>
      <c r="B55" s="389" t="n">
        <v>12541.61</v>
      </c>
      <c r="C55" s="398">
        <f>(B55*0.06)*1.13</f>
        <v/>
      </c>
      <c r="D55" s="398">
        <f>(B55*0.02)*1.13</f>
        <v/>
      </c>
      <c r="E55" s="398" t="n"/>
      <c r="F55" s="398" t="n"/>
      <c r="G55" s="389" t="n">
        <v>7702.17</v>
      </c>
      <c r="H55" s="389" t="n">
        <v>229.04</v>
      </c>
      <c r="I55" s="389" t="n">
        <v>38.14</v>
      </c>
      <c r="J55" s="389" t="n">
        <v>6571.23</v>
      </c>
      <c r="K55" s="118" t="n">
        <v>7237</v>
      </c>
      <c r="L55" s="118">
        <f>SUM(2566.94,97.8)</f>
        <v/>
      </c>
      <c r="M55" s="118">
        <f>K55-L55</f>
        <v/>
      </c>
      <c r="N55" s="389">
        <f>SUM(G55,H55,I55,M55)</f>
        <v/>
      </c>
    </row>
    <row r="56" customFormat="1" s="61">
      <c r="A56" s="2" t="n"/>
      <c r="B56" s="389" t="n"/>
      <c r="C56" s="398" t="n"/>
      <c r="D56" s="398" t="n"/>
      <c r="E56" s="398" t="n"/>
      <c r="F56" s="398" t="n"/>
      <c r="G56" s="56" t="n"/>
      <c r="H56" s="56" t="n"/>
      <c r="I56" s="11" t="n"/>
      <c r="J56" s="56" t="n">
        <v>155</v>
      </c>
      <c r="K56" s="118" t="n">
        <v>172</v>
      </c>
      <c r="L56" s="118" t="n"/>
      <c r="M56" s="118" t="n"/>
      <c r="N56" s="389" t="n"/>
    </row>
    <row r="57" customFormat="1" s="61">
      <c r="A57" s="2" t="inlineStr">
        <is>
          <t>Dec 23 - Dec 29 2024</t>
        </is>
      </c>
      <c r="B57" s="389" t="n">
        <v>13228.19</v>
      </c>
      <c r="C57" s="398">
        <f>(B57*0.06)*1.13</f>
        <v/>
      </c>
      <c r="D57" s="398">
        <f>(B57*0.02)*1.13</f>
        <v/>
      </c>
      <c r="E57" s="398" t="n"/>
      <c r="F57" s="398" t="n"/>
      <c r="G57" s="389" t="n">
        <v>8691.450000000001</v>
      </c>
      <c r="H57" s="389" t="n">
        <v>32.39</v>
      </c>
      <c r="I57" s="389" t="n">
        <v>29.1</v>
      </c>
      <c r="J57" s="389" t="n">
        <v>7099.41</v>
      </c>
      <c r="K57" s="118" t="n">
        <v>7358</v>
      </c>
      <c r="L57" s="118">
        <f>SUM(2803.87,78.88)</f>
        <v/>
      </c>
      <c r="M57" s="118">
        <f>K57-L57</f>
        <v/>
      </c>
      <c r="N57" s="389">
        <f>SUM(G57,H57,I57,M57)</f>
        <v/>
      </c>
    </row>
    <row r="58" customFormat="1" s="61">
      <c r="A58" s="2" t="n"/>
      <c r="B58" s="389" t="n"/>
      <c r="C58" s="398" t="n"/>
      <c r="D58" s="398" t="n"/>
      <c r="E58" s="398" t="n"/>
      <c r="F58" s="398" t="n"/>
      <c r="G58" s="11" t="n"/>
      <c r="H58" s="56" t="n"/>
      <c r="I58" s="56" t="n"/>
      <c r="J58" s="56" t="n">
        <v>165</v>
      </c>
      <c r="K58" s="118" t="n">
        <v>172</v>
      </c>
      <c r="L58" s="118" t="n"/>
      <c r="M58" s="118" t="n"/>
      <c r="N58" s="389" t="n"/>
    </row>
    <row r="59" customFormat="1" s="61">
      <c r="A59" s="2" t="inlineStr">
        <is>
          <t>Dec 30 - Jan 05 2025</t>
        </is>
      </c>
      <c r="B59" s="389" t="n">
        <v>13802.12</v>
      </c>
      <c r="C59" s="398">
        <f>(B59*0.06)*1.13</f>
        <v/>
      </c>
      <c r="D59" s="398">
        <f>(B59*0.02)*1.13</f>
        <v/>
      </c>
      <c r="E59" s="398" t="n"/>
      <c r="F59" s="398" t="n"/>
      <c r="G59" s="373" t="n">
        <v>9725.690000000001</v>
      </c>
      <c r="H59" s="373" t="n">
        <v>151.96</v>
      </c>
      <c r="I59" s="373" t="n">
        <v>18</v>
      </c>
      <c r="J59" s="389" t="n">
        <v>6053.43</v>
      </c>
      <c r="K59" s="118" t="n">
        <v>6230</v>
      </c>
      <c r="L59" s="118">
        <f>SUM(2272.53,51)</f>
        <v/>
      </c>
      <c r="M59" s="118">
        <f>K59-L59</f>
        <v/>
      </c>
      <c r="N59" s="389">
        <f>SUM(G59,H59,I59,M59)</f>
        <v/>
      </c>
    </row>
    <row r="60" customFormat="1" s="61">
      <c r="A60" s="2" t="n"/>
      <c r="B60" s="389" t="n"/>
      <c r="C60" s="398" t="n"/>
      <c r="D60" s="398" t="n"/>
      <c r="E60" s="398" t="n"/>
      <c r="F60" s="398" t="n"/>
      <c r="G60" s="118" t="n"/>
      <c r="H60" s="118" t="n"/>
      <c r="I60" s="118" t="n"/>
      <c r="J60" s="56" t="n">
        <v>135</v>
      </c>
      <c r="K60" s="118" t="n">
        <v>139</v>
      </c>
      <c r="L60" s="118" t="n"/>
      <c r="M60" s="118" t="n"/>
      <c r="N60" s="389" t="n"/>
    </row>
    <row r="61">
      <c r="A61" s="2" t="inlineStr">
        <is>
          <t>Jan 06 - Jan 12 2025</t>
        </is>
      </c>
      <c r="B61" s="389" t="n">
        <v>10844.2</v>
      </c>
      <c r="C61" s="398">
        <f>(B61*0.06)*1.13</f>
        <v/>
      </c>
      <c r="D61" s="398">
        <f>(B61*0.02)*1.13</f>
        <v/>
      </c>
      <c r="E61" s="398" t="n"/>
      <c r="F61" s="398" t="n"/>
      <c r="G61" s="373" t="n">
        <v>6303.1</v>
      </c>
      <c r="H61" s="373" t="n">
        <v>98.09</v>
      </c>
      <c r="I61" s="373" t="n">
        <v>54</v>
      </c>
      <c r="J61" s="389" t="n">
        <v>6494.2</v>
      </c>
      <c r="K61" s="118" t="n">
        <v>6548</v>
      </c>
      <c r="L61" s="383">
        <f>(2145.19+13.8)</f>
        <v/>
      </c>
      <c r="M61" s="389">
        <f>K61-L61</f>
        <v/>
      </c>
      <c r="N61" s="389">
        <f>SUM(G61,H61,I61,M61)</f>
        <v/>
      </c>
    </row>
    <row r="62">
      <c r="A62" s="2" t="n"/>
      <c r="B62" s="389" t="n"/>
      <c r="C62" s="398" t="n"/>
      <c r="D62" s="398" t="n"/>
      <c r="E62" s="398" t="n"/>
      <c r="F62" s="398" t="n"/>
      <c r="G62" s="118" t="n"/>
      <c r="H62" s="118" t="n"/>
      <c r="I62" s="118" t="n"/>
      <c r="J62" s="56" t="n">
        <v>148</v>
      </c>
      <c r="K62" s="118" t="n">
        <v>149</v>
      </c>
      <c r="L62" s="171" t="n"/>
      <c r="M62" s="118" t="n"/>
      <c r="N62" s="389" t="n"/>
    </row>
    <row r="63">
      <c r="A63" s="2" t="inlineStr">
        <is>
          <t>Jan 13 - Jan 19 2025</t>
        </is>
      </c>
      <c r="B63" s="389" t="n">
        <v>9015.41</v>
      </c>
      <c r="C63" s="398">
        <f>(B63*0.06)*1.13</f>
        <v/>
      </c>
      <c r="D63" s="398">
        <f>(B63*0.02)*1.13</f>
        <v/>
      </c>
      <c r="E63" s="398" t="n"/>
      <c r="F63" s="398" t="n"/>
      <c r="G63" s="373" t="n">
        <v>5532.54</v>
      </c>
      <c r="H63" s="373" t="n">
        <v>94.8</v>
      </c>
      <c r="I63" s="373" t="n">
        <v>121.37</v>
      </c>
      <c r="J63" s="373" t="n">
        <v>5019.12</v>
      </c>
      <c r="K63" s="118" t="n">
        <v>5091</v>
      </c>
      <c r="L63" s="390" t="n">
        <v>1824.3</v>
      </c>
      <c r="M63" s="389">
        <f>K63-L63</f>
        <v/>
      </c>
      <c r="N63" s="389">
        <f>SUM(G63,H63,I63,M63)</f>
        <v/>
      </c>
    </row>
    <row r="64">
      <c r="A64" s="2" t="n"/>
      <c r="B64" s="389" t="n"/>
      <c r="C64" s="398" t="n"/>
      <c r="D64" s="398" t="n"/>
      <c r="E64" s="398" t="n"/>
      <c r="F64" s="398" t="n"/>
      <c r="G64" s="118" t="n"/>
      <c r="H64" s="118" t="n"/>
      <c r="I64" s="118" t="n"/>
      <c r="J64" s="56" t="n">
        <v>113</v>
      </c>
      <c r="K64" s="389" t="n"/>
      <c r="L64" s="118" t="n"/>
      <c r="M64" s="389" t="n"/>
      <c r="N64" s="389" t="n"/>
    </row>
    <row r="65" customFormat="1" s="94">
      <c r="A65" s="2" t="inlineStr">
        <is>
          <t>Jan 20 - Jan 26 2025</t>
        </is>
      </c>
      <c r="B65" s="389" t="n">
        <v>12517.81</v>
      </c>
      <c r="C65" s="398">
        <f>(B65*0.06)*1.13</f>
        <v/>
      </c>
      <c r="D65" s="398">
        <f>(B65*0.02)*1.13</f>
        <v/>
      </c>
      <c r="E65" s="398" t="n"/>
      <c r="F65" s="398" t="n"/>
      <c r="G65" s="373" t="n">
        <v>7684.17</v>
      </c>
      <c r="H65" s="373" t="n">
        <v>104.8</v>
      </c>
      <c r="I65" s="118" t="n"/>
      <c r="J65" s="373" t="n">
        <v>6709.14</v>
      </c>
      <c r="K65" s="390" t="n">
        <v>6803.34</v>
      </c>
      <c r="L65" s="383" t="n">
        <v>2074.5</v>
      </c>
      <c r="M65" s="389">
        <f>K65-L65</f>
        <v/>
      </c>
      <c r="N65" s="389">
        <f>SUM(G65,H65,I65,M65)</f>
        <v/>
      </c>
    </row>
    <row r="66" customFormat="1" s="94">
      <c r="A66" s="2" t="n"/>
      <c r="B66" s="389" t="n"/>
      <c r="C66" s="398" t="n"/>
      <c r="D66" s="398" t="n"/>
      <c r="E66" s="398" t="n"/>
      <c r="F66" s="398" t="n"/>
      <c r="G66" s="118" t="n"/>
      <c r="H66" s="118" t="n"/>
      <c r="I66" s="118" t="n"/>
      <c r="J66" s="118" t="n"/>
      <c r="K66" s="118" t="n"/>
      <c r="L66" s="118" t="n"/>
      <c r="M66" s="389" t="n"/>
      <c r="N66" s="389" t="n"/>
    </row>
    <row r="67" customFormat="1" s="94">
      <c r="A67" s="2" t="inlineStr">
        <is>
          <t>Jan 27 - Feb 02 2025</t>
        </is>
      </c>
      <c r="B67" s="389" t="n">
        <v>10197.33</v>
      </c>
      <c r="C67" s="398">
        <f>(B67*0.06)*1.13</f>
        <v/>
      </c>
      <c r="D67" s="398">
        <f>(B67*0.02)*1.13</f>
        <v/>
      </c>
      <c r="E67" s="398" t="n"/>
      <c r="F67" s="398" t="n"/>
      <c r="G67" s="389" t="n">
        <v>7203.42</v>
      </c>
      <c r="H67" s="389" t="n">
        <v>310.57</v>
      </c>
      <c r="I67" s="389" t="n">
        <v>100.67</v>
      </c>
      <c r="J67" s="373" t="n">
        <v>2312.3</v>
      </c>
      <c r="K67" s="148" t="n">
        <v>2621.37</v>
      </c>
      <c r="L67" s="148" t="n">
        <v>38.7</v>
      </c>
      <c r="M67" s="389">
        <f>K67-L67</f>
        <v/>
      </c>
      <c r="N67" s="389">
        <f>SUM(G67,H67,I67,M67)</f>
        <v/>
      </c>
    </row>
    <row r="68" customFormat="1" s="94">
      <c r="A68" s="2" t="n"/>
      <c r="B68" s="389" t="n"/>
      <c r="C68" s="398" t="n"/>
      <c r="D68" s="398" t="n"/>
      <c r="E68" s="398" t="n"/>
      <c r="F68" s="398" t="n"/>
      <c r="G68" s="11" t="n"/>
      <c r="H68" s="56" t="n"/>
      <c r="I68" s="56" t="n"/>
      <c r="J68" s="118" t="n"/>
      <c r="K68" s="118" t="n"/>
      <c r="L68" s="118" t="n"/>
      <c r="M68" s="389" t="n"/>
      <c r="N68" s="389" t="n"/>
    </row>
    <row r="69" customFormat="1" s="94">
      <c r="A69" s="2" t="inlineStr">
        <is>
          <t>Feb 03 - Feb 09 2025</t>
        </is>
      </c>
      <c r="B69" s="389" t="n">
        <v>10844.59</v>
      </c>
      <c r="C69" s="398">
        <f>(B69*0.06)*1.13</f>
        <v/>
      </c>
      <c r="D69" s="398">
        <f>(B69*0.02)*1.13</f>
        <v/>
      </c>
      <c r="E69" s="398" t="n"/>
      <c r="F69" s="398" t="n"/>
      <c r="G69" s="389" t="n">
        <v>7217.26</v>
      </c>
      <c r="H69" s="389" t="n">
        <v>33.6</v>
      </c>
      <c r="I69" s="389" t="n">
        <v>135.6</v>
      </c>
      <c r="J69" s="389" t="n">
        <v>3083.24</v>
      </c>
      <c r="K69" s="541" t="n">
        <v>3458.13</v>
      </c>
      <c r="L69" s="118" t="n">
        <v>0</v>
      </c>
      <c r="M69" s="389">
        <f>K69-L69</f>
        <v/>
      </c>
      <c r="N69" s="389">
        <f>SUM(G69,H69,I69,M69)</f>
        <v/>
      </c>
    </row>
    <row r="70" customFormat="1" s="94">
      <c r="A70" s="2" t="n"/>
      <c r="B70" s="389" t="n"/>
      <c r="C70" s="398" t="n"/>
      <c r="D70" s="398" t="n"/>
      <c r="E70" s="398" t="n"/>
      <c r="F70" s="398" t="n"/>
      <c r="G70" s="56" t="n"/>
      <c r="H70" s="11" t="n"/>
      <c r="I70" s="56" t="n"/>
      <c r="J70" s="56" t="n"/>
      <c r="K70" s="118" t="n"/>
      <c r="L70" s="118" t="n"/>
      <c r="M70" s="389" t="n"/>
      <c r="N70" s="389" t="n"/>
    </row>
    <row r="71" customFormat="1" s="94">
      <c r="A71" s="2" t="inlineStr">
        <is>
          <t>Feb 10 - Feb 16 2025</t>
        </is>
      </c>
      <c r="B71" s="389" t="n">
        <v>10302.97</v>
      </c>
      <c r="C71" s="398">
        <f>(B71*0.06)*1.13</f>
        <v/>
      </c>
      <c r="D71" s="398">
        <f>(B71*0.02)*1.13</f>
        <v/>
      </c>
      <c r="E71" s="398" t="n"/>
      <c r="F71" s="398" t="n"/>
      <c r="G71" s="389" t="n">
        <v>7636.66</v>
      </c>
      <c r="H71" s="389" t="n">
        <v>78.8</v>
      </c>
      <c r="I71" s="389" t="n">
        <v>189.63</v>
      </c>
      <c r="J71" s="389" t="n">
        <v>2166.71</v>
      </c>
      <c r="K71" s="541" t="n">
        <v>2397.88</v>
      </c>
      <c r="L71" s="118" t="n">
        <v>0</v>
      </c>
      <c r="M71" s="389">
        <f>K71-L71</f>
        <v/>
      </c>
      <c r="N71" s="389">
        <f>SUM(G71,H71,I71,M71)</f>
        <v/>
      </c>
    </row>
    <row r="72" customFormat="1" s="94">
      <c r="A72" s="2" t="n"/>
      <c r="B72" s="389" t="n"/>
      <c r="C72" s="398" t="n"/>
      <c r="D72" s="398" t="n"/>
      <c r="E72" s="398" t="n"/>
      <c r="F72" s="398" t="n"/>
      <c r="G72" s="56" t="n"/>
      <c r="H72" s="11" t="n"/>
      <c r="I72" s="56" t="n"/>
      <c r="J72" s="56" t="n"/>
      <c r="K72" s="118" t="n"/>
      <c r="L72" s="118" t="n"/>
      <c r="M72" s="389" t="n"/>
      <c r="N72" s="389" t="n"/>
    </row>
    <row r="73" customFormat="1" s="94">
      <c r="A73" s="2" t="inlineStr">
        <is>
          <t>Feb 17 - Feb 23 2025</t>
        </is>
      </c>
      <c r="B73" s="389" t="n">
        <v>9839.6</v>
      </c>
      <c r="C73" s="398">
        <f>(B73*0.06)*1.13</f>
        <v/>
      </c>
      <c r="D73" s="398">
        <f>(B73*0.02)*1.13</f>
        <v/>
      </c>
      <c r="E73" s="398" t="n"/>
      <c r="F73" s="398" t="n"/>
      <c r="G73" s="389" t="n">
        <v>7549.74</v>
      </c>
      <c r="H73" s="389" t="n">
        <v>207.31</v>
      </c>
      <c r="I73" s="389" t="n">
        <v>76.8</v>
      </c>
      <c r="J73" s="389" t="n">
        <v>2365.55</v>
      </c>
      <c r="K73" s="542" t="n">
        <v>2484.95</v>
      </c>
      <c r="L73" s="542" t="n">
        <v>479.2</v>
      </c>
      <c r="M73" s="389">
        <f>K73-L73</f>
        <v/>
      </c>
      <c r="N73" s="389">
        <f>SUM(G73,H73,I73,M73)</f>
        <v/>
      </c>
    </row>
    <row r="74" customFormat="1" s="94">
      <c r="A74" s="2" t="n"/>
      <c r="B74" s="389" t="n"/>
      <c r="C74" s="398" t="n"/>
      <c r="D74" s="398" t="n"/>
      <c r="E74" s="398" t="n"/>
      <c r="F74" s="398" t="n"/>
      <c r="G74" s="56" t="n"/>
      <c r="H74" s="11" t="n"/>
      <c r="I74" s="56" t="n"/>
      <c r="J74" s="56" t="n"/>
      <c r="K74" s="11" t="n"/>
      <c r="L74" s="56" t="n"/>
      <c r="M74" s="389" t="n"/>
      <c r="N74" s="389" t="n"/>
    </row>
    <row r="75" customFormat="1" s="94">
      <c r="A75" s="2" t="inlineStr">
        <is>
          <t>Feb 24 - Mar 02 2025</t>
        </is>
      </c>
      <c r="B75" s="389" t="n">
        <v>8737.690000000001</v>
      </c>
      <c r="C75" s="398">
        <f>(B75*0.06)*1.13</f>
        <v/>
      </c>
      <c r="D75" s="398">
        <f>(B75*0.02)*1.13</f>
        <v/>
      </c>
      <c r="E75" s="398" t="n"/>
      <c r="F75" s="398" t="n"/>
      <c r="G75" s="389" t="n">
        <v>6043.18</v>
      </c>
      <c r="H75" s="389" t="n">
        <v>244.19</v>
      </c>
      <c r="I75" s="389" t="n">
        <v>26.39</v>
      </c>
      <c r="J75" s="389" t="n">
        <v>2282.52</v>
      </c>
      <c r="K75" s="383" t="n">
        <v>2423.93</v>
      </c>
      <c r="L75" s="118" t="n">
        <v>0</v>
      </c>
      <c r="M75" s="389">
        <f>K75-L75</f>
        <v/>
      </c>
      <c r="N75" s="389">
        <f>SUM(G75,H75,I75,M75)</f>
        <v/>
      </c>
    </row>
    <row r="76" customFormat="1" s="94">
      <c r="A76" s="2" t="n"/>
      <c r="B76" s="389" t="n"/>
      <c r="C76" s="398">
        <f>(B76*0.06)*1.13</f>
        <v/>
      </c>
      <c r="D76" s="398">
        <f>(B76*0.02)*1.13</f>
        <v/>
      </c>
      <c r="E76" s="398" t="n"/>
      <c r="F76" s="398" t="n"/>
      <c r="G76" s="115" t="n"/>
      <c r="H76" s="181" t="n"/>
      <c r="I76" s="115" t="n"/>
      <c r="J76" s="115" t="n"/>
      <c r="K76" s="118" t="n"/>
      <c r="L76" s="118" t="n"/>
      <c r="M76" s="389" t="n"/>
      <c r="N76" s="389" t="n"/>
    </row>
    <row r="77" customFormat="1" s="94">
      <c r="A77" s="2" t="inlineStr">
        <is>
          <t>Mar 03 - Mar 09 2025</t>
        </is>
      </c>
      <c r="B77" s="389" t="n">
        <v>7902.349999999999</v>
      </c>
      <c r="C77" s="398">
        <f>(B77*0.06)*1.13</f>
        <v/>
      </c>
      <c r="D77" s="398">
        <f>(B77*0.02)*1.13</f>
        <v/>
      </c>
      <c r="E77" s="398" t="n"/>
      <c r="F77" s="398" t="n"/>
      <c r="G77" s="537" t="n">
        <v>5145.19</v>
      </c>
      <c r="H77" s="537" t="n">
        <v>235.99</v>
      </c>
      <c r="I77" s="118" t="n">
        <v>0</v>
      </c>
      <c r="J77" s="537" t="n">
        <v>2409.61</v>
      </c>
      <c r="K77" s="543" t="n">
        <v>2521.17</v>
      </c>
      <c r="L77" s="118" t="n">
        <v>0</v>
      </c>
      <c r="M77" s="389">
        <f>K77-L77</f>
        <v/>
      </c>
      <c r="N77" s="389">
        <f>SUM(G77,H77,I77,M77)</f>
        <v/>
      </c>
    </row>
    <row r="78" customFormat="1" s="94">
      <c r="A78" s="2" t="n"/>
      <c r="B78" s="389" t="n"/>
      <c r="C78" s="398" t="n"/>
      <c r="D78" s="398" t="n"/>
      <c r="E78" s="398" t="n"/>
      <c r="F78" s="398" t="n"/>
      <c r="G78" s="115" t="n"/>
      <c r="H78" s="181" t="n"/>
      <c r="I78" s="118" t="n"/>
      <c r="J78" s="115" t="n"/>
      <c r="K78" s="118" t="n"/>
      <c r="L78" s="118" t="n"/>
      <c r="M78" s="389" t="n"/>
      <c r="N78" s="389" t="n"/>
    </row>
    <row r="79" customFormat="1" s="94">
      <c r="A79" s="2" t="inlineStr">
        <is>
          <t>Mar 10 - Mar 16 2025</t>
        </is>
      </c>
      <c r="B79" s="389" t="n">
        <v>7985.93</v>
      </c>
      <c r="C79" s="398">
        <f>(B79*0.06)*1.13</f>
        <v/>
      </c>
      <c r="D79" s="398">
        <f>(B79*0.02)*1.13</f>
        <v/>
      </c>
      <c r="E79" s="398" t="n"/>
      <c r="F79" s="398" t="n"/>
      <c r="G79" s="389" t="n">
        <v>5239.66</v>
      </c>
      <c r="H79" s="389" t="n">
        <v>110.87</v>
      </c>
      <c r="I79" s="389" t="n">
        <v>46.58</v>
      </c>
      <c r="J79" s="389" t="n">
        <v>2542.02</v>
      </c>
      <c r="K79" s="383" t="n">
        <v>2588.82</v>
      </c>
      <c r="L79" s="118" t="n">
        <v>0</v>
      </c>
      <c r="M79" s="389">
        <f>K79-L79</f>
        <v/>
      </c>
      <c r="N79" s="389">
        <f>SUM(G79,H79,I79,M79)</f>
        <v/>
      </c>
      <c r="O79" s="114" t="n"/>
    </row>
    <row r="80" customFormat="1" s="94">
      <c r="A80" s="2" t="n"/>
      <c r="B80" s="389" t="n"/>
      <c r="C80" s="398" t="n"/>
      <c r="D80" s="398" t="n"/>
      <c r="E80" s="398" t="n"/>
      <c r="F80" s="398" t="n"/>
      <c r="G80" s="56" t="n"/>
      <c r="H80" s="56" t="n"/>
      <c r="I80" s="56" t="n"/>
      <c r="J80" s="11" t="n"/>
      <c r="K80" s="118" t="n"/>
      <c r="L80" s="118" t="n"/>
      <c r="M80" s="389" t="n"/>
      <c r="N80" s="389" t="n"/>
      <c r="O80" s="114" t="n"/>
    </row>
    <row r="81" customFormat="1" s="94">
      <c r="A81" s="2" t="inlineStr">
        <is>
          <t>Mar 17 - Mar 23 2025</t>
        </is>
      </c>
      <c r="B81" s="389" t="n">
        <v>10543.86</v>
      </c>
      <c r="C81" s="398">
        <f>(B81*0.06)*1.13</f>
        <v/>
      </c>
      <c r="D81" s="398">
        <f>(B81*0.02)*1.13</f>
        <v/>
      </c>
      <c r="E81" s="398" t="n"/>
      <c r="F81" s="398" t="n"/>
      <c r="G81" s="389" t="n">
        <v>7606.4</v>
      </c>
      <c r="H81" s="389" t="n">
        <v>259.41</v>
      </c>
      <c r="I81" s="389" t="n">
        <v>128.17</v>
      </c>
      <c r="J81" s="389" t="n">
        <v>2491.39</v>
      </c>
      <c r="K81" s="390" t="n">
        <v>2549.88</v>
      </c>
      <c r="L81" s="118" t="n">
        <v>0</v>
      </c>
      <c r="M81" s="389">
        <f>K81-L81</f>
        <v/>
      </c>
      <c r="N81" s="389">
        <f>SUM(G81,H81,I81,M81)</f>
        <v/>
      </c>
      <c r="O81" s="114" t="n"/>
    </row>
    <row r="82" customFormat="1" s="94">
      <c r="A82" s="2" t="n"/>
      <c r="B82" s="389" t="n"/>
      <c r="C82" s="398" t="n"/>
      <c r="D82" s="398" t="n"/>
      <c r="E82" s="398" t="n"/>
      <c r="F82" s="398" t="n"/>
      <c r="G82" s="118" t="n"/>
      <c r="H82" s="118" t="n"/>
      <c r="I82" s="118" t="n"/>
      <c r="J82" s="11" t="n"/>
      <c r="K82" s="118" t="n"/>
      <c r="L82" s="118" t="n"/>
      <c r="M82" s="389" t="n"/>
      <c r="N82" s="389" t="n"/>
      <c r="O82" s="114" t="n"/>
    </row>
    <row r="83" customFormat="1" s="94">
      <c r="A83" s="382" t="inlineStr">
        <is>
          <t>Mar 24 - Mar 30 2025</t>
        </is>
      </c>
      <c r="B83" s="389" t="n">
        <v>12962.6</v>
      </c>
      <c r="C83" s="398">
        <f>(B83*0.06)*1.13</f>
        <v/>
      </c>
      <c r="D83" s="398">
        <f>(B83*0.02)*1.13</f>
        <v/>
      </c>
      <c r="E83" s="398" t="n"/>
      <c r="F83" s="398" t="n"/>
      <c r="G83" s="389" t="n">
        <v>9038.83</v>
      </c>
      <c r="H83" s="389" t="n">
        <v>286.27</v>
      </c>
      <c r="I83" s="389" t="n">
        <v>68.40000000000001</v>
      </c>
      <c r="J83" s="389" t="n">
        <v>3590.88</v>
      </c>
      <c r="K83" s="390" t="n">
        <v>3569.1</v>
      </c>
      <c r="L83" s="118" t="n">
        <v>0</v>
      </c>
      <c r="M83" s="389">
        <f>K83-L83</f>
        <v/>
      </c>
      <c r="N83" s="389">
        <f>SUM(G83,H83,I83,M83)</f>
        <v/>
      </c>
      <c r="O83" s="114" t="n"/>
    </row>
    <row r="84" customFormat="1" s="94">
      <c r="A84" s="382" t="n"/>
      <c r="B84" s="389" t="n"/>
      <c r="C84" s="398" t="n"/>
      <c r="D84" s="398" t="n"/>
      <c r="E84" s="398" t="n"/>
      <c r="F84" s="398" t="n"/>
      <c r="G84" s="389" t="n"/>
      <c r="H84" s="389" t="n"/>
      <c r="I84" s="389" t="n"/>
      <c r="J84" s="389" t="n"/>
      <c r="K84" s="390" t="n"/>
      <c r="L84" s="118" t="n"/>
      <c r="M84" s="389" t="n"/>
      <c r="N84" s="389" t="n"/>
      <c r="O84" s="114" t="n"/>
    </row>
    <row r="85" customFormat="1" s="94">
      <c r="A85" s="382" t="inlineStr">
        <is>
          <t>Mar 31 - Apr 6 2025</t>
        </is>
      </c>
      <c r="B85" s="389" t="n">
        <v>10719.71</v>
      </c>
      <c r="C85" s="398">
        <f>(B85*0.06)*1.13</f>
        <v/>
      </c>
      <c r="D85" s="398">
        <f>(B85*0.02)*1.13</f>
        <v/>
      </c>
      <c r="E85" s="398" t="n"/>
      <c r="F85" s="398" t="n"/>
      <c r="G85" s="389" t="n">
        <v>7764.31</v>
      </c>
      <c r="H85" s="389" t="n">
        <v>78.3</v>
      </c>
      <c r="I85" s="389" t="n">
        <v>103.66</v>
      </c>
      <c r="J85" s="389" t="n">
        <v>2623.92</v>
      </c>
      <c r="K85" s="390" t="n">
        <v>2773.44</v>
      </c>
      <c r="L85" s="118" t="n">
        <v>0</v>
      </c>
      <c r="M85" s="389">
        <f>K85-L85</f>
        <v/>
      </c>
      <c r="N85" s="389">
        <f>SUM(G85,H85,I85,M85)</f>
        <v/>
      </c>
      <c r="O85" s="114" t="n"/>
    </row>
    <row r="86" customFormat="1" s="94">
      <c r="A86" s="382" t="n"/>
      <c r="B86" s="389" t="n"/>
      <c r="C86" s="398" t="n"/>
      <c r="D86" s="398" t="n"/>
      <c r="E86" s="398" t="n"/>
      <c r="F86" s="398" t="n"/>
      <c r="G86" s="118" t="n"/>
      <c r="H86" s="118" t="n"/>
      <c r="I86" s="118" t="n"/>
      <c r="J86" s="118" t="n"/>
      <c r="K86" s="118" t="n"/>
      <c r="L86" s="118" t="n"/>
      <c r="M86" s="389" t="n"/>
      <c r="N86" s="389" t="n"/>
      <c r="O86" s="114" t="n"/>
    </row>
    <row r="87" customFormat="1" s="94">
      <c r="A87" s="382" t="inlineStr">
        <is>
          <t>Apr 7 - Apr 13 2025</t>
        </is>
      </c>
      <c r="B87" s="389" t="n">
        <v>9281.84</v>
      </c>
      <c r="C87" s="398">
        <f>(B87*0.06)*1.13</f>
        <v/>
      </c>
      <c r="D87" s="398">
        <f>(B87*0.02)*1.13</f>
        <v/>
      </c>
      <c r="E87" s="398" t="n"/>
      <c r="F87" s="398" t="n"/>
      <c r="G87" s="389" t="n">
        <v>6736.8</v>
      </c>
      <c r="H87" s="389" t="n">
        <v>108.3</v>
      </c>
      <c r="I87" s="389" t="n">
        <v>136.29</v>
      </c>
      <c r="J87" s="389" t="n">
        <v>2252.98</v>
      </c>
      <c r="K87" s="390" t="n">
        <v>2300.45</v>
      </c>
      <c r="L87" s="118" t="n">
        <v>0</v>
      </c>
      <c r="M87" s="389">
        <f>K87-L87</f>
        <v/>
      </c>
      <c r="N87" s="389">
        <f>SUM(G87,H87,I87,M87)</f>
        <v/>
      </c>
      <c r="O87" s="114" t="n"/>
    </row>
    <row r="88" customFormat="1" s="94">
      <c r="A88" s="382" t="inlineStr">
        <is>
          <t>Apr 14 - Apr 20 2025</t>
        </is>
      </c>
      <c r="B88" s="389" t="n">
        <v>10311.72</v>
      </c>
      <c r="C88" s="398">
        <f>(B88*0.06)*1.13</f>
        <v/>
      </c>
      <c r="D88" s="398">
        <f>(B88*0.02)*1.13</f>
        <v/>
      </c>
      <c r="E88" s="398" t="n"/>
      <c r="F88" s="398" t="n"/>
      <c r="G88" s="389" t="n">
        <v>7841.25</v>
      </c>
      <c r="H88" s="389" t="n">
        <v>101.2</v>
      </c>
      <c r="I88" s="389" t="n">
        <v>146.7</v>
      </c>
      <c r="J88" s="389" t="n">
        <v>2103.19</v>
      </c>
      <c r="K88" s="390" t="n">
        <v>2336.79</v>
      </c>
      <c r="L88" s="383" t="n">
        <v>114.22</v>
      </c>
      <c r="M88" s="389">
        <f>K88-L88</f>
        <v/>
      </c>
      <c r="N88" s="389">
        <f>SUM(G88,H88,I88,M88)</f>
        <v/>
      </c>
      <c r="O88" s="114" t="n"/>
    </row>
    <row r="89" customFormat="1" s="94">
      <c r="A89" s="382" t="inlineStr">
        <is>
          <t>Apr 21 - Apr 27 2025</t>
        </is>
      </c>
      <c r="B89" s="389" t="n">
        <v>9208</v>
      </c>
      <c r="C89" s="398">
        <f>(B89*0.06)*1.13</f>
        <v/>
      </c>
      <c r="D89" s="398">
        <f>(B89*0.02)*1.13</f>
        <v/>
      </c>
      <c r="E89" s="398" t="n"/>
      <c r="F89" s="398" t="n"/>
      <c r="G89" s="389" t="n">
        <v>6993.59</v>
      </c>
      <c r="H89" s="389" t="n">
        <v>300.65</v>
      </c>
      <c r="I89" s="389" t="n">
        <v>58.17</v>
      </c>
      <c r="J89" s="389" t="n">
        <v>2034.67</v>
      </c>
      <c r="K89" s="390" t="n">
        <v>1992.27</v>
      </c>
      <c r="L89" s="148" t="n">
        <v>136.68</v>
      </c>
      <c r="M89" s="389">
        <f>K89-L89</f>
        <v/>
      </c>
      <c r="N89" s="389">
        <f>SUM(G89,H89,I89,M89)</f>
        <v/>
      </c>
      <c r="O89" s="114" t="n"/>
    </row>
    <row r="90" customFormat="1" s="94">
      <c r="A90" s="382" t="inlineStr">
        <is>
          <t>Apr 28 - May 04 2025</t>
        </is>
      </c>
      <c r="B90" s="389" t="n">
        <v>9146.91</v>
      </c>
      <c r="C90" s="398">
        <f>(B90*0.06)*1.13</f>
        <v/>
      </c>
      <c r="D90" s="398">
        <f>(B90*0.02)*1.13</f>
        <v/>
      </c>
      <c r="E90" s="398" t="n"/>
      <c r="F90" s="398" t="n"/>
      <c r="G90" s="389" t="n">
        <v>6974.01</v>
      </c>
      <c r="H90" s="389" t="n">
        <v>200.86</v>
      </c>
      <c r="I90" s="389" t="n">
        <v>135.69</v>
      </c>
      <c r="J90" s="389" t="n">
        <v>1855.67</v>
      </c>
      <c r="K90" s="390" t="n">
        <v>1871.67</v>
      </c>
      <c r="L90" s="383" t="n">
        <v>35.32</v>
      </c>
      <c r="M90" s="389">
        <f>K90-L90</f>
        <v/>
      </c>
      <c r="N90" s="389">
        <f>SUM(G90,H90,I90,M90)</f>
        <v/>
      </c>
      <c r="O90" s="114" t="n"/>
    </row>
    <row r="91" customFormat="1" s="94">
      <c r="A91" s="382" t="inlineStr">
        <is>
          <t>May 05 - May 11 2025</t>
        </is>
      </c>
      <c r="B91" s="389" t="n">
        <v>9126.32</v>
      </c>
      <c r="C91" s="398">
        <f>(B91*0.06)*1.13</f>
        <v/>
      </c>
      <c r="D91" s="398">
        <f>(B91*0.02)*1.13</f>
        <v/>
      </c>
      <c r="E91" s="398" t="n"/>
      <c r="F91" s="391" t="n">
        <v>9132.709999999999</v>
      </c>
      <c r="G91" s="389" t="n">
        <v>7153.39</v>
      </c>
      <c r="H91" s="389" t="n">
        <v>144.26</v>
      </c>
      <c r="I91" s="389" t="n">
        <v>26.4</v>
      </c>
      <c r="J91" s="389" t="n">
        <v>1808.66</v>
      </c>
      <c r="K91" s="390" t="n">
        <v>1802.27</v>
      </c>
      <c r="L91" s="118" t="n">
        <v>0</v>
      </c>
      <c r="M91" s="389">
        <f>K91-L91</f>
        <v/>
      </c>
      <c r="N91" s="389">
        <f>SUM(G91,H91,I91,M91)</f>
        <v/>
      </c>
      <c r="O91" s="114" t="n"/>
    </row>
    <row r="92" customFormat="1" s="94">
      <c r="A92" s="382" t="inlineStr">
        <is>
          <t>May 12 - May 18 2025</t>
        </is>
      </c>
      <c r="B92" s="389" t="n">
        <v>8593.309999999999</v>
      </c>
      <c r="C92" s="398">
        <f>(B92*0.06)*1.13</f>
        <v/>
      </c>
      <c r="D92" s="398">
        <f>(B92*0.02)*1.13</f>
        <v/>
      </c>
      <c r="E92" s="398" t="n"/>
      <c r="F92" s="391" t="n">
        <v>8603.709999999999</v>
      </c>
      <c r="G92" s="389" t="n">
        <v>6540.78</v>
      </c>
      <c r="H92" s="389" t="n">
        <v>156.38</v>
      </c>
      <c r="I92" s="389" t="n">
        <v>67.2</v>
      </c>
      <c r="J92" s="389" t="n">
        <v>1839.35</v>
      </c>
      <c r="K92" s="390" t="n">
        <v>1828.95</v>
      </c>
      <c r="L92" s="118" t="n">
        <v>0</v>
      </c>
      <c r="M92" s="389">
        <f>K92-L92</f>
        <v/>
      </c>
      <c r="N92" s="389">
        <f>SUM(G92,H92,I92,M92)</f>
        <v/>
      </c>
      <c r="O92" s="114" t="n"/>
    </row>
    <row r="93" customFormat="1" s="94">
      <c r="A93" s="382" t="inlineStr">
        <is>
          <t>May 19 - May 25 2025</t>
        </is>
      </c>
      <c r="B93" s="389" t="n">
        <v>10236.01</v>
      </c>
      <c r="C93" s="398">
        <f>(B93*0.06)*1.13</f>
        <v/>
      </c>
      <c r="D93" s="398">
        <f>(B93*0.02)*1.13</f>
        <v/>
      </c>
      <c r="E93" s="398" t="n"/>
      <c r="F93" s="391" t="n">
        <v>10220.41</v>
      </c>
      <c r="G93" s="389" t="n">
        <v>8098.96</v>
      </c>
      <c r="H93" s="389" t="n">
        <v>128.97</v>
      </c>
      <c r="I93" s="389" t="n">
        <v>62.4</v>
      </c>
      <c r="J93" s="389" t="n">
        <v>1930.08</v>
      </c>
      <c r="K93" s="390" t="n">
        <v>1945.68</v>
      </c>
      <c r="L93" s="118" t="n">
        <v>0</v>
      </c>
      <c r="M93" s="389">
        <f>K93-L93</f>
        <v/>
      </c>
      <c r="N93" s="389">
        <f>SUM(G93,H93,I93,M93)</f>
        <v/>
      </c>
      <c r="O93" s="114" t="n"/>
    </row>
    <row r="94" customFormat="1" s="94">
      <c r="A94" s="382" t="inlineStr">
        <is>
          <t>May 26 - June 01 2025</t>
        </is>
      </c>
      <c r="B94" s="389" t="n">
        <v>9515.030000000001</v>
      </c>
      <c r="C94" s="398">
        <f>(B94*0.06)*1.13</f>
        <v/>
      </c>
      <c r="D94" s="398">
        <f>(B94*0.02)*1.13</f>
        <v/>
      </c>
      <c r="E94" s="398" t="n"/>
      <c r="F94" s="391" t="n">
        <v>9491.82</v>
      </c>
      <c r="G94" s="389" t="n">
        <v>7625.22</v>
      </c>
      <c r="H94" s="389" t="n">
        <v>116.17</v>
      </c>
      <c r="I94" s="389" t="n">
        <v>68.27</v>
      </c>
      <c r="J94" s="389" t="n">
        <v>1682.16</v>
      </c>
      <c r="K94" s="383" t="n">
        <v>1705.37</v>
      </c>
      <c r="L94" s="118" t="n">
        <v>0</v>
      </c>
      <c r="M94" s="389">
        <f>K94-L94</f>
        <v/>
      </c>
      <c r="N94" s="389">
        <f>SUM(G94,H94,I94,M94)</f>
        <v/>
      </c>
      <c r="O94" s="114" t="n"/>
    </row>
    <row r="95" customFormat="1" s="94">
      <c r="A95" s="382" t="inlineStr">
        <is>
          <t>June 02 - June 08 2025</t>
        </is>
      </c>
      <c r="B95" s="389" t="n">
        <v>8933.1</v>
      </c>
      <c r="C95" s="398">
        <f>(B95*0.06)*1.13</f>
        <v/>
      </c>
      <c r="D95" s="398">
        <f>(B95*0.02)*1.13</f>
        <v/>
      </c>
      <c r="E95" s="398" t="n"/>
      <c r="F95" s="391" t="n">
        <v>8933.1</v>
      </c>
      <c r="G95" s="389" t="n">
        <v>7339.26</v>
      </c>
      <c r="H95" s="389" t="n">
        <v>0</v>
      </c>
      <c r="I95" s="389" t="n">
        <v>77.39</v>
      </c>
      <c r="J95" s="389" t="n">
        <v>1516.45</v>
      </c>
      <c r="K95" s="390" t="n">
        <v>1516.45</v>
      </c>
      <c r="L95" s="118" t="n">
        <v>0</v>
      </c>
      <c r="M95" s="389">
        <f>K95-L95</f>
        <v/>
      </c>
      <c r="N95" s="389">
        <f>SUM(G95,H95,I95,M95)</f>
        <v/>
      </c>
      <c r="O95" s="114" t="n"/>
    </row>
    <row r="96" customFormat="1" s="94">
      <c r="A96" s="382" t="inlineStr">
        <is>
          <t>June 09 - June 15 2025</t>
        </is>
      </c>
      <c r="B96" s="389" t="n">
        <v>9723.83</v>
      </c>
      <c r="C96" s="398">
        <f>(B96*0.06)*1.13</f>
        <v/>
      </c>
      <c r="D96" s="398">
        <f>(B96*0.02)*1.13</f>
        <v/>
      </c>
      <c r="E96" s="398" t="n"/>
      <c r="F96" s="391" t="n">
        <v>9697.43</v>
      </c>
      <c r="G96" s="389" t="n">
        <v>7344.08</v>
      </c>
      <c r="H96" s="389" t="n">
        <v>207.6</v>
      </c>
      <c r="I96" s="389" t="n">
        <v>75</v>
      </c>
      <c r="J96" s="389" t="n">
        <v>2070.75</v>
      </c>
      <c r="K96" s="390" t="n">
        <v>2097.15</v>
      </c>
      <c r="L96" s="118" t="n">
        <v>0</v>
      </c>
      <c r="M96" s="389">
        <f>K96-L96</f>
        <v/>
      </c>
      <c r="N96" s="389">
        <f>SUM(G96,H96,I96,M96)</f>
        <v/>
      </c>
      <c r="O96" s="114" t="n"/>
    </row>
    <row r="97" customFormat="1" s="94">
      <c r="A97" s="382" t="inlineStr">
        <is>
          <t>June 16 - June 22 2025</t>
        </is>
      </c>
      <c r="B97" s="389" t="n">
        <v>7801.289999999999</v>
      </c>
      <c r="C97" s="398">
        <f>(B97*0.06)*1.13</f>
        <v/>
      </c>
      <c r="D97" s="398">
        <f>(B97*0.02)*1.13</f>
        <v/>
      </c>
      <c r="E97" s="398" t="n"/>
      <c r="F97" s="391" t="n">
        <v>7896.68</v>
      </c>
      <c r="G97" s="389" t="n">
        <v>5657.82</v>
      </c>
      <c r="H97" s="389" t="n">
        <v>201.86</v>
      </c>
      <c r="I97" s="389" t="n">
        <v>212.4</v>
      </c>
      <c r="J97" s="389" t="n">
        <v>1824.6</v>
      </c>
      <c r="K97" s="390" t="n">
        <v>1729.21</v>
      </c>
      <c r="L97" s="118" t="n">
        <v>0</v>
      </c>
      <c r="M97" s="389">
        <f>K97-L97</f>
        <v/>
      </c>
      <c r="N97" s="389">
        <f>SUM(G97,H97,I97,M97)</f>
        <v/>
      </c>
      <c r="O97" s="114" t="n"/>
    </row>
    <row r="98" customFormat="1" s="94">
      <c r="A98" s="382" t="inlineStr">
        <is>
          <t>June 23 - June 29 2025</t>
        </is>
      </c>
      <c r="B98" s="389" t="n">
        <v>9699.92</v>
      </c>
      <c r="C98" s="398">
        <f>(B98*0.06)*1.13</f>
        <v/>
      </c>
      <c r="D98" s="398">
        <f>(B98*0.02)*1.13</f>
        <v/>
      </c>
      <c r="E98" s="398" t="n"/>
      <c r="F98" s="391" t="n">
        <v>9722.120000000001</v>
      </c>
      <c r="G98" s="389" t="n">
        <v>7494.14</v>
      </c>
      <c r="H98" s="389" t="n">
        <v>136</v>
      </c>
      <c r="I98" s="389" t="n">
        <v>66.33</v>
      </c>
      <c r="J98" s="389" t="n">
        <v>2025.65</v>
      </c>
      <c r="K98" s="390" t="n">
        <v>2003.45</v>
      </c>
      <c r="L98" s="118" t="n">
        <v>0</v>
      </c>
      <c r="M98" s="389">
        <f>K98-L98</f>
        <v/>
      </c>
      <c r="N98" s="389">
        <f>SUM(G98,H98,I98,M98)</f>
        <v/>
      </c>
      <c r="O98" s="114" t="n"/>
    </row>
    <row r="99" customFormat="1" s="94">
      <c r="A99" s="382" t="inlineStr">
        <is>
          <t>June 30 - July 06 2025</t>
        </is>
      </c>
      <c r="B99" s="389" t="n">
        <v>10751.68</v>
      </c>
      <c r="C99" s="398">
        <f>(B99*0.06)*1.13</f>
        <v/>
      </c>
      <c r="D99" s="398">
        <f>(B99*0.02)*1.13</f>
        <v/>
      </c>
      <c r="E99" s="398" t="n"/>
      <c r="F99" s="391" t="n">
        <v>11285.55</v>
      </c>
      <c r="G99" s="389" t="n">
        <v>8390.209999999999</v>
      </c>
      <c r="H99" s="389" t="n">
        <v>109.4</v>
      </c>
      <c r="I99" s="389" t="n">
        <v>71.40000000000001</v>
      </c>
      <c r="J99" s="389" t="n">
        <v>2714.54</v>
      </c>
      <c r="K99" s="390" t="n">
        <v>2629.35</v>
      </c>
      <c r="L99" s="383" t="n">
        <v>448.68</v>
      </c>
      <c r="M99" s="389">
        <f>K99-L99</f>
        <v/>
      </c>
      <c r="N99" s="389">
        <f>SUM(G99,H99,I99,M99)</f>
        <v/>
      </c>
      <c r="O99" s="114" t="n"/>
    </row>
    <row r="100" customFormat="1" s="94">
      <c r="A100" s="394" t="inlineStr">
        <is>
          <t>July 07 - July 13 2025</t>
        </is>
      </c>
      <c r="B100" s="389" t="n">
        <v>9122.01</v>
      </c>
      <c r="C100" s="398">
        <f>(B100*0.06)*1.13</f>
        <v/>
      </c>
      <c r="D100" s="398">
        <f>(B100*0.02)*1.13</f>
        <v/>
      </c>
      <c r="E100" s="398" t="n"/>
      <c r="F100" s="391" t="n">
        <v>9757.67</v>
      </c>
      <c r="G100" s="389" t="n">
        <v>5892.12</v>
      </c>
      <c r="H100" s="389" t="n">
        <v>172.76</v>
      </c>
      <c r="I100" s="389" t="n">
        <v>166.8</v>
      </c>
      <c r="J100" s="389" t="n">
        <v>3525.99</v>
      </c>
      <c r="K100" s="390" t="n">
        <v>3564.39</v>
      </c>
      <c r="L100" s="383" t="n">
        <v>674.0599999999999</v>
      </c>
      <c r="M100" s="389">
        <f>K100-L100</f>
        <v/>
      </c>
      <c r="N100" s="389">
        <f>SUM(G100,H100,I100,M100)</f>
        <v/>
      </c>
      <c r="O100" s="114" t="n"/>
    </row>
    <row r="101" customFormat="1" s="94">
      <c r="A101" s="394" t="inlineStr">
        <is>
          <t>July 14 - July 20 2025</t>
        </is>
      </c>
      <c r="B101" s="389" t="n">
        <v>9419.27</v>
      </c>
      <c r="C101" s="398">
        <f>(B101*0.06)*1.13</f>
        <v/>
      </c>
      <c r="D101" s="398">
        <f>(B101*0.02)*1.13</f>
        <v/>
      </c>
      <c r="E101" s="11" t="n">
        <v>285</v>
      </c>
      <c r="F101" s="391" t="n">
        <v>9832.73</v>
      </c>
      <c r="G101" s="389" t="n">
        <v>7088.72</v>
      </c>
      <c r="H101" s="389" t="n">
        <v>131.12</v>
      </c>
      <c r="I101" s="389" t="n">
        <v>211.73</v>
      </c>
      <c r="J101" s="389" t="n">
        <v>2401.16</v>
      </c>
      <c r="K101" s="390" t="n">
        <v>2450.35</v>
      </c>
      <c r="L101" s="383" t="n">
        <v>462.65</v>
      </c>
      <c r="M101" s="389">
        <f>K101-L101</f>
        <v/>
      </c>
      <c r="N101" s="389">
        <f>SUM(G101,H101,I101,M101)</f>
        <v/>
      </c>
      <c r="O101" s="114" t="n"/>
    </row>
    <row r="102" customFormat="1" s="94">
      <c r="A102" s="394" t="inlineStr">
        <is>
          <t>July 21 - July 27 2025</t>
        </is>
      </c>
      <c r="B102" s="389" t="n">
        <v>10415.91</v>
      </c>
      <c r="C102" s="398">
        <f>(B102*0.06)*1.13</f>
        <v/>
      </c>
      <c r="D102" s="398">
        <f>(B102*0.02)*1.13</f>
        <v/>
      </c>
      <c r="E102" s="11" t="n">
        <v>378</v>
      </c>
      <c r="F102" s="391" t="n">
        <v>11175.11</v>
      </c>
      <c r="G102" s="389" t="n">
        <v>7756.08</v>
      </c>
      <c r="H102" s="389" t="n">
        <v>48</v>
      </c>
      <c r="I102" s="389" t="n">
        <v>58.8</v>
      </c>
      <c r="J102" s="389" t="n">
        <v>3312.23</v>
      </c>
      <c r="K102" s="390" t="n">
        <v>3326.64</v>
      </c>
      <c r="L102" s="383" t="n">
        <v>773.61</v>
      </c>
      <c r="M102" s="389">
        <f>K102-L102</f>
        <v/>
      </c>
      <c r="N102" s="389">
        <f>SUM(G102,H102,I102,M102)</f>
        <v/>
      </c>
      <c r="O102" s="114" t="n"/>
    </row>
    <row r="103" customFormat="1" s="94">
      <c r="A103" s="394" t="inlineStr">
        <is>
          <t>July 28 - Aug 03 2025</t>
        </is>
      </c>
      <c r="B103" s="389" t="n">
        <v>9101.52</v>
      </c>
      <c r="C103" s="398">
        <f>(B103*0.06)*1.13</f>
        <v/>
      </c>
      <c r="D103" s="398">
        <f>(B103*0.02)*1.13</f>
        <v/>
      </c>
      <c r="E103" s="11" t="n">
        <v>311</v>
      </c>
      <c r="F103" s="391" t="n">
        <v>9721.120000000001</v>
      </c>
      <c r="G103" s="389" t="n">
        <v>6488.6</v>
      </c>
      <c r="H103" s="118" t="n">
        <v>0</v>
      </c>
      <c r="I103" s="389" t="n">
        <v>209.74</v>
      </c>
      <c r="J103" s="389" t="n">
        <v>3022.78</v>
      </c>
      <c r="K103" s="390" t="n">
        <v>3077.98</v>
      </c>
      <c r="L103" s="383" t="n">
        <v>674.8</v>
      </c>
      <c r="M103" s="389">
        <f>K103-L103</f>
        <v/>
      </c>
      <c r="N103" s="389">
        <f>SUM(G103,H103,I103,M103)</f>
        <v/>
      </c>
      <c r="O103" s="114" t="n"/>
    </row>
    <row r="104" customFormat="1" s="94">
      <c r="A104" s="394" t="inlineStr">
        <is>
          <t>Aug 04 - Aug 10 2025</t>
        </is>
      </c>
      <c r="B104" s="389" t="n">
        <v>9528.039999999999</v>
      </c>
      <c r="C104" s="398">
        <f>(B104*0.06)*1.13</f>
        <v/>
      </c>
      <c r="D104" s="398">
        <f>(B104*0.02)*1.13</f>
        <v/>
      </c>
      <c r="E104" s="11" t="n">
        <v>307</v>
      </c>
      <c r="F104" s="391" t="n">
        <v>10132.29</v>
      </c>
      <c r="G104" s="389" t="n">
        <v>6846.95</v>
      </c>
      <c r="H104" s="389" t="n">
        <v>213.87</v>
      </c>
      <c r="I104" s="389" t="n">
        <v>197.19</v>
      </c>
      <c r="J104" s="389" t="n">
        <v>2874.28</v>
      </c>
      <c r="K104" s="390" t="n">
        <v>2919.88</v>
      </c>
      <c r="L104" s="383" t="n">
        <v>649.85</v>
      </c>
      <c r="M104" s="389">
        <f>K104-L104</f>
        <v/>
      </c>
      <c r="N104" s="389">
        <f>SUM(G104,H104,I104,M104)</f>
        <v/>
      </c>
      <c r="O104" s="114" t="n"/>
    </row>
    <row r="105" customFormat="1" s="94">
      <c r="A105" s="394" t="inlineStr">
        <is>
          <t>Aug 11 - Aug 17 2025</t>
        </is>
      </c>
      <c r="B105" s="389" t="n">
        <v>10371.73</v>
      </c>
      <c r="C105" s="398">
        <f>(B105*0.06)*1.13</f>
        <v/>
      </c>
      <c r="D105" s="398">
        <f>(B105*0.02)*1.13</f>
        <v/>
      </c>
      <c r="E105" s="11" t="n">
        <v>294</v>
      </c>
      <c r="F105" s="391" t="n">
        <v>10689.38</v>
      </c>
      <c r="G105" s="389" t="n">
        <v>7505.28</v>
      </c>
      <c r="H105" s="389" t="n">
        <v>157.47</v>
      </c>
      <c r="I105" s="389" t="n">
        <v>80.40000000000001</v>
      </c>
      <c r="J105" s="389" t="n">
        <v>2946.23</v>
      </c>
      <c r="K105" s="390" t="n">
        <v>3143.13</v>
      </c>
      <c r="L105" s="383" t="n">
        <v>514.55</v>
      </c>
      <c r="M105" s="389">
        <f>K105-L105</f>
        <v/>
      </c>
      <c r="N105" s="389">
        <f>SUM(G105,H105,I105,M105)</f>
        <v/>
      </c>
      <c r="O105" s="114" t="n"/>
    </row>
    <row r="106" customFormat="1" s="94">
      <c r="A106" s="394" t="inlineStr">
        <is>
          <t>Aug 18 - Aug 24 2025</t>
        </is>
      </c>
      <c r="B106" s="389" t="n">
        <v>9854.620000000001</v>
      </c>
      <c r="C106" s="398">
        <f>(B106*0.06)*1.13</f>
        <v/>
      </c>
      <c r="D106" s="398">
        <f>(B106*0.02)*1.13</f>
        <v/>
      </c>
      <c r="E106" s="11" t="n">
        <v>300</v>
      </c>
      <c r="F106" s="391" t="n">
        <v>10355.62</v>
      </c>
      <c r="G106" s="389" t="n">
        <v>7294.81</v>
      </c>
      <c r="H106" s="389" t="n">
        <v>147.5</v>
      </c>
      <c r="I106" s="389" t="n">
        <v>54</v>
      </c>
      <c r="J106" s="389" t="n">
        <v>2859.31</v>
      </c>
      <c r="K106" s="390" t="n">
        <v>2939.01</v>
      </c>
      <c r="L106" s="383" t="n">
        <v>580.7</v>
      </c>
      <c r="M106" s="389">
        <f>K106-L106</f>
        <v/>
      </c>
      <c r="N106" s="389">
        <f>SUM(G106,H106,I106,M106)</f>
        <v/>
      </c>
      <c r="O106" s="114" t="n"/>
    </row>
    <row r="107" customFormat="1" s="94">
      <c r="A107" s="394" t="inlineStr">
        <is>
          <t>Aug 25 - Aug 31 2025</t>
        </is>
      </c>
      <c r="B107" s="389" t="n">
        <v>9335.719999999999</v>
      </c>
      <c r="C107" s="398">
        <f>(B107*0.06)*1.13</f>
        <v/>
      </c>
      <c r="D107" s="398">
        <f>(B107*0.02)*1.13</f>
        <v/>
      </c>
      <c r="E107" s="11" t="n">
        <v>324</v>
      </c>
      <c r="F107" s="391" t="n">
        <v>9950.75</v>
      </c>
      <c r="G107" s="389" t="n">
        <v>6940.95</v>
      </c>
      <c r="H107" s="389" t="n">
        <v>38.8</v>
      </c>
      <c r="I107" s="389" t="n">
        <v>96.45999999999999</v>
      </c>
      <c r="J107" s="389" t="n">
        <v>2874.54</v>
      </c>
      <c r="K107" s="390" t="n">
        <v>2866.16</v>
      </c>
      <c r="L107" s="383" t="n">
        <v>606.65</v>
      </c>
      <c r="M107" s="389">
        <f>K107-L107</f>
        <v/>
      </c>
      <c r="N107" s="389">
        <f>SUM(G107,H107,I107,M107)</f>
        <v/>
      </c>
      <c r="O107" s="114" t="n"/>
    </row>
    <row r="108" customFormat="1" s="94">
      <c r="A108" s="394" t="inlineStr">
        <is>
          <t>Sep 01 - Sep 07 2025</t>
        </is>
      </c>
      <c r="B108" s="389" t="n">
        <v>8355.389999999999</v>
      </c>
      <c r="C108" s="398">
        <f>(B108*0.06)*1.13</f>
        <v/>
      </c>
      <c r="D108" s="398">
        <f>(B108*0.02)*1.13</f>
        <v/>
      </c>
      <c r="E108" s="11" t="n">
        <v>264</v>
      </c>
      <c r="F108" s="391" t="n">
        <v>8307.99</v>
      </c>
      <c r="G108" s="389" t="n">
        <v>6073.96</v>
      </c>
      <c r="H108" s="389" t="n">
        <v>121</v>
      </c>
      <c r="I108" s="389" t="n">
        <v>157.35</v>
      </c>
      <c r="J108" s="389" t="n">
        <v>1955.68</v>
      </c>
      <c r="K108" s="390" t="n">
        <v>2003.08</v>
      </c>
      <c r="L108" s="383" t="n">
        <v>0</v>
      </c>
      <c r="M108" s="389">
        <f>K108-L108</f>
        <v/>
      </c>
      <c r="N108" s="389">
        <f>SUM(G108,H108,I108,M108)</f>
        <v/>
      </c>
      <c r="O108" s="114" t="n"/>
    </row>
    <row r="109" customFormat="1" s="94">
      <c r="A109" s="394" t="inlineStr">
        <is>
          <t>Sep 08 - Sep 14 2025</t>
        </is>
      </c>
      <c r="B109" s="389" t="n">
        <v>7442.939999999999</v>
      </c>
      <c r="C109" s="398">
        <f>(B109*0.06)*1.13</f>
        <v/>
      </c>
      <c r="D109" s="398">
        <f>(B109*0.02)*1.13</f>
        <v/>
      </c>
      <c r="E109" s="11" t="n">
        <v>241</v>
      </c>
      <c r="F109" s="391" t="n">
        <v>7321.46</v>
      </c>
      <c r="G109" s="389" t="n">
        <v>5435.7</v>
      </c>
      <c r="H109" s="389" t="n">
        <v>134.44</v>
      </c>
      <c r="I109" s="389" t="n">
        <v>121.78</v>
      </c>
      <c r="J109" s="389" t="n">
        <v>1629.54</v>
      </c>
      <c r="K109" s="390" t="n">
        <v>1751.02</v>
      </c>
      <c r="L109" s="383" t="n">
        <v>0</v>
      </c>
      <c r="M109" s="389">
        <f>K109-L109</f>
        <v/>
      </c>
      <c r="N109" s="389">
        <f>SUM(G109,H109,I109,M109)</f>
        <v/>
      </c>
      <c r="O109" s="114" t="n"/>
    </row>
    <row r="110" customFormat="1" s="94">
      <c r="A110" s="394" t="inlineStr">
        <is>
          <t>Sep 15 - Sep 21 2025</t>
        </is>
      </c>
      <c r="B110" s="389" t="n">
        <v>7721.95</v>
      </c>
      <c r="C110" s="398">
        <f>(B110*0.06)*1.13</f>
        <v/>
      </c>
      <c r="D110" s="398">
        <f>(B110*0.02)*1.13</f>
        <v/>
      </c>
      <c r="E110" s="11" t="n">
        <v>249</v>
      </c>
      <c r="F110" s="391" t="n">
        <v>7634.65</v>
      </c>
      <c r="G110" s="389" t="n">
        <v>6041.33</v>
      </c>
      <c r="H110" s="389" t="n">
        <v>161.07</v>
      </c>
      <c r="I110" s="118" t="n">
        <v>0</v>
      </c>
      <c r="J110" s="389" t="n">
        <v>1432.25</v>
      </c>
      <c r="K110" s="390" t="n">
        <v>1519.55</v>
      </c>
      <c r="L110" s="383" t="n">
        <v>0</v>
      </c>
      <c r="M110" s="389">
        <f>K110-L110</f>
        <v/>
      </c>
      <c r="N110" s="389">
        <f>SUM(G110,H110,I110,M110)</f>
        <v/>
      </c>
      <c r="O110" s="114" t="n"/>
    </row>
    <row r="111" customFormat="1" s="94">
      <c r="A111" s="394" t="inlineStr">
        <is>
          <t>Sep 22 - Sep 28 2025</t>
        </is>
      </c>
      <c r="B111" s="389" t="n">
        <v>7747.38</v>
      </c>
      <c r="C111" s="398">
        <f>(B111*0.06)*1.13</f>
        <v/>
      </c>
      <c r="D111" s="398">
        <f>(B111*0.02)*1.13</f>
        <v/>
      </c>
      <c r="E111" s="56" t="n">
        <v>250</v>
      </c>
      <c r="F111" s="391" t="n">
        <v>7738.98</v>
      </c>
      <c r="G111" s="389" t="n">
        <v>6213</v>
      </c>
      <c r="H111" s="389" t="n">
        <v>18</v>
      </c>
      <c r="I111" s="389" t="n">
        <v>132.89</v>
      </c>
      <c r="J111" s="389" t="n">
        <v>1375.09</v>
      </c>
      <c r="K111" s="390" t="n">
        <v>1383.49</v>
      </c>
      <c r="L111" s="383" t="n">
        <v>0</v>
      </c>
      <c r="M111" s="389">
        <f>K111-L111</f>
        <v/>
      </c>
      <c r="N111" s="389">
        <f>SUM(G111,H111,I111,M111)</f>
        <v/>
      </c>
      <c r="O111" s="114" t="n"/>
    </row>
    <row r="112" customFormat="1" s="94">
      <c r="A112" s="394" t="inlineStr">
        <is>
          <t>Sep 29 - Oct 05 2025</t>
        </is>
      </c>
      <c r="B112" s="389" t="n">
        <v>7630.919999999999</v>
      </c>
      <c r="C112" s="398">
        <f>(B112*0.06)*1.13</f>
        <v/>
      </c>
      <c r="D112" s="398">
        <f>(B112*0.02)*1.13</f>
        <v/>
      </c>
      <c r="E112" s="11" t="n">
        <v>248</v>
      </c>
      <c r="F112" s="391" t="n">
        <v>7685.27</v>
      </c>
      <c r="G112" s="389" t="n">
        <v>6256.78</v>
      </c>
      <c r="H112" s="389" t="n">
        <v>115.07</v>
      </c>
      <c r="I112" s="389" t="n">
        <v>112.28</v>
      </c>
      <c r="J112" s="389" t="n">
        <v>1201.14</v>
      </c>
      <c r="K112" s="390" t="n">
        <v>1205.95</v>
      </c>
      <c r="L112" s="383" t="n">
        <v>59.16</v>
      </c>
      <c r="M112" s="389">
        <f>K112-L112</f>
        <v/>
      </c>
      <c r="N112" s="389">
        <f>SUM(G112,H112,I112,M112)</f>
        <v/>
      </c>
      <c r="O112" s="114" t="n"/>
    </row>
    <row r="113" customFormat="1" s="94">
      <c r="A113" s="394" t="inlineStr">
        <is>
          <t>Oct 6 - Oct 12 2025</t>
        </is>
      </c>
      <c r="B113" s="389" t="n">
        <v>9383.4</v>
      </c>
      <c r="C113" s="398">
        <f>(B113*0.06)*1.13</f>
        <v/>
      </c>
      <c r="D113" s="398">
        <f>(B113*0.02)*1.13</f>
        <v/>
      </c>
      <c r="E113" s="11" t="n">
        <v>287</v>
      </c>
      <c r="F113" s="391" t="n">
        <v>9383.4</v>
      </c>
      <c r="G113" s="389" t="n">
        <v>7417.86</v>
      </c>
      <c r="H113" s="389" t="n">
        <v>176.96</v>
      </c>
      <c r="I113" s="389" t="n">
        <v>87.18000000000001</v>
      </c>
      <c r="J113" s="389" t="n">
        <v>1701.4</v>
      </c>
      <c r="K113" s="383" t="n">
        <v>1701.4</v>
      </c>
      <c r="L113" s="383" t="n">
        <v>0</v>
      </c>
      <c r="M113" s="389">
        <f>K113-L113</f>
        <v/>
      </c>
      <c r="N113" s="389">
        <f>SUM(G113,H113,I113,M113)</f>
        <v/>
      </c>
      <c r="O113" s="114" t="n"/>
    </row>
    <row r="114" customFormat="1" s="94">
      <c r="A114" s="394" t="inlineStr">
        <is>
          <t>Oct 13 - Oct 19 2025</t>
        </is>
      </c>
      <c r="B114" s="389" t="n">
        <v>8292.719999999999</v>
      </c>
      <c r="C114" s="398">
        <f>(B114*0.06)*1.13</f>
        <v/>
      </c>
      <c r="D114" s="398">
        <f>(B114*0.02)*1.13</f>
        <v/>
      </c>
      <c r="E114" s="11" t="n"/>
      <c r="F114" s="394" t="n">
        <v>8292.719999999999</v>
      </c>
      <c r="G114" s="394" t="n">
        <v>6642.43</v>
      </c>
      <c r="H114" s="394" t="n">
        <v>88</v>
      </c>
      <c r="I114" s="394" t="n">
        <v>286.49</v>
      </c>
      <c r="J114" s="394" t="n">
        <v>1275.8</v>
      </c>
      <c r="K114" s="447" t="n">
        <v>1275.8</v>
      </c>
      <c r="L114" s="383" t="n">
        <v>0</v>
      </c>
      <c r="M114" s="389">
        <f>K114-L114</f>
        <v/>
      </c>
      <c r="N114" s="389">
        <f>SUM(G114,H114,I114,M114)</f>
        <v/>
      </c>
      <c r="O114" s="114" t="n"/>
    </row>
    <row r="115" customFormat="1" s="94">
      <c r="A115" s="394" t="inlineStr">
        <is>
          <t>Oct 20 - Oct 26 2025</t>
        </is>
      </c>
      <c r="B115" s="389" t="n">
        <v>8898.09</v>
      </c>
      <c r="C115" s="398">
        <f>(B115*0.06)*1.13</f>
        <v/>
      </c>
      <c r="D115" s="398">
        <f>(B115*0.02)*1.13</f>
        <v/>
      </c>
      <c r="E115" s="2" t="n">
        <v>261</v>
      </c>
      <c r="F115" s="394" t="n">
        <v>8755.450000000001</v>
      </c>
      <c r="G115" s="394" t="n">
        <v>7054.66</v>
      </c>
      <c r="H115" s="394" t="n">
        <v>290.91</v>
      </c>
      <c r="I115" s="394" t="n">
        <v>132.46</v>
      </c>
      <c r="J115" s="394" t="n">
        <v>1277.42</v>
      </c>
      <c r="K115" s="383" t="n">
        <v>1420.06</v>
      </c>
      <c r="L115" s="383" t="n">
        <v>0</v>
      </c>
      <c r="M115" s="389">
        <f>K115-L115</f>
        <v/>
      </c>
      <c r="N115" s="389">
        <f>SUM(G115,H115,I115,M115)</f>
        <v/>
      </c>
      <c r="O115" s="114" t="n"/>
    </row>
    <row r="116" customFormat="1" s="94">
      <c r="A116" s="394" t="inlineStr">
        <is>
          <t>Oct 27 - Nov 02 2025</t>
        </is>
      </c>
      <c r="B116" s="389" t="n">
        <v>7239.209999999999</v>
      </c>
      <c r="C116" s="398">
        <f>(B116*0.06)*1.13</f>
        <v/>
      </c>
      <c r="D116" s="398">
        <f>(B116*0.02)*1.13</f>
        <v/>
      </c>
      <c r="E116" s="2" t="n">
        <v>231</v>
      </c>
      <c r="F116" s="394" t="n">
        <v>7172.12</v>
      </c>
      <c r="G116" s="394" t="n">
        <v>5412.3</v>
      </c>
      <c r="H116" s="394" t="n">
        <v>62.4</v>
      </c>
      <c r="I116" s="394" t="n">
        <v>29.99</v>
      </c>
      <c r="J116" s="394" t="n">
        <v>1667.43</v>
      </c>
      <c r="K116" s="383" t="n">
        <v>1734.52</v>
      </c>
      <c r="L116" s="383" t="n">
        <v>0</v>
      </c>
      <c r="M116" s="389">
        <f>K116-L116</f>
        <v/>
      </c>
      <c r="N116" s="389">
        <f>SUM(G116,H116,I116,M116)</f>
        <v/>
      </c>
      <c r="O116" s="114" t="n"/>
    </row>
    <row r="117" customFormat="1" s="94">
      <c r="A117" s="394" t="inlineStr">
        <is>
          <t>Nov 03 - Nov 09 2025</t>
        </is>
      </c>
      <c r="B117" s="389" t="n">
        <v>8001.94</v>
      </c>
      <c r="C117" s="398">
        <f>(B117*0.06)*1.13</f>
        <v/>
      </c>
      <c r="D117" s="398">
        <f>(B117*0.02)*1.13</f>
        <v/>
      </c>
      <c r="E117" s="394" t="inlineStr">
        <is>
          <t>244</t>
        </is>
      </c>
      <c r="F117" s="394" t="n">
        <v>7961.01</v>
      </c>
      <c r="G117" s="394" t="n">
        <v>5823.18</v>
      </c>
      <c r="H117" s="394" t="n">
        <v>34</v>
      </c>
      <c r="I117" s="394" t="n">
        <v>144.48</v>
      </c>
      <c r="J117" s="394" t="n">
        <v>1959.35</v>
      </c>
      <c r="K117" s="466" t="n">
        <v>2000.28</v>
      </c>
      <c r="L117" s="383" t="n">
        <v>0</v>
      </c>
      <c r="M117" s="389">
        <f>K117-L117</f>
        <v/>
      </c>
      <c r="N117" s="389">
        <f>SUM(G117,H117,I117,M117)</f>
        <v/>
      </c>
      <c r="O117" s="114" t="n"/>
    </row>
    <row r="118" customFormat="1" s="94">
      <c r="A118" s="394" t="inlineStr">
        <is>
          <t>Nov 10 - Nov 16 2025</t>
        </is>
      </c>
      <c r="B118" s="389" t="n">
        <v>7600.809999999999</v>
      </c>
      <c r="C118" s="398">
        <f>(B118*0.06)*1.13</f>
        <v/>
      </c>
      <c r="D118" s="398">
        <f>(B118*0.02)*1.13</f>
        <v/>
      </c>
      <c r="E118" s="394" t="inlineStr">
        <is>
          <t>257</t>
        </is>
      </c>
      <c r="F118" s="394" t="n">
        <v>7559.07</v>
      </c>
      <c r="G118" s="394" t="n">
        <v>6084.54</v>
      </c>
      <c r="H118" s="394" t="n">
        <v>26.4</v>
      </c>
      <c r="I118" s="394" t="n">
        <v>0</v>
      </c>
      <c r="J118" s="394" t="n">
        <v>1448.13</v>
      </c>
      <c r="K118" s="383" t="n">
        <v>1489.87</v>
      </c>
      <c r="L118" s="383" t="n">
        <v>0</v>
      </c>
      <c r="M118" s="389">
        <f>K118-L118</f>
        <v/>
      </c>
      <c r="N118" s="389">
        <f>SUM(G118,H118,I118,M118)</f>
        <v/>
      </c>
      <c r="O118" s="114" t="n"/>
    </row>
    <row r="119" customFormat="1" s="94">
      <c r="A119" s="2" t="inlineStr">
        <is>
          <t>Nov 17 - Nov 23 2025</t>
        </is>
      </c>
      <c r="B119" s="389" t="n">
        <v>8038.43</v>
      </c>
      <c r="C119" s="398">
        <f>(B119*0.06)*1.13</f>
        <v/>
      </c>
      <c r="D119" s="398">
        <f>(B119*0.02)*1.13</f>
        <v/>
      </c>
      <c r="E119" s="394" t="inlineStr">
        <is>
          <t>258</t>
        </is>
      </c>
      <c r="F119" s="394" t="n">
        <v>8134.630000000001</v>
      </c>
      <c r="G119" s="394" t="n">
        <v>5658</v>
      </c>
      <c r="H119" s="394" t="n">
        <v>151.06</v>
      </c>
      <c r="I119" s="394" t="n">
        <v>94.89</v>
      </c>
      <c r="J119" s="394" t="n">
        <v>2230.68</v>
      </c>
      <c r="K119" s="383" t="n">
        <v>2200.21</v>
      </c>
      <c r="L119" s="383" t="n">
        <v>65.73</v>
      </c>
      <c r="M119" s="389">
        <f>K119-L119</f>
        <v/>
      </c>
      <c r="N119" s="389">
        <f>SUM(G119,H119,I119,M119)</f>
        <v/>
      </c>
      <c r="O119" s="114" t="n"/>
    </row>
    <row r="120" customFormat="1" s="94">
      <c r="A120" s="2" t="inlineStr">
        <is>
          <t>Nov 24 - Nov 30 2025</t>
        </is>
      </c>
      <c r="B120" s="389" t="n">
        <v>8358.950000000001</v>
      </c>
      <c r="C120" s="398">
        <f>(B120*0.06)*1.13</f>
        <v/>
      </c>
      <c r="D120" s="398">
        <f>(B120*0.02)*1.13</f>
        <v/>
      </c>
      <c r="E120" s="394" t="n">
        <v>271</v>
      </c>
      <c r="F120" s="394" t="n">
        <v>8499.65</v>
      </c>
      <c r="G120" s="394" t="n">
        <v>6178.94</v>
      </c>
      <c r="H120" s="394" t="n">
        <v>20.14</v>
      </c>
      <c r="I120" s="394" t="n">
        <v>79.34999999999999</v>
      </c>
      <c r="J120" s="394" t="n">
        <v>2221.22</v>
      </c>
      <c r="K120" s="383" t="n">
        <v>2261.3</v>
      </c>
      <c r="L120" s="383" t="n">
        <v>180.78</v>
      </c>
      <c r="M120" s="389">
        <f>K120-L120</f>
        <v/>
      </c>
      <c r="N120" s="389">
        <f>SUM(G120,H120,I120,M120)</f>
        <v/>
      </c>
      <c r="O120" s="114" t="n"/>
    </row>
    <row r="121" customFormat="1" s="94">
      <c r="A121" s="2" t="inlineStr">
        <is>
          <t>Dec 01 - Dec 07 2025</t>
        </is>
      </c>
      <c r="B121" s="389" t="n">
        <v>8898.77</v>
      </c>
      <c r="C121" s="398">
        <f>(B121*0.06)*1.13</f>
        <v/>
      </c>
      <c r="D121" s="398">
        <f>(B121*0.02)*1.13</f>
        <v/>
      </c>
      <c r="E121" s="300" t="n">
        <v>341</v>
      </c>
      <c r="F121" s="394" t="n">
        <v>9145.689999999999</v>
      </c>
      <c r="G121" s="394" t="n">
        <v>5879.82</v>
      </c>
      <c r="H121" s="394" t="n">
        <v>67.34</v>
      </c>
      <c r="I121" s="394" t="n">
        <v>43.49</v>
      </c>
      <c r="J121" s="394" t="n">
        <v>3155.04</v>
      </c>
      <c r="K121" s="383" t="n">
        <v>3121.66</v>
      </c>
      <c r="L121" s="383" t="n">
        <v>213.54</v>
      </c>
      <c r="M121" s="389">
        <f>K121-L121</f>
        <v/>
      </c>
      <c r="N121" s="389">
        <f>SUM(G121,H121,I121,M121)</f>
        <v/>
      </c>
      <c r="O121" s="114" t="n"/>
    </row>
    <row r="122" customFormat="1" s="94">
      <c r="A122" s="299" t="inlineStr">
        <is>
          <t>Dec 08 - Dec 14 2025</t>
        </is>
      </c>
      <c r="B122" s="389" t="n">
        <v>8495.719999999999</v>
      </c>
      <c r="C122" s="398">
        <f>(B122*0.06)*1.13</f>
        <v/>
      </c>
      <c r="D122" s="398">
        <f>(B122*0.02)*1.13</f>
        <v/>
      </c>
      <c r="E122" s="394" t="inlineStr">
        <is>
          <t>266</t>
        </is>
      </c>
      <c r="F122" s="394" t="n">
        <v>8532.700000000001</v>
      </c>
      <c r="G122" s="394" t="n">
        <v>5405.2</v>
      </c>
      <c r="H122" s="394" t="n">
        <v>49.2</v>
      </c>
      <c r="I122" s="394" t="n">
        <v>181.29</v>
      </c>
      <c r="J122" s="394" t="n">
        <v>2897.01</v>
      </c>
      <c r="K122" s="383" t="n">
        <v>3075.97</v>
      </c>
      <c r="L122" s="383" t="n">
        <v>215.94</v>
      </c>
      <c r="M122" s="389">
        <f>K122-L122</f>
        <v/>
      </c>
      <c r="N122" s="389">
        <f>SUM(G122,H122,I122,M122)</f>
        <v/>
      </c>
      <c r="O122" s="114" t="n"/>
    </row>
    <row r="123" customFormat="1" s="94">
      <c r="A123" s="2" t="inlineStr">
        <is>
          <t>Dec 15 - Dec 21 2025</t>
        </is>
      </c>
      <c r="B123" s="389" t="n">
        <v>8747.049999999999</v>
      </c>
      <c r="C123" s="398">
        <f>(B123*0.06)*1.13</f>
        <v/>
      </c>
      <c r="D123" s="398">
        <f>(B123*0.02)*1.13</f>
        <v/>
      </c>
      <c r="E123" s="394" t="inlineStr">
        <is>
          <t>294</t>
        </is>
      </c>
      <c r="F123" s="394" t="n">
        <v>9053.23</v>
      </c>
      <c r="G123" s="394" t="n">
        <v>6354.74</v>
      </c>
      <c r="H123" s="394" t="n">
        <v>106.19</v>
      </c>
      <c r="I123" s="394" t="n">
        <v>112.18</v>
      </c>
      <c r="J123" s="394" t="n">
        <v>2480.12</v>
      </c>
      <c r="K123" s="383" t="n">
        <v>2447.42</v>
      </c>
      <c r="L123" s="383" t="n">
        <v>273.48</v>
      </c>
      <c r="M123" s="389">
        <f>K123-L123</f>
        <v/>
      </c>
      <c r="N123" s="389">
        <f>SUM(G123,H123,I123,M123)</f>
        <v/>
      </c>
      <c r="O123" s="114" t="n"/>
    </row>
    <row r="124" customFormat="1" s="94">
      <c r="A124" s="2" t="inlineStr">
        <is>
          <t>Dec 22 - Dec 28 2025</t>
        </is>
      </c>
      <c r="B124" s="389" t="n">
        <v>11628.19</v>
      </c>
      <c r="C124" s="398">
        <f>(B124*0.06)*1.13</f>
        <v/>
      </c>
      <c r="D124" s="398">
        <f>(B124*0.02)*1.13</f>
        <v/>
      </c>
      <c r="E124" s="118" t="n">
        <v>343</v>
      </c>
      <c r="F124" s="394" t="n">
        <v>11883.39</v>
      </c>
      <c r="G124" s="394" t="n">
        <v>7749.16</v>
      </c>
      <c r="H124" s="394" t="n">
        <v>132.27</v>
      </c>
      <c r="I124" s="394" t="n">
        <v>88.79000000000001</v>
      </c>
      <c r="J124" s="394" t="n">
        <v>3913.17</v>
      </c>
      <c r="K124" s="383" t="n">
        <v>3970.21</v>
      </c>
      <c r="L124" s="383" t="n">
        <v>312.24</v>
      </c>
      <c r="M124" s="389">
        <f>K124-L124</f>
        <v/>
      </c>
      <c r="N124" s="389">
        <f>SUM(G124,H124,I124,M124)</f>
        <v/>
      </c>
      <c r="O124" s="114" t="n"/>
    </row>
    <row r="125" customFormat="1" s="94">
      <c r="A125" s="11" t="inlineStr">
        <is>
          <t>Dec 29 - Jan 04 2026</t>
        </is>
      </c>
      <c r="B125" s="389" t="n">
        <v>11466.82</v>
      </c>
      <c r="C125" s="398">
        <f>(B125*0.06)*1.13</f>
        <v/>
      </c>
      <c r="D125" s="398">
        <f>(B125*0.02)*1.13</f>
        <v/>
      </c>
      <c r="E125" s="394" t="inlineStr">
        <is>
          <t>366</t>
        </is>
      </c>
      <c r="F125" s="394" t="n">
        <v>11419.83</v>
      </c>
      <c r="G125" s="394" t="n">
        <v>8178.74</v>
      </c>
      <c r="H125" s="394" t="n">
        <v>163.99</v>
      </c>
      <c r="I125" s="394" t="n">
        <v>137.49</v>
      </c>
      <c r="J125" s="394" t="n">
        <v>2939.61</v>
      </c>
      <c r="K125" s="383" t="n">
        <v>2986.6</v>
      </c>
      <c r="L125" s="383" t="n">
        <v>0</v>
      </c>
      <c r="M125" s="389">
        <f>K125-L125</f>
        <v/>
      </c>
      <c r="N125" s="389">
        <f>SUM(G125,H125,I125,M125)</f>
        <v/>
      </c>
      <c r="O125" s="114" t="n"/>
    </row>
    <row r="126" customFormat="1" s="94">
      <c r="A126" s="11" t="inlineStr">
        <is>
          <t>Jan 05 - Jan 11 2026</t>
        </is>
      </c>
      <c r="B126" s="389" t="n">
        <v>7183.969999999999</v>
      </c>
      <c r="C126" s="398">
        <f>(B126*0.06)*1.13</f>
        <v/>
      </c>
      <c r="D126" s="398">
        <f>(B126*0.02)*1.13</f>
        <v/>
      </c>
      <c r="E126" s="394" t="inlineStr">
        <is>
          <t>250</t>
        </is>
      </c>
      <c r="F126" s="394" t="n">
        <v>7055.61</v>
      </c>
      <c r="G126" s="394" t="n">
        <v>5092.74</v>
      </c>
      <c r="H126" s="394" t="n">
        <v>82.54000000000001</v>
      </c>
      <c r="I126" s="394" t="n">
        <v>117.58</v>
      </c>
      <c r="J126" s="394" t="n">
        <v>1762.75</v>
      </c>
      <c r="K126" s="383" t="n">
        <v>1891.11</v>
      </c>
      <c r="L126" s="383" t="n">
        <v>0</v>
      </c>
      <c r="M126" s="389">
        <f>K126-L126</f>
        <v/>
      </c>
      <c r="N126" s="389">
        <f>SUM(G126,H126,I126,M126)</f>
        <v/>
      </c>
      <c r="O126" s="114" t="n"/>
    </row>
    <row r="127" customFormat="1" s="94">
      <c r="A127" s="11" t="inlineStr">
        <is>
          <t>Jan 12 - Jan 18 2026</t>
        </is>
      </c>
      <c r="B127" s="389" t="n">
        <v>8146.070000000001</v>
      </c>
      <c r="C127" s="398">
        <f>(B127*0.06)*1.13</f>
        <v/>
      </c>
      <c r="D127" s="398">
        <f>(B127*0.02)*1.13</f>
        <v/>
      </c>
      <c r="E127" s="394" t="inlineStr">
        <is>
          <t>275</t>
        </is>
      </c>
      <c r="F127" s="56" t="n">
        <v>8277.150000000001</v>
      </c>
      <c r="G127" s="394" t="n">
        <v>4714.7</v>
      </c>
      <c r="H127" s="394" t="n">
        <v>65.59999999999999</v>
      </c>
      <c r="I127" s="394" t="n">
        <v>131.47</v>
      </c>
      <c r="J127" s="394" t="n">
        <v>3365.38</v>
      </c>
      <c r="K127" s="383" t="n">
        <v>3474.57</v>
      </c>
      <c r="L127" s="383" t="n">
        <v>240.27</v>
      </c>
      <c r="M127" s="389">
        <f>K127-L127</f>
        <v/>
      </c>
      <c r="N127" s="389">
        <f>SUM(G127,H127,I127,M127)</f>
        <v/>
      </c>
      <c r="O127" s="114" t="n"/>
    </row>
    <row r="128" customFormat="1" s="94">
      <c r="A128" s="30" t="inlineStr">
        <is>
          <t>Jan 19 - Jan 25 2026</t>
        </is>
      </c>
      <c r="B128" s="389" t="n">
        <v>8098.849999999999</v>
      </c>
      <c r="C128" s="398">
        <f>(B128*0.06)*1.13</f>
        <v/>
      </c>
      <c r="D128" s="398">
        <f>(B128*0.02)*1.13</f>
        <v/>
      </c>
      <c r="E128" s="394" t="inlineStr">
        <is>
          <t>271</t>
        </is>
      </c>
      <c r="F128" s="394" t="n">
        <v>8655.709999999999</v>
      </c>
      <c r="G128" s="394" t="n">
        <v>5351.74</v>
      </c>
      <c r="H128" s="394" t="n">
        <v>74.90000000000001</v>
      </c>
      <c r="I128" s="394" t="n">
        <v>87.33</v>
      </c>
      <c r="J128" s="394" t="n">
        <v>3141.74</v>
      </c>
      <c r="K128" s="383" t="n">
        <v>3260.73</v>
      </c>
      <c r="L128" s="383" t="n">
        <v>675.85</v>
      </c>
      <c r="M128" s="389">
        <f>K128-L128</f>
        <v/>
      </c>
      <c r="N128" s="389">
        <f>SUM(G128,H128,I128,M128)</f>
        <v/>
      </c>
      <c r="O128" s="114" t="n"/>
    </row>
    <row r="129" customFormat="1" s="94">
      <c r="A129" s="30" t="inlineStr">
        <is>
          <t>Jan 26 - Feb 01 2026</t>
        </is>
      </c>
      <c r="B129" s="389" t="n">
        <v>10272.38</v>
      </c>
      <c r="C129" s="398">
        <f>(B129*0.06)*1.13</f>
        <v/>
      </c>
      <c r="D129" s="398">
        <f>(B129*0.02)*1.13</f>
        <v/>
      </c>
      <c r="E129" s="394" t="inlineStr">
        <is>
          <t>308</t>
        </is>
      </c>
      <c r="F129" s="394" t="n">
        <v>10640.5</v>
      </c>
      <c r="G129" s="394" t="n">
        <v>6131.98</v>
      </c>
      <c r="H129" s="394" t="n">
        <v>362.89</v>
      </c>
      <c r="I129" s="394" t="n">
        <v>106.8</v>
      </c>
      <c r="J129" s="394" t="n">
        <v>4038.83</v>
      </c>
      <c r="K129" s="383" t="n">
        <v>4309.59</v>
      </c>
      <c r="L129" s="383" t="n">
        <v>638.88</v>
      </c>
      <c r="M129" s="389">
        <f>K129-L129</f>
        <v/>
      </c>
      <c r="N129" s="389">
        <f>SUM(G129,H129,I129,M129)</f>
        <v/>
      </c>
      <c r="O129" s="114" t="n"/>
    </row>
    <row r="130" customFormat="1" s="94">
      <c r="A130" s="30" t="inlineStr">
        <is>
          <t>Feb 02 - Feb 08 2026</t>
        </is>
      </c>
      <c r="B130" s="389" t="n">
        <v>8499.360000000001</v>
      </c>
      <c r="C130" s="398">
        <f>(B130*0.06)*1.13</f>
        <v/>
      </c>
      <c r="D130" s="398">
        <f>(B130*0.02)*1.13</f>
        <v/>
      </c>
      <c r="E130" s="2" t="inlineStr">
        <is>
          <t>275</t>
        </is>
      </c>
      <c r="F130" s="394" t="n">
        <v>8832.68</v>
      </c>
      <c r="G130" s="394" t="n">
        <v>4446.85</v>
      </c>
      <c r="H130" s="394" t="n">
        <v>92.90000000000001</v>
      </c>
      <c r="I130" s="394" t="n">
        <v>121.49</v>
      </c>
      <c r="J130" s="394" t="n">
        <v>4171.44</v>
      </c>
      <c r="K130" s="383" t="n">
        <v>4220.08</v>
      </c>
      <c r="L130" s="383" t="n">
        <v>381.96</v>
      </c>
      <c r="M130" s="389">
        <f>K130-L130</f>
        <v/>
      </c>
      <c r="N130" s="389">
        <f>SUM(G130,H130,I130,M130)</f>
        <v/>
      </c>
      <c r="O130" s="114" t="n"/>
    </row>
    <row r="131" customFormat="1" s="94">
      <c r="A131" s="11" t="inlineStr">
        <is>
          <t>Feb 09 - Feb 15 2026</t>
        </is>
      </c>
      <c r="B131" s="389" t="n">
        <v>10693.09</v>
      </c>
      <c r="C131" s="398">
        <f>(B131*0.06)*1.13</f>
        <v/>
      </c>
      <c r="D131" s="398">
        <f>(B131*0.02)*1.13</f>
        <v/>
      </c>
      <c r="E131" s="118" t="inlineStr">
        <is>
          <t>343</t>
        </is>
      </c>
      <c r="F131" s="394" t="n">
        <v>11001.39</v>
      </c>
      <c r="G131" s="394" t="n">
        <v>6658.98</v>
      </c>
      <c r="H131" s="394" t="n">
        <v>243.53</v>
      </c>
      <c r="I131" s="394" t="n">
        <v>183.44</v>
      </c>
      <c r="J131" s="394" t="n">
        <v>3915.44</v>
      </c>
      <c r="K131" s="389" t="n">
        <v>4119.3</v>
      </c>
      <c r="L131" s="389" t="n">
        <v>512.16</v>
      </c>
      <c r="M131" s="389">
        <f>K131-L131</f>
        <v/>
      </c>
      <c r="N131" s="389">
        <f>SUM(G131,H131,I131,M131)</f>
        <v/>
      </c>
      <c r="O131" s="114" t="n"/>
    </row>
    <row r="132" customFormat="1" s="94">
      <c r="A132" s="11" t="inlineStr">
        <is>
          <t>Feb 16 - Feb 22 2026</t>
        </is>
      </c>
      <c r="B132" s="389" t="n">
        <v>7460.77</v>
      </c>
      <c r="C132" s="398">
        <f>(B132*0.06)*1.13</f>
        <v/>
      </c>
      <c r="D132" s="398">
        <f>(B132*0.02)*1.13</f>
        <v/>
      </c>
      <c r="E132" s="2" t="inlineStr">
        <is>
          <t>231</t>
        </is>
      </c>
      <c r="F132" s="394" t="n">
        <v>7747.93</v>
      </c>
      <c r="G132" s="394" t="n">
        <v>4210.13</v>
      </c>
      <c r="H132" s="394" t="n">
        <v>125.2</v>
      </c>
      <c r="I132" s="394" t="n">
        <v>284.49</v>
      </c>
      <c r="J132" s="394" t="n">
        <v>3128.11</v>
      </c>
      <c r="K132" s="389" t="n">
        <v>3261.47</v>
      </c>
      <c r="L132" s="389" t="n">
        <v>420.52</v>
      </c>
      <c r="M132" s="389">
        <f>K132-L132</f>
        <v/>
      </c>
      <c r="N132" s="389">
        <f>SUM(G132,H132,I132,M132)</f>
        <v/>
      </c>
      <c r="O132" s="114" t="n"/>
    </row>
    <row r="133" customFormat="1" s="94">
      <c r="A133" s="11" t="inlineStr">
        <is>
          <t>Feb 23 - Mar 1 2026</t>
        </is>
      </c>
      <c r="B133" s="389" t="n">
        <v>8920.75</v>
      </c>
      <c r="C133" s="398">
        <f>(B133*0.06)*1.13</f>
        <v/>
      </c>
      <c r="D133" s="398">
        <f>(B133*0.02)*1.13</f>
        <v/>
      </c>
      <c r="E133" s="118" t="inlineStr">
        <is>
          <t>275</t>
        </is>
      </c>
      <c r="F133" s="394" t="n">
        <v>9331.690000000001</v>
      </c>
      <c r="G133" s="394" t="n">
        <v>5574.76</v>
      </c>
      <c r="H133" s="394" t="n">
        <v>184.63</v>
      </c>
      <c r="I133" s="394" t="n">
        <v>175.15</v>
      </c>
      <c r="J133" s="394" t="n">
        <v>3397.15</v>
      </c>
      <c r="K133" s="389" t="n">
        <v>3408.35</v>
      </c>
      <c r="L133" s="389" t="n">
        <v>422.14</v>
      </c>
      <c r="M133" s="389">
        <f>K133-L133</f>
        <v/>
      </c>
      <c r="N133" s="389">
        <f>SUM(G133,H133,I133,M133)</f>
        <v/>
      </c>
      <c r="O133" s="114" t="n"/>
    </row>
    <row r="134" customFormat="1" s="94">
      <c r="A134" s="11" t="inlineStr">
        <is>
          <t>Mar 02 - Mar 08 2026</t>
        </is>
      </c>
      <c r="B134" s="389" t="n">
        <v>8392.029999999999</v>
      </c>
      <c r="C134" s="398">
        <f>(B134*0.06)*1.13</f>
        <v/>
      </c>
      <c r="D134" s="398">
        <f>(B134*0.02)*1.13</f>
        <v/>
      </c>
      <c r="E134" s="2" t="inlineStr">
        <is>
          <t>268</t>
        </is>
      </c>
      <c r="F134" s="394" t="n">
        <v>8616.99</v>
      </c>
      <c r="G134" s="394" t="n">
        <v>5007.74</v>
      </c>
      <c r="H134" s="394" t="n">
        <v>223.41</v>
      </c>
      <c r="I134" s="394" t="n">
        <v>24</v>
      </c>
      <c r="J134" s="394" t="n">
        <v>3361.84</v>
      </c>
      <c r="K134" s="389" t="n">
        <v>3519.41</v>
      </c>
      <c r="L134" s="389" t="n">
        <v>382.53</v>
      </c>
      <c r="M134" s="389">
        <f>K134-L134</f>
        <v/>
      </c>
      <c r="N134" s="389">
        <f>SUM(G134,H134,I134,M134)</f>
        <v/>
      </c>
      <c r="O134" s="114" t="n"/>
    </row>
    <row r="135" customFormat="1" s="94">
      <c r="A135" s="11" t="inlineStr">
        <is>
          <t>Mar 09 - Mar 15 2026</t>
        </is>
      </c>
      <c r="B135" s="389" t="n">
        <v>8820.769999999999</v>
      </c>
      <c r="C135" s="398">
        <f>(B135*0.06)*1.13</f>
        <v/>
      </c>
      <c r="D135" s="398">
        <f>(B135*0.02)*1.13</f>
        <v/>
      </c>
      <c r="E135" s="118" t="inlineStr">
        <is>
          <t>281</t>
        </is>
      </c>
      <c r="F135" s="394" t="n">
        <v>8989.169999999998</v>
      </c>
      <c r="G135" s="394" t="n">
        <v>5337.28</v>
      </c>
      <c r="H135" s="394" t="n">
        <v>58.19</v>
      </c>
      <c r="I135" s="394" t="n">
        <v>176.36</v>
      </c>
      <c r="J135" s="394" t="n">
        <v>3417.34</v>
      </c>
      <c r="K135" s="383" t="n">
        <v>3342.85</v>
      </c>
      <c r="L135" s="383" t="n">
        <v>93.91</v>
      </c>
      <c r="M135" s="389">
        <f>K135-L135</f>
        <v/>
      </c>
      <c r="N135" s="389">
        <f>SUM(G135,H135,I135,M135)</f>
        <v/>
      </c>
      <c r="O135" s="114" t="n"/>
    </row>
    <row r="136" customFormat="1" s="94">
      <c r="A136" s="11" t="inlineStr">
        <is>
          <t>Mar 16 - Mar 22 2026</t>
        </is>
      </c>
      <c r="B136" s="389" t="n">
        <v>10355.46</v>
      </c>
      <c r="C136" s="398">
        <f>(B136*0.06)*1.13</f>
        <v/>
      </c>
      <c r="D136" s="398">
        <f>(B136*0.02)*1.13</f>
        <v/>
      </c>
      <c r="E136" s="2" t="inlineStr">
        <is>
          <t>322</t>
        </is>
      </c>
      <c r="F136" s="394" t="n">
        <v>10582.2</v>
      </c>
      <c r="G136" s="394" t="n">
        <v>7016.6</v>
      </c>
      <c r="H136" s="394" t="n">
        <v>251.72</v>
      </c>
      <c r="I136" s="394" t="n">
        <v>123.19</v>
      </c>
      <c r="J136" s="394" t="n">
        <v>3190.69</v>
      </c>
      <c r="K136" s="312" t="n">
        <v>3211.45</v>
      </c>
      <c r="L136" s="118" t="n">
        <v>247.5</v>
      </c>
      <c r="M136" s="389">
        <f>K136-L136</f>
        <v/>
      </c>
      <c r="N136" s="389">
        <f>SUM(G136,H136,I136,M136)</f>
        <v/>
      </c>
      <c r="O136" s="114" t="n"/>
    </row>
    <row r="137" customFormat="1" s="94">
      <c r="A137" s="11" t="inlineStr">
        <is>
          <t>Mar 23 - Mar 29 2026</t>
        </is>
      </c>
      <c r="B137" s="389" t="n">
        <v>9315.370000000001</v>
      </c>
      <c r="C137" s="398">
        <f>(B137*0.06)*1.13</f>
        <v/>
      </c>
      <c r="D137" s="398">
        <f>(B137*0.02)*1.13</f>
        <v/>
      </c>
      <c r="E137" s="2" t="inlineStr">
        <is>
          <t>283</t>
        </is>
      </c>
      <c r="F137" s="394" t="n">
        <v>9586.66</v>
      </c>
      <c r="G137" s="394" t="n">
        <v>6457.85</v>
      </c>
      <c r="H137" s="394" t="n">
        <v>118.8</v>
      </c>
      <c r="I137" s="394" t="n">
        <v>0</v>
      </c>
      <c r="J137" s="394" t="n">
        <v>3010.01</v>
      </c>
      <c r="K137" s="383" t="n">
        <v>3123.86</v>
      </c>
      <c r="L137" s="383" t="n">
        <v>385.14</v>
      </c>
      <c r="M137" s="389">
        <f>K137-L137</f>
        <v/>
      </c>
      <c r="N137" s="389">
        <f>SUM(G137,H137,I137,M137)</f>
        <v/>
      </c>
      <c r="O137" s="114" t="n"/>
    </row>
    <row r="138" customFormat="1" s="94">
      <c r="A138" s="11" t="inlineStr">
        <is>
          <t>Mar 30 - Apr 05 2026</t>
        </is>
      </c>
      <c r="B138" s="389" t="n">
        <v>10351.65</v>
      </c>
      <c r="C138" s="398">
        <f>(B138*0.06)*1.13</f>
        <v/>
      </c>
      <c r="D138" s="398">
        <f>(B138*0.02)*1.13</f>
        <v/>
      </c>
      <c r="E138" s="2" t="inlineStr">
        <is>
          <t>318</t>
        </is>
      </c>
      <c r="F138" s="394" t="n">
        <v>10746.48</v>
      </c>
      <c r="G138" s="394" t="n">
        <v>6662.88</v>
      </c>
      <c r="H138" s="394" t="n">
        <v>26.39</v>
      </c>
      <c r="I138" s="394" t="n">
        <v>115.19</v>
      </c>
      <c r="J138" s="394" t="n">
        <v>3942.02</v>
      </c>
      <c r="K138" s="389" t="n">
        <v>4018.01</v>
      </c>
      <c r="L138" s="389" t="n">
        <v>470.82</v>
      </c>
      <c r="M138" s="389">
        <f>K138-L138</f>
        <v/>
      </c>
      <c r="N138" s="389">
        <f>SUM(G138,H138,I138,M138)</f>
        <v/>
      </c>
      <c r="O138" s="114" t="n"/>
    </row>
    <row r="139" customFormat="1" s="94">
      <c r="A139" s="2" t="inlineStr">
        <is>
          <t>Apr 06 - Apr 12</t>
        </is>
      </c>
      <c r="B139" s="389" t="n">
        <v>9459.860000000001</v>
      </c>
      <c r="C139" s="398">
        <f>(B139*0.06)*1.13</f>
        <v/>
      </c>
      <c r="D139" s="398">
        <f>(B139*0.02)*1.13</f>
        <v/>
      </c>
      <c r="E139" s="118" t="inlineStr">
        <is>
          <t>308</t>
        </is>
      </c>
      <c r="F139" s="401" t="n">
        <v>9898.67</v>
      </c>
      <c r="G139" s="401" t="n">
        <v>5874.89</v>
      </c>
      <c r="H139" s="401" t="n">
        <v>0</v>
      </c>
      <c r="I139" s="401" t="n">
        <v>0</v>
      </c>
      <c r="J139" s="401" t="n">
        <v>4023.78</v>
      </c>
      <c r="K139" s="383" t="n">
        <v>4052.05</v>
      </c>
      <c r="L139" s="383" t="n">
        <v>467.08</v>
      </c>
      <c r="M139" s="389">
        <f>K139-L139</f>
        <v/>
      </c>
      <c r="N139" s="389">
        <f>SUM(G139,H139,I139,M139)</f>
        <v/>
      </c>
      <c r="O139" s="114" t="n"/>
    </row>
    <row r="140" customFormat="1" s="94">
      <c r="A140" s="325" t="inlineStr">
        <is>
          <t>Apr 13 - Apr 19</t>
        </is>
      </c>
      <c r="B140" s="389" t="n">
        <v>10085.15</v>
      </c>
      <c r="C140" s="398">
        <f>(B140*0.06)*1.13</f>
        <v/>
      </c>
      <c r="D140" s="398">
        <f>(B140*0.02)*1.13</f>
        <v/>
      </c>
      <c r="E140" s="2" t="n">
        <v>299</v>
      </c>
      <c r="F140" s="402" t="n">
        <v>10476.81</v>
      </c>
      <c r="G140" s="402" t="n">
        <v>5731.32</v>
      </c>
      <c r="H140" s="402" t="n">
        <v>82.84</v>
      </c>
      <c r="I140" s="402" t="n">
        <v>0</v>
      </c>
      <c r="J140" s="402" t="n">
        <v>4662.65</v>
      </c>
      <c r="K140" s="383" t="n">
        <v>4735.03</v>
      </c>
      <c r="L140" s="383" t="n">
        <v>464.04</v>
      </c>
      <c r="M140" s="389">
        <f>K140-L140</f>
        <v/>
      </c>
      <c r="N140" s="389">
        <f>SUM(G140,H140,I140,M140)</f>
        <v/>
      </c>
      <c r="O140" s="114" t="n"/>
    </row>
    <row r="141" customFormat="1" s="94">
      <c r="A141" s="11" t="inlineStr">
        <is>
          <t>Apr 20 - Apr 26</t>
        </is>
      </c>
      <c r="B141" s="389" t="n">
        <v>9520.02</v>
      </c>
      <c r="C141" s="398">
        <f>(B141*0.06)*1.13</f>
        <v/>
      </c>
      <c r="D141" s="398">
        <f>(B141*0.02)*1.13</f>
        <v/>
      </c>
      <c r="E141" s="118" t="inlineStr">
        <is>
          <t>304</t>
        </is>
      </c>
      <c r="F141" s="402" t="n">
        <v>9878.15</v>
      </c>
      <c r="G141" s="402" t="n">
        <v>6130.55</v>
      </c>
      <c r="H141" s="402" t="n">
        <v>0</v>
      </c>
      <c r="I141" s="402" t="n">
        <v>107.29</v>
      </c>
      <c r="J141" s="402" t="n">
        <v>3640.31</v>
      </c>
      <c r="K141" s="383" t="n">
        <v>3600.82</v>
      </c>
      <c r="L141" s="383" t="n">
        <v>318.64</v>
      </c>
      <c r="M141" s="389">
        <f>K141-L141</f>
        <v/>
      </c>
      <c r="N141" s="389">
        <f>SUM(G141,H141,I141,M141)</f>
        <v/>
      </c>
      <c r="O141" s="114" t="n"/>
    </row>
    <row r="142" ht="14.4" customFormat="1" customHeight="1" s="94">
      <c r="A142" s="394" t="inlineStr">
        <is>
          <t>Apr 27 - May 03</t>
        </is>
      </c>
      <c r="B142" s="389" t="n">
        <v>9642.91</v>
      </c>
      <c r="C142" s="398">
        <f>(B142*0.06)*1.13</f>
        <v/>
      </c>
      <c r="D142" s="398">
        <f>(B142*0.02)*1.13</f>
        <v/>
      </c>
      <c r="E142" s="2" t="inlineStr">
        <is>
          <t>281</t>
        </is>
      </c>
      <c r="F142" s="2" t="n">
        <v>9713.310000000001</v>
      </c>
      <c r="G142" s="391" t="n">
        <v>6648.1</v>
      </c>
      <c r="H142" s="391" t="n">
        <v>67.66</v>
      </c>
      <c r="I142" s="391" t="n">
        <v>112.8</v>
      </c>
      <c r="J142" t="n">
        <v>2884.75</v>
      </c>
      <c r="K142" s="339" t="inlineStr">
        <is>
          <t>$2,894.45</t>
        </is>
      </c>
      <c r="L142" s="339" t="inlineStr">
        <is>
          <t>$80.10</t>
        </is>
      </c>
      <c r="M142" s="389">
        <f>K142-L142</f>
        <v/>
      </c>
      <c r="N142" s="389">
        <f>SUM(G142,H142,I142,M142)</f>
        <v/>
      </c>
      <c r="S142" s="69" t="n"/>
    </row>
    <row r="143" ht="14.4" customFormat="1" customHeight="1" s="94">
      <c r="A143" s="471" t="inlineStr">
        <is>
          <t>May 4 - May 10</t>
        </is>
      </c>
      <c r="B143" s="472" t="n">
        <v>9248.879999999999</v>
      </c>
      <c r="C143" s="398">
        <f>(B143*0.06)*1.13</f>
        <v/>
      </c>
      <c r="D143" s="398">
        <f>(B143*0.02)*1.13</f>
        <v/>
      </c>
      <c r="E143" s="2" t="n">
        <v>304</v>
      </c>
      <c r="F143" s="2" t="n">
        <v>9323.24</v>
      </c>
      <c r="G143" s="544" t="n">
        <v>6234.72</v>
      </c>
      <c r="H143" s="544" t="n">
        <v>87.44</v>
      </c>
      <c r="I143" s="544" t="n">
        <v>82.75</v>
      </c>
      <c r="J143" t="n">
        <v>2918.33</v>
      </c>
      <c r="K143" s="406" t="n">
        <v>2843.97</v>
      </c>
      <c r="L143" s="94" t="n">
        <v>0</v>
      </c>
      <c r="M143" s="389">
        <f>K143-L143</f>
        <v/>
      </c>
      <c r="N143" s="389">
        <f>SUM(G143,H143,I143,M143)</f>
        <v/>
      </c>
      <c r="S143" s="69" t="n"/>
    </row>
    <row r="144" ht="14.4" customFormat="1" customHeight="1" s="94">
      <c r="A144" s="471" t="inlineStr">
        <is>
          <t>May 11 - May 17</t>
        </is>
      </c>
      <c r="B144" s="472" t="n"/>
      <c r="C144" s="398" t="n"/>
      <c r="D144" s="398" t="n"/>
      <c r="E144" s="2" t="n">
        <v>288</v>
      </c>
      <c r="F144" s="2" t="n">
        <v>9696.33</v>
      </c>
      <c r="G144" s="544" t="n">
        <v>6451.75</v>
      </c>
      <c r="H144" s="544" t="n">
        <v>0</v>
      </c>
      <c r="I144" s="544" t="n">
        <v>52.77</v>
      </c>
      <c r="J144" t="n">
        <v>3191.81</v>
      </c>
      <c r="K144" s="406" t="n"/>
      <c r="L144" s="94" t="n"/>
      <c r="M144" s="472" t="n"/>
      <c r="N144" s="472" t="n"/>
      <c r="S144" s="69" t="n"/>
    </row>
    <row r="145" ht="27.6" customFormat="1" customHeight="1" s="362">
      <c r="A145" s="471" t="n"/>
      <c r="B145" s="472" t="n"/>
      <c r="C145" s="398" t="n"/>
      <c r="D145" s="398" t="n"/>
      <c r="E145" s="2" t="n"/>
      <c r="F145" s="2" t="n"/>
      <c r="G145" s="544" t="n"/>
      <c r="H145" s="544" t="n"/>
      <c r="I145" s="544" t="n"/>
      <c r="K145" s="406" t="n"/>
      <c r="L145" s="94" t="n"/>
      <c r="M145" s="472" t="n"/>
      <c r="N145" s="472" t="n"/>
      <c r="S145" s="69" t="n"/>
    </row>
    <row r="146" ht="27.6" customHeight="1">
      <c r="A146" s="474" t="inlineStr">
        <is>
          <t>May 11 - May 17</t>
        </is>
      </c>
      <c r="B146" s="545" t="n">
        <v>8663.619999999999</v>
      </c>
      <c r="C146" s="398">
        <f>(B144*0.06)*1.13</f>
        <v/>
      </c>
      <c r="D146" s="398">
        <f>(B144*0.02)*1.13</f>
        <v/>
      </c>
      <c r="E146" s="2" t="n">
        <v>285</v>
      </c>
      <c r="F146" s="2" t="n">
        <v>8601.27</v>
      </c>
      <c r="G146" s="544" t="n">
        <v>6074.67</v>
      </c>
      <c r="H146" s="544" t="n">
        <v>13.19</v>
      </c>
      <c r="I146" s="544" t="n">
        <v>42.59</v>
      </c>
      <c r="J146" t="n">
        <v>2470.82</v>
      </c>
      <c r="K146" s="406" t="n">
        <v>2533.17</v>
      </c>
      <c r="L146" s="94" t="n">
        <v>0</v>
      </c>
      <c r="M146" s="472">
        <f>K144-L144</f>
        <v/>
      </c>
      <c r="N146" s="472">
        <f>SUM(G144,H144,I144,M144)</f>
        <v/>
      </c>
      <c r="S146" s="69" t="n"/>
    </row>
    <row r="147" ht="27.6" customHeight="1">
      <c r="A147" s="474" t="inlineStr">
        <is>
          <t>May 18 - May 24</t>
        </is>
      </c>
      <c r="B147" s="545" t="n">
        <v>8852.700000000001</v>
      </c>
      <c r="C147" s="398">
        <f>(B145*0.06)*1.13</f>
        <v/>
      </c>
      <c r="D147" s="398">
        <f>(B145*0.02)*1.13</f>
        <v/>
      </c>
      <c r="E147" s="2" t="n">
        <v>276</v>
      </c>
      <c r="F147" s="2" t="n">
        <v>8823.92</v>
      </c>
      <c r="G147" s="544" t="n">
        <v>6276.01</v>
      </c>
      <c r="H147" s="544" t="n">
        <v>81.04000000000001</v>
      </c>
      <c r="I147" s="544" t="n">
        <v>69.38</v>
      </c>
      <c r="J147" t="n">
        <v>2397.49</v>
      </c>
      <c r="K147" s="406" t="n">
        <v>2426.27</v>
      </c>
      <c r="L147" s="94" t="n">
        <v>0</v>
      </c>
      <c r="M147" s="472">
        <f>K145-L145</f>
        <v/>
      </c>
      <c r="N147" s="472">
        <f>SUM(G145,H145,I145,M145)</f>
        <v/>
      </c>
      <c r="S147" s="69" t="n"/>
    </row>
    <row r="148" ht="27.6" customHeight="1">
      <c r="A148" s="474" t="inlineStr">
        <is>
          <t>May 25 - May 31</t>
        </is>
      </c>
      <c r="B148" s="545" t="n"/>
      <c r="C148" s="398" t="n"/>
      <c r="D148" s="398" t="n"/>
      <c r="E148" s="2" t="n">
        <v>288</v>
      </c>
      <c r="F148" s="2" t="n">
        <v>9696.33</v>
      </c>
      <c r="G148" s="544" t="n">
        <v>6451.75</v>
      </c>
      <c r="H148" s="544" t="n">
        <v>0</v>
      </c>
      <c r="I148" s="544" t="n">
        <v>52.77</v>
      </c>
      <c r="J148" t="n">
        <v>3191.81</v>
      </c>
      <c r="K148" s="406" t="n"/>
      <c r="L148" s="94" t="n"/>
      <c r="M148" s="472" t="n"/>
      <c r="N148" s="472" t="n"/>
      <c r="S148" s="69" t="n"/>
    </row>
    <row r="149">
      <c r="A149" s="474" t="n"/>
      <c r="B149" s="545" t="n"/>
      <c r="C149" s="398" t="n"/>
      <c r="D149" s="398" t="n"/>
      <c r="E149" s="2" t="n"/>
      <c r="F149" s="2" t="n"/>
      <c r="G149" s="544" t="n"/>
      <c r="H149" s="544" t="n"/>
      <c r="I149" s="544" t="n"/>
      <c r="J149" s="118" t="n"/>
      <c r="K149" s="406" t="n"/>
      <c r="L149" s="94" t="n"/>
      <c r="M149" s="472" t="n"/>
      <c r="N149" s="472" t="n"/>
      <c r="O149" s="114" t="n"/>
      <c r="S149" s="69" t="n"/>
    </row>
    <row r="150">
      <c r="A150" s="315" t="inlineStr">
        <is>
          <t>Markham</t>
        </is>
      </c>
      <c r="B150" s="358" t="n"/>
      <c r="C150" s="358" t="n"/>
      <c r="D150" s="355" t="n"/>
      <c r="E150" s="315" t="n"/>
      <c r="F150" s="315" t="n"/>
      <c r="G150" s="118" t="n"/>
      <c r="H150" s="118" t="n"/>
      <c r="I150" s="11" t="n"/>
      <c r="J150" s="118" t="n"/>
      <c r="K150" s="118" t="n"/>
      <c r="L150" s="118" t="n"/>
      <c r="M150" s="118" t="n"/>
      <c r="N150" s="118" t="n"/>
      <c r="O150" s="114" t="n"/>
    </row>
    <row r="151">
      <c r="A151" s="316" t="inlineStr">
        <is>
          <t>Statement For Selected Period</t>
        </is>
      </c>
      <c r="B151" s="316" t="inlineStr">
        <is>
          <t>Total Revenue (Net Sales)</t>
        </is>
      </c>
      <c r="C151" s="316" t="inlineStr">
        <is>
          <t>Royalties
(6%) +HST</t>
        </is>
      </c>
      <c r="D151" s="316" t="inlineStr">
        <is>
          <t>Marketing
(2%) +HST</t>
        </is>
      </c>
      <c r="E151" s="316" t="n"/>
      <c r="F151" s="316" t="n"/>
      <c r="G151" s="170" t="n"/>
      <c r="H151" s="170" t="n"/>
      <c r="I151" s="170" t="n"/>
      <c r="J151" s="170" t="n"/>
      <c r="K151" s="364" t="n"/>
      <c r="L151" s="364" t="n"/>
      <c r="M151" s="364" t="n"/>
      <c r="N151" s="364" t="n"/>
      <c r="O151" s="193" t="n"/>
    </row>
    <row r="152">
      <c r="A152" s="11" t="inlineStr">
        <is>
          <t>Mar 09 - Mar 15 2026</t>
        </is>
      </c>
      <c r="B152" s="389" t="n">
        <v>8820.769999999999</v>
      </c>
      <c r="C152" s="398">
        <f>(B146*0.06)*1.13</f>
        <v/>
      </c>
      <c r="D152" s="398">
        <f>(B146*0.02)*1.13</f>
        <v/>
      </c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</row>
    <row r="153">
      <c r="A153" s="11" t="inlineStr">
        <is>
          <t>Mar 16 - Mar 22 2026</t>
        </is>
      </c>
      <c r="B153" s="389" t="n">
        <v>10355.46</v>
      </c>
      <c r="C153" s="398">
        <f>(B147*0.06)*1.13</f>
        <v/>
      </c>
      <c r="D153" s="398">
        <f>(B147*0.02)*1.13</f>
        <v/>
      </c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</row>
    <row r="154">
      <c r="A154" s="11" t="inlineStr">
        <is>
          <t>Mar 23 - Mar 29 2026</t>
        </is>
      </c>
      <c r="B154" s="389" t="n">
        <v>9315.370000000001</v>
      </c>
      <c r="C154" s="398">
        <f>(B148*0.06)*1.13</f>
        <v/>
      </c>
      <c r="D154" s="398">
        <f>(B148*0.02)*1.13</f>
        <v/>
      </c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</row>
    <row r="155">
      <c r="A155" s="11" t="inlineStr">
        <is>
          <t>Mar 30 - Apr 05 2026</t>
        </is>
      </c>
      <c r="B155" s="389" t="n">
        <v>10351.65</v>
      </c>
      <c r="C155" s="398">
        <f>(B149*0.06)*1.13</f>
        <v/>
      </c>
      <c r="D155" s="398">
        <f>(B149*0.02)*1.13</f>
        <v/>
      </c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</row>
    <row r="156">
      <c r="A156" s="2" t="inlineStr">
        <is>
          <t>Apr 06 - Apr 12</t>
        </is>
      </c>
      <c r="B156" s="389" t="n">
        <v>9459.860000000001</v>
      </c>
      <c r="C156" s="398">
        <f>(B150*0.06)*1.13</f>
        <v/>
      </c>
      <c r="D156" s="398">
        <f>(B150*0.02)*1.13</f>
        <v/>
      </c>
    </row>
    <row r="157">
      <c r="A157" s="325" t="inlineStr">
        <is>
          <t>Apr 13 - Apr 19</t>
        </is>
      </c>
      <c r="B157" s="389" t="n">
        <v>10085.15</v>
      </c>
      <c r="C157" s="398">
        <f>(B151*0.06)*1.13</f>
        <v/>
      </c>
      <c r="D157" s="398">
        <f>(B151*0.02)*1.13</f>
        <v/>
      </c>
    </row>
    <row r="158">
      <c r="A158" s="11" t="inlineStr">
        <is>
          <t>Apr 20 - Apr 26</t>
        </is>
      </c>
      <c r="B158" s="389" t="n">
        <v>9520.02</v>
      </c>
      <c r="C158" s="398">
        <f>(B152*0.06)*1.13</f>
        <v/>
      </c>
      <c r="D158" s="398">
        <f>(B152*0.02)*1.13</f>
        <v/>
      </c>
    </row>
    <row r="159">
      <c r="A159" s="394" t="inlineStr">
        <is>
          <t>Apr 27 - May 03</t>
        </is>
      </c>
      <c r="B159" s="389" t="n">
        <v>9642.91</v>
      </c>
      <c r="C159" s="398">
        <f>(B154*0.06)*1.13</f>
        <v/>
      </c>
      <c r="D159" s="398">
        <f>(B154*0.02)*1.13</f>
        <v/>
      </c>
    </row>
    <row r="160">
      <c r="A160" s="471" t="inlineStr">
        <is>
          <t>May 4 - May 10</t>
        </is>
      </c>
      <c r="B160" s="472" t="n">
        <v>9248.879999999999</v>
      </c>
      <c r="C160" s="398">
        <f>(B155*0.06)*1.13</f>
        <v/>
      </c>
      <c r="D160" s="398">
        <f>(B155*0.02)*1.13</f>
        <v/>
      </c>
    </row>
    <row r="161">
      <c r="A161" s="474" t="inlineStr">
        <is>
          <t>May 11 - May 17</t>
        </is>
      </c>
      <c r="B161" s="545" t="n">
        <v>8663.619999999999</v>
      </c>
      <c r="C161" s="398">
        <f>(B157*0.06)*1.13</f>
        <v/>
      </c>
      <c r="D161" s="398">
        <f>(B157*0.02)*1.13</f>
        <v/>
      </c>
    </row>
    <row r="162">
      <c r="A162" s="474" t="inlineStr">
        <is>
          <t>May 18 - May 24</t>
        </is>
      </c>
      <c r="B162" s="545" t="n">
        <v>8852.700000000001</v>
      </c>
      <c r="C162" s="398" t="n">
        <v>600.2130599999999</v>
      </c>
      <c r="D162" s="398" t="n">
        <v>200.07102</v>
      </c>
    </row>
    <row r="163">
      <c r="A163" s="474" t="n"/>
      <c r="B163" s="545" t="n"/>
      <c r="C163" s="398" t="n"/>
      <c r="D163" s="398" t="n"/>
    </row>
    <row r="164">
      <c r="A164" s="474" t="n"/>
      <c r="B164" s="545" t="n"/>
      <c r="C164" s="398" t="n"/>
      <c r="D164" s="398" t="n"/>
    </row>
    <row r="165">
      <c r="A165" s="474" t="n"/>
      <c r="B165" s="545" t="n"/>
      <c r="C165" s="398" t="n"/>
      <c r="D165" s="398" t="n"/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28"/>
  <sheetViews>
    <sheetView topLeftCell="A14" workbookViewId="0">
      <pane ySplit="7" topLeftCell="A105" activePane="bottomLeft" state="frozen"/>
      <selection activeCell="A14" sqref="A14"/>
      <selection pane="bottomLeft" activeCell="H115" sqref="H115"/>
    </sheetView>
  </sheetViews>
  <sheetFormatPr baseColWidth="8" defaultColWidth="9.109375" defaultRowHeight="14.4"/>
  <cols>
    <col width="31.109375" customWidth="1" style="382" min="1" max="1"/>
    <col width="16.5546875" customWidth="1" style="382" min="2" max="2"/>
    <col width="16.88671875" customWidth="1" style="382" min="3" max="3"/>
    <col width="16" customWidth="1" style="382" min="4" max="6"/>
    <col width="18.109375" customWidth="1" style="382" min="7" max="7"/>
    <col width="26.6640625" customWidth="1" style="56" min="8" max="8"/>
    <col width="17.6640625" customWidth="1" style="56" min="9" max="9"/>
    <col width="24.88671875" customWidth="1" style="56" min="10" max="10"/>
    <col width="21" customWidth="1" style="56" min="11" max="11"/>
    <col width="20.88671875" customWidth="1" style="56" min="12" max="14"/>
    <col width="16.6640625" customWidth="1" style="56" min="15" max="15"/>
    <col width="18.44140625" customWidth="1" style="56" min="16" max="16"/>
    <col width="9.109375" customWidth="1" style="56" min="17" max="22"/>
    <col width="9.109375" customWidth="1" style="68" min="23" max="25"/>
    <col width="9.109375" customWidth="1" style="68" min="26" max="16384"/>
  </cols>
  <sheetData>
    <row r="1">
      <c r="A1" s="546" t="inlineStr">
        <is>
          <t>Wonderland</t>
        </is>
      </c>
      <c r="B1" s="358" t="n"/>
      <c r="C1" s="358" t="n"/>
      <c r="D1" s="355" t="n"/>
      <c r="E1" s="546" t="n"/>
      <c r="F1" s="546" t="n"/>
    </row>
    <row r="2" ht="41.4" customHeight="1">
      <c r="A2" s="547" t="inlineStr">
        <is>
          <t>Statement For Selected Period</t>
        </is>
      </c>
      <c r="B2" s="415" t="inlineStr">
        <is>
          <t>Total Revenue (Net Sales)</t>
        </is>
      </c>
      <c r="C2" s="415" t="inlineStr">
        <is>
          <t>Royalties
(6%)</t>
        </is>
      </c>
      <c r="D2" s="415" t="inlineStr">
        <is>
          <t>Marketing
(2%)</t>
        </is>
      </c>
      <c r="E2" s="415" t="n"/>
      <c r="F2" s="415" t="n"/>
    </row>
    <row r="3">
      <c r="A3" s="418" t="inlineStr">
        <is>
          <t>Aug 12 - Aug 18 2024</t>
        </is>
      </c>
      <c r="B3" s="394" t="n">
        <v>2155.81</v>
      </c>
      <c r="C3" s="399">
        <f>(B3*0.06)*1.13</f>
        <v/>
      </c>
      <c r="D3" s="399">
        <f>(B3*0.02)*1.13</f>
        <v/>
      </c>
      <c r="E3" s="399" t="n"/>
      <c r="F3" s="399" t="n"/>
    </row>
    <row r="4">
      <c r="A4" s="418" t="inlineStr">
        <is>
          <t>Aug 19 - Aug 25 2024</t>
        </is>
      </c>
      <c r="B4" s="394" t="n">
        <v>8077.84</v>
      </c>
      <c r="C4" s="399">
        <f>(B4*0.06)*1.13</f>
        <v/>
      </c>
      <c r="D4" s="399">
        <f>(B4*0.02)*1.13</f>
        <v/>
      </c>
      <c r="E4" s="399" t="n"/>
      <c r="F4" s="399" t="n"/>
    </row>
    <row r="5">
      <c r="A5" s="418" t="inlineStr">
        <is>
          <t>Aug 26 - Sep 01 2024</t>
        </is>
      </c>
      <c r="B5" s="394" t="n">
        <v>11929.59</v>
      </c>
      <c r="C5" s="399">
        <f>(B5*0.06)*1.13</f>
        <v/>
      </c>
      <c r="D5" s="399">
        <f>(B5*0.02)*1.13</f>
        <v/>
      </c>
      <c r="E5" s="399" t="n"/>
      <c r="F5" s="399" t="n"/>
    </row>
    <row r="6">
      <c r="A6" s="418" t="inlineStr">
        <is>
          <t>Sep 02 - Sep 08 2024</t>
        </is>
      </c>
      <c r="B6" s="394" t="n">
        <v>8374.32</v>
      </c>
      <c r="C6" s="399">
        <f>(B6*0.06)*1.13</f>
        <v/>
      </c>
      <c r="D6" s="399">
        <f>(B6*0.02)*1.13</f>
        <v/>
      </c>
      <c r="E6" s="399" t="n"/>
      <c r="F6" s="399" t="n"/>
    </row>
    <row r="7">
      <c r="A7" s="418" t="inlineStr">
        <is>
          <t>Sep 09 - Sep 15 2024</t>
        </is>
      </c>
      <c r="B7" s="394" t="n">
        <v>8953.43</v>
      </c>
      <c r="C7" s="399">
        <f>(B7*0.06)*1.13</f>
        <v/>
      </c>
      <c r="D7" s="399">
        <f>(B7*0.02)*1.13</f>
        <v/>
      </c>
      <c r="E7" s="399" t="n"/>
      <c r="F7" s="399" t="n"/>
    </row>
    <row r="8">
      <c r="A8" s="418" t="inlineStr">
        <is>
          <t>Sep 16 - Sep 22 2024</t>
        </is>
      </c>
      <c r="B8" s="394" t="n">
        <v>9370.370000000001</v>
      </c>
      <c r="C8" s="399">
        <f>(B8*0.06)*1.13</f>
        <v/>
      </c>
      <c r="D8" s="399">
        <f>(B8*0.02)*1.13</f>
        <v/>
      </c>
      <c r="E8" s="399" t="n"/>
      <c r="F8" s="399" t="n"/>
    </row>
    <row r="9">
      <c r="A9" s="418" t="inlineStr">
        <is>
          <t>Sep 23 - Sep 29 2024</t>
        </is>
      </c>
      <c r="B9" s="394" t="n">
        <v>11456.84</v>
      </c>
      <c r="C9" s="399">
        <f>(B9*0.06)*1.13</f>
        <v/>
      </c>
      <c r="D9" s="399">
        <f>(B9*0.02)*1.13</f>
        <v/>
      </c>
      <c r="E9" s="399" t="n"/>
      <c r="F9" s="399" t="n"/>
    </row>
    <row r="10">
      <c r="A10" s="418" t="inlineStr">
        <is>
          <t>Sep 30 - Oct 06 2024</t>
        </is>
      </c>
      <c r="B10" s="394" t="n">
        <v>11124.69</v>
      </c>
      <c r="C10" s="399">
        <f>(B10*0.06)*1.13</f>
        <v/>
      </c>
      <c r="D10" s="399">
        <f>(B10*0.02)*1.13</f>
        <v/>
      </c>
      <c r="E10" s="399" t="n"/>
      <c r="F10" s="399" t="n"/>
    </row>
    <row r="11">
      <c r="A11" s="418" t="inlineStr">
        <is>
          <t>Oct 07 - Oct 13 2024</t>
        </is>
      </c>
      <c r="B11" s="394" t="n">
        <v>9620.030000000001</v>
      </c>
      <c r="C11" s="399">
        <f>(B11*0.06)*1.13</f>
        <v/>
      </c>
      <c r="D11" s="399">
        <f>(B11*0.02)*1.13</f>
        <v/>
      </c>
      <c r="E11" s="399" t="n"/>
      <c r="F11" s="399" t="n"/>
    </row>
    <row r="12">
      <c r="A12" s="418" t="inlineStr">
        <is>
          <t>Oct 14 - Oct 20 2024</t>
        </is>
      </c>
      <c r="B12" s="394" t="n">
        <v>11409.59</v>
      </c>
      <c r="C12" s="399">
        <f>(B12*0.06)*1.13</f>
        <v/>
      </c>
      <c r="D12" s="399">
        <f>(B12*0.02)*1.13</f>
        <v/>
      </c>
      <c r="E12" s="399" t="n"/>
      <c r="F12" s="399" t="n"/>
    </row>
    <row r="13">
      <c r="A13" s="418" t="inlineStr">
        <is>
          <t>Oct 21 - Oct 27 2024</t>
        </is>
      </c>
      <c r="B13" s="394" t="n">
        <v>11377.48</v>
      </c>
      <c r="C13" s="399">
        <f>(B13*0.06)*1.13</f>
        <v/>
      </c>
      <c r="D13" s="399">
        <f>(B13*0.02)*1.13</f>
        <v/>
      </c>
      <c r="E13" s="399" t="n"/>
      <c r="F13" s="399" t="n"/>
    </row>
    <row r="14">
      <c r="A14" s="418" t="inlineStr">
        <is>
          <t>Oct 28 - Nov 03 2024</t>
        </is>
      </c>
      <c r="B14" s="394" t="n">
        <v>9556.77</v>
      </c>
      <c r="C14" s="399">
        <f>(B14*0.06)*1.13</f>
        <v/>
      </c>
      <c r="D14" s="399">
        <f>(B14*0.02)*1.13</f>
        <v/>
      </c>
      <c r="E14" s="399" t="n"/>
      <c r="F14" s="399" t="n"/>
      <c r="H14" s="118" t="n"/>
      <c r="I14" s="118" t="n"/>
      <c r="J14" s="389" t="n"/>
    </row>
    <row r="15">
      <c r="A15" s="418" t="inlineStr">
        <is>
          <t>Nov 4 - Nov 10 2024</t>
        </is>
      </c>
      <c r="B15" s="394" t="n">
        <v>7589.15</v>
      </c>
      <c r="C15" s="399">
        <f>(B15*0.06)*1.13</f>
        <v/>
      </c>
      <c r="D15" s="399">
        <f>(B15*0.02)*1.13</f>
        <v/>
      </c>
      <c r="E15" s="399" t="n"/>
      <c r="F15" s="399" t="n"/>
      <c r="H15" s="118" t="n"/>
      <c r="I15" s="118" t="n"/>
      <c r="J15" s="389" t="n"/>
    </row>
    <row r="16">
      <c r="A16" s="418" t="inlineStr">
        <is>
          <t>Nov 11 - Nov 17 2024</t>
        </is>
      </c>
      <c r="B16" s="394" t="n">
        <v>8252.9</v>
      </c>
      <c r="C16" s="399">
        <f>(B16*0.06)*1.13</f>
        <v/>
      </c>
      <c r="D16" s="399">
        <f>(B16*0.02)*1.13</f>
        <v/>
      </c>
      <c r="E16" s="399" t="n"/>
      <c r="F16" s="399" t="n"/>
      <c r="H16" s="118" t="n"/>
      <c r="I16" s="118" t="n"/>
      <c r="J16" s="389" t="n"/>
    </row>
    <row r="17">
      <c r="A17" s="418" t="inlineStr">
        <is>
          <t>Nov 18 - Nov 24 2024</t>
        </is>
      </c>
      <c r="B17" s="394" t="n">
        <v>7722.98</v>
      </c>
      <c r="C17" s="399">
        <f>(B17*0.06)*1.13</f>
        <v/>
      </c>
      <c r="D17" s="399">
        <f>(B17*0.02)*1.13</f>
        <v/>
      </c>
      <c r="E17" s="399" t="n"/>
      <c r="F17" s="399" t="n"/>
      <c r="J17" s="373" t="n"/>
    </row>
    <row r="18">
      <c r="A18" s="418" t="inlineStr">
        <is>
          <t>Nov 25 - Dec 01 2024</t>
        </is>
      </c>
      <c r="B18" s="394" t="n">
        <v>7986.97</v>
      </c>
      <c r="C18" s="399">
        <f>(B18*0.06)*1.13</f>
        <v/>
      </c>
      <c r="D18" s="399">
        <f>(B18*0.02)*1.13</f>
        <v/>
      </c>
      <c r="E18" s="399" t="n"/>
      <c r="F18" s="399" t="n"/>
    </row>
    <row r="19">
      <c r="A19" s="418" t="inlineStr">
        <is>
          <t>Dec 02 - Dec 08 2024</t>
        </is>
      </c>
      <c r="B19" s="394" t="n">
        <v>6573.21</v>
      </c>
      <c r="C19" s="399">
        <f>(B19*0.06)*1.13</f>
        <v/>
      </c>
      <c r="D19" s="399">
        <f>(B19*0.02)*1.13</f>
        <v/>
      </c>
      <c r="E19" s="399" t="n"/>
      <c r="F19" s="399" t="n"/>
    </row>
    <row r="20">
      <c r="A20" s="418" t="inlineStr">
        <is>
          <t>Dec 09 - Dec 15 2024</t>
        </is>
      </c>
      <c r="B20" s="394" t="n">
        <v>7432.33</v>
      </c>
      <c r="C20" s="399">
        <f>(B20*0.06)*1.13</f>
        <v/>
      </c>
      <c r="D20" s="399">
        <f>(B20*0.02)*1.13</f>
        <v/>
      </c>
      <c r="E20" s="399" t="inlineStr">
        <is>
          <t>Bill Count</t>
        </is>
      </c>
      <c r="F20" s="453" t="inlineStr">
        <is>
          <t>TB Total</t>
        </is>
      </c>
      <c r="G20" s="546" t="inlineStr">
        <is>
          <t>In Store</t>
        </is>
      </c>
      <c r="H20" s="364" t="inlineStr">
        <is>
          <t>Skip</t>
        </is>
      </c>
      <c r="I20" s="364" t="inlineStr">
        <is>
          <t>DD</t>
        </is>
      </c>
      <c r="J20" s="364" t="inlineStr">
        <is>
          <t>Uber TB</t>
        </is>
      </c>
      <c r="K20" s="364" t="inlineStr">
        <is>
          <t>Uber Website</t>
        </is>
      </c>
      <c r="L20" s="364" t="inlineStr">
        <is>
          <t>Marketing/Discount</t>
        </is>
      </c>
      <c r="M20" s="364" t="inlineStr">
        <is>
          <t>Smash Ox Rev</t>
        </is>
      </c>
      <c r="N20" s="364" t="inlineStr">
        <is>
          <t>Smash Ox Marketing</t>
        </is>
      </c>
      <c r="O20" s="364" t="inlineStr">
        <is>
          <t>Uber (After Discount)</t>
        </is>
      </c>
      <c r="P20" s="364" t="inlineStr">
        <is>
          <t>Total Revenue</t>
        </is>
      </c>
    </row>
    <row r="21">
      <c r="A21" s="418" t="inlineStr">
        <is>
          <t>Dec 16 - Dec 22 2024</t>
        </is>
      </c>
      <c r="B21" s="382" t="n">
        <v>7909.190000000001</v>
      </c>
      <c r="C21" s="399">
        <f>(B21*0.06)*1.13</f>
        <v/>
      </c>
      <c r="D21" s="399">
        <f>(B21*0.02)*1.13</f>
        <v/>
      </c>
      <c r="E21" s="399" t="n"/>
      <c r="F21" s="399" t="n"/>
      <c r="G21" s="394" t="n">
        <v>5772.68</v>
      </c>
      <c r="H21" s="389" t="n">
        <v>98.73999999999999</v>
      </c>
      <c r="I21" s="389" t="n">
        <v>163.2</v>
      </c>
      <c r="J21" s="389" t="n">
        <v>2815.1</v>
      </c>
      <c r="K21" s="389" t="n">
        <v>2815.1</v>
      </c>
      <c r="L21" s="389" t="n">
        <v>940.53</v>
      </c>
      <c r="M21" s="389" t="n"/>
      <c r="N21" s="389" t="n"/>
      <c r="O21" s="373">
        <f>K21-L21</f>
        <v/>
      </c>
      <c r="P21" s="373">
        <f>SUM(O21,I21,H21,G21)</f>
        <v/>
      </c>
    </row>
    <row r="22">
      <c r="A22" s="418" t="n"/>
      <c r="C22" s="399">
        <f>(B22*0.06)*1.13</f>
        <v/>
      </c>
      <c r="D22" s="399">
        <f>(B22*0.02)*1.13</f>
        <v/>
      </c>
      <c r="E22" s="399" t="n"/>
      <c r="F22" s="399" t="n"/>
      <c r="H22" s="11" t="n"/>
      <c r="J22" s="56" t="inlineStr">
        <is>
          <t>65 orders</t>
        </is>
      </c>
      <c r="K22" s="118" t="inlineStr">
        <is>
          <t>65 orders</t>
        </is>
      </c>
    </row>
    <row r="23">
      <c r="A23" s="418" t="inlineStr">
        <is>
          <t>Dec 23 - Dec 29 2024</t>
        </is>
      </c>
      <c r="B23" s="382" t="n">
        <v>11818.28</v>
      </c>
      <c r="C23" s="399">
        <f>(B23*0.06)*1.13</f>
        <v/>
      </c>
      <c r="D23" s="399">
        <f>(B23*0.02)*1.13</f>
        <v/>
      </c>
      <c r="E23" s="399" t="n"/>
      <c r="F23" s="399" t="n"/>
      <c r="G23" s="394" t="n">
        <v>8559.6</v>
      </c>
      <c r="H23" s="389" t="n">
        <v>22.8</v>
      </c>
      <c r="I23" s="389" t="n">
        <v>111.89</v>
      </c>
      <c r="J23" s="389" t="n">
        <v>4752.48</v>
      </c>
      <c r="K23" s="118" t="n">
        <v>4752.48</v>
      </c>
      <c r="L23" s="389">
        <f>1625.79+2.7</f>
        <v/>
      </c>
      <c r="M23" s="389" t="n"/>
      <c r="N23" s="389" t="n"/>
      <c r="O23" s="373">
        <f>K23-L23</f>
        <v/>
      </c>
      <c r="P23" s="373">
        <f>SUM(O23,I23,H23,G23)</f>
        <v/>
      </c>
    </row>
    <row r="24">
      <c r="A24" s="418" t="n"/>
      <c r="C24" s="399">
        <f>(B24*0.06)*1.13</f>
        <v/>
      </c>
      <c r="D24" s="399">
        <f>(B24*0.02)*1.13</f>
        <v/>
      </c>
      <c r="E24" s="399" t="n"/>
      <c r="F24" s="399" t="n"/>
      <c r="J24" s="11" t="inlineStr">
        <is>
          <t>98 orders</t>
        </is>
      </c>
      <c r="K24" s="118" t="inlineStr">
        <is>
          <t>98 orders</t>
        </is>
      </c>
    </row>
    <row r="25">
      <c r="A25" s="418" t="inlineStr">
        <is>
          <t>Dec 30 - Jan 05 2025</t>
        </is>
      </c>
      <c r="B25" s="394" t="n">
        <v>11433.7</v>
      </c>
      <c r="C25" s="399">
        <f>(B25*0.06)*1.13</f>
        <v/>
      </c>
      <c r="D25" s="399">
        <f>(B25*0.02)*1.13</f>
        <v/>
      </c>
      <c r="E25" s="399" t="n"/>
      <c r="F25" s="399" t="n"/>
      <c r="G25" s="382" t="n">
        <v>8336.799999999999</v>
      </c>
      <c r="H25" s="373" t="n">
        <v>133.19</v>
      </c>
      <c r="I25" s="373" t="n">
        <v>185.69</v>
      </c>
      <c r="J25" s="373" t="n">
        <v>4093.06</v>
      </c>
      <c r="K25" s="118" t="n">
        <v>4131.06</v>
      </c>
      <c r="L25" s="56">
        <f>1323.94+29.1</f>
        <v/>
      </c>
      <c r="O25" s="56">
        <f>K25-L25</f>
        <v/>
      </c>
      <c r="P25" s="373">
        <f>SUM(G25,H25,I25,O25)</f>
        <v/>
      </c>
    </row>
    <row r="26">
      <c r="A26" s="418" t="n"/>
      <c r="B26" s="394" t="n"/>
      <c r="C26" s="399">
        <f>(B26*0.06)*1.13</f>
        <v/>
      </c>
      <c r="D26" s="399">
        <f>(B26*0.02)*1.13</f>
        <v/>
      </c>
      <c r="E26" s="399" t="n"/>
      <c r="F26" s="399" t="n"/>
      <c r="J26" s="56" t="inlineStr">
        <is>
          <t>91 orders</t>
        </is>
      </c>
      <c r="K26" s="118" t="inlineStr">
        <is>
          <t>92 orders</t>
        </is>
      </c>
      <c r="P26" s="373" t="n"/>
    </row>
    <row r="27">
      <c r="A27" s="418" t="inlineStr">
        <is>
          <t>Jan 06 - Jan 12 2025</t>
        </is>
      </c>
      <c r="B27" s="382" t="n">
        <v>7060.74</v>
      </c>
      <c r="C27" s="399">
        <f>(B27*0.06)*1.13</f>
        <v/>
      </c>
      <c r="D27" s="399">
        <f>(B27*0.02)*1.13</f>
        <v/>
      </c>
      <c r="E27" s="399" t="n"/>
      <c r="F27" s="399" t="n"/>
      <c r="G27" s="382" t="n">
        <v>4933.67</v>
      </c>
      <c r="H27" s="373" t="n">
        <v>22.8</v>
      </c>
      <c r="I27" s="373" t="n">
        <v>125.37</v>
      </c>
      <c r="J27" s="141" t="n">
        <v>2770.9</v>
      </c>
      <c r="K27" s="141" t="n">
        <v>2770.9</v>
      </c>
      <c r="L27" s="390" t="n">
        <v>792</v>
      </c>
      <c r="M27" s="390" t="n"/>
      <c r="N27" s="390" t="n"/>
      <c r="O27" s="373">
        <f>K27-L27</f>
        <v/>
      </c>
      <c r="P27" s="373">
        <f>SUM(G27,H27,I27,O27)</f>
        <v/>
      </c>
    </row>
    <row r="28">
      <c r="A28" s="418" t="n"/>
      <c r="C28" s="399">
        <f>(B28*0.06)*1.13</f>
        <v/>
      </c>
      <c r="D28" s="399">
        <f>(B28*0.02)*1.13</f>
        <v/>
      </c>
      <c r="E28" s="399" t="n"/>
      <c r="F28" s="399" t="n"/>
      <c r="J28" s="56" t="n">
        <v>58</v>
      </c>
      <c r="K28" s="118" t="n">
        <v>58</v>
      </c>
      <c r="P28" s="373" t="n"/>
    </row>
    <row r="29">
      <c r="A29" s="418" t="inlineStr">
        <is>
          <t>Jan 13 - Jan 19 2025</t>
        </is>
      </c>
      <c r="B29" s="382" t="n">
        <v>9149.74</v>
      </c>
      <c r="C29" s="399">
        <f>(B29*0.06)*1.13</f>
        <v/>
      </c>
      <c r="D29" s="399">
        <f>(B29*0.02)*1.13</f>
        <v/>
      </c>
      <c r="E29" s="399" t="n"/>
      <c r="F29" s="399" t="n"/>
      <c r="G29" s="382" t="n">
        <v>6642.75</v>
      </c>
      <c r="H29" s="373" t="n">
        <v>78.40000000000001</v>
      </c>
      <c r="I29" s="373" t="n">
        <v>31.59</v>
      </c>
      <c r="J29" s="373" t="n">
        <v>2887.05</v>
      </c>
      <c r="K29" s="118" t="n">
        <v>3459</v>
      </c>
      <c r="L29" s="390" t="n">
        <v>1062</v>
      </c>
      <c r="M29" s="390" t="n"/>
      <c r="N29" s="390" t="n"/>
      <c r="O29" s="373">
        <f>K29-L29</f>
        <v/>
      </c>
      <c r="P29" s="373">
        <f>SUM(G29,H29,I29,O29)</f>
        <v/>
      </c>
    </row>
    <row r="30">
      <c r="A30" s="418" t="n"/>
      <c r="C30" s="399">
        <f>(B30*0.06)*1.13</f>
        <v/>
      </c>
      <c r="D30" s="399">
        <f>(B30*0.02)*1.13</f>
        <v/>
      </c>
      <c r="E30" s="399" t="n"/>
      <c r="F30" s="399" t="n"/>
      <c r="K30" s="118" t="n"/>
      <c r="O30" s="373" t="n"/>
      <c r="P30" s="373" t="n"/>
    </row>
    <row r="31">
      <c r="A31" s="418" t="inlineStr">
        <is>
          <t>Jan 20 - Jan 26 2025</t>
        </is>
      </c>
      <c r="B31" s="382" t="n">
        <v>7637.81</v>
      </c>
      <c r="C31" s="399">
        <f>(B31*0.06)*1.13</f>
        <v/>
      </c>
      <c r="D31" s="399">
        <f>(B31*0.02)*1.13</f>
        <v/>
      </c>
      <c r="E31" s="399" t="n"/>
      <c r="F31" s="399" t="n"/>
      <c r="G31" s="382" t="n">
        <v>5102.85</v>
      </c>
      <c r="H31" s="373" t="n">
        <v>76.67</v>
      </c>
      <c r="I31" s="373" t="n">
        <v>40.8</v>
      </c>
      <c r="J31" s="373" t="n">
        <v>3425.49</v>
      </c>
      <c r="K31" s="383" t="n">
        <v>3461.49</v>
      </c>
      <c r="L31" s="383" t="n">
        <v>1044</v>
      </c>
      <c r="M31" s="383" t="n"/>
      <c r="N31" s="383" t="n"/>
      <c r="O31" s="373">
        <f>K31-L31</f>
        <v/>
      </c>
      <c r="P31" s="373">
        <f>SUM(G31,H31,I31,O31)</f>
        <v/>
      </c>
    </row>
    <row r="32">
      <c r="A32" s="418" t="n"/>
      <c r="C32" s="399">
        <f>(B32*0.06)*1.13</f>
        <v/>
      </c>
      <c r="D32" s="399">
        <f>(B32*0.02)*1.13</f>
        <v/>
      </c>
      <c r="E32" s="399" t="n"/>
      <c r="F32" s="399" t="n"/>
      <c r="H32" s="373" t="n"/>
      <c r="I32" s="373" t="n"/>
      <c r="J32" s="373" t="n"/>
      <c r="K32" s="383" t="n"/>
      <c r="L32" s="383" t="n"/>
      <c r="M32" s="383" t="n"/>
      <c r="N32" s="383" t="n"/>
      <c r="O32" s="373" t="n"/>
      <c r="P32" s="373">
        <f>SUM(G32,H32,I32,O32)</f>
        <v/>
      </c>
    </row>
    <row r="33">
      <c r="A33" s="418" t="inlineStr">
        <is>
          <t>Jan 27 - Feb 02 2025</t>
        </is>
      </c>
      <c r="B33" s="382" t="n">
        <v>8956.040000000001</v>
      </c>
      <c r="C33" s="399">
        <f>(B33*0.06)*1.13</f>
        <v/>
      </c>
      <c r="D33" s="399">
        <f>(B33*0.02)*1.13</f>
        <v/>
      </c>
      <c r="E33" s="399" t="n"/>
      <c r="F33" s="399" t="n"/>
      <c r="G33" s="382" t="n">
        <v>6202.67</v>
      </c>
      <c r="H33" s="373" t="n">
        <v>70.92</v>
      </c>
      <c r="I33" s="373" t="n">
        <v>80.40000000000001</v>
      </c>
      <c r="J33" s="373" t="n">
        <v>3824.05</v>
      </c>
      <c r="K33" s="390" t="n">
        <v>3826.05</v>
      </c>
      <c r="L33" s="383" t="n">
        <v>1224</v>
      </c>
      <c r="M33" s="383" t="n"/>
      <c r="N33" s="383" t="n"/>
      <c r="O33" s="373">
        <f>K33-L33</f>
        <v/>
      </c>
      <c r="P33" s="373">
        <f>SUM(G33,H33,I33,O33)</f>
        <v/>
      </c>
    </row>
    <row r="34">
      <c r="A34" s="418" t="n"/>
      <c r="C34" s="399">
        <f>(B34*0.06)*1.13</f>
        <v/>
      </c>
      <c r="D34" s="399">
        <f>(B34*0.02)*1.13</f>
        <v/>
      </c>
      <c r="E34" s="399" t="n"/>
      <c r="F34" s="399" t="n"/>
      <c r="H34" s="373" t="n"/>
      <c r="I34" s="373" t="n"/>
      <c r="J34" s="373" t="n"/>
      <c r="K34" s="390" t="n"/>
      <c r="L34" s="383" t="n"/>
      <c r="M34" s="383" t="n"/>
      <c r="N34" s="383" t="n"/>
      <c r="O34" s="373" t="n"/>
      <c r="P34" s="373" t="n"/>
    </row>
    <row r="35">
      <c r="A35" s="418" t="inlineStr">
        <is>
          <t>Feb 03 - Feb 09 2025</t>
        </is>
      </c>
      <c r="B35" s="382" t="n">
        <v>8608.299999999999</v>
      </c>
      <c r="C35" s="399">
        <f>(B35*0.06)*1.13</f>
        <v/>
      </c>
      <c r="D35" s="399">
        <f>(B35*0.02)*1.13</f>
        <v/>
      </c>
      <c r="E35" s="399" t="n"/>
      <c r="F35" s="399" t="n"/>
      <c r="G35" s="394" t="n">
        <v>6327.3</v>
      </c>
      <c r="H35" s="389" t="n">
        <v>39.87</v>
      </c>
      <c r="I35" s="389" t="n">
        <v>366.28</v>
      </c>
      <c r="J35" s="389" t="n">
        <v>2016.85</v>
      </c>
      <c r="K35" s="390" t="n">
        <v>2018.85</v>
      </c>
      <c r="L35" s="148" t="n">
        <v>144</v>
      </c>
      <c r="M35" s="148" t="n"/>
      <c r="N35" s="148" t="n"/>
      <c r="O35" s="373">
        <f>K35-L35</f>
        <v/>
      </c>
      <c r="P35" s="373">
        <f>SUM(G35,H35,I35,O35)</f>
        <v/>
      </c>
    </row>
    <row r="36">
      <c r="A36" s="418" t="n"/>
      <c r="C36" s="399">
        <f>(B36*0.06)*1.13</f>
        <v/>
      </c>
      <c r="D36" s="399">
        <f>(B36*0.02)*1.13</f>
        <v/>
      </c>
      <c r="E36" s="399" t="n"/>
      <c r="F36" s="399" t="n"/>
      <c r="I36" s="11" t="n"/>
      <c r="K36" s="390" t="n"/>
      <c r="L36" s="383" t="n"/>
      <c r="M36" s="383" t="n"/>
      <c r="N36" s="383" t="n"/>
      <c r="O36" s="373" t="n"/>
      <c r="P36" s="373" t="n"/>
    </row>
    <row r="37">
      <c r="A37" s="418" t="inlineStr">
        <is>
          <t>Feb 10 - Feb 16 2025</t>
        </is>
      </c>
      <c r="B37" s="382" t="n">
        <v>8833.99</v>
      </c>
      <c r="C37" s="399">
        <f>(B37*0.06)*1.13</f>
        <v/>
      </c>
      <c r="D37" s="399">
        <f>(B37*0.02)*1.13</f>
        <v/>
      </c>
      <c r="E37" s="399" t="n"/>
      <c r="F37" s="399" t="n"/>
      <c r="G37" s="394" t="n">
        <v>6502.12</v>
      </c>
      <c r="H37" s="389" t="n">
        <v>47.13</v>
      </c>
      <c r="I37" s="389" t="n">
        <v>332.33</v>
      </c>
      <c r="J37" s="389" t="n">
        <v>2035.3</v>
      </c>
      <c r="K37" s="390" t="n">
        <v>2008.9</v>
      </c>
      <c r="L37" s="383" t="n">
        <v>56.49</v>
      </c>
      <c r="M37" s="383" t="n"/>
      <c r="N37" s="383" t="n"/>
      <c r="O37" s="373">
        <f>K37-L37</f>
        <v/>
      </c>
      <c r="P37" s="373">
        <f>SUM(G37,H37,I37,O37)</f>
        <v/>
      </c>
    </row>
    <row r="38">
      <c r="A38" s="418" t="n"/>
      <c r="C38" s="399">
        <f>(B38*0.06)*1.13</f>
        <v/>
      </c>
      <c r="D38" s="399">
        <f>(B38*0.02)*1.13</f>
        <v/>
      </c>
      <c r="E38" s="399" t="n"/>
      <c r="F38" s="399" t="n"/>
      <c r="J38" s="11" t="n"/>
      <c r="K38" s="390" t="n"/>
      <c r="L38" s="383" t="n"/>
      <c r="M38" s="383" t="n"/>
      <c r="N38" s="383" t="n"/>
      <c r="O38" s="373" t="n"/>
      <c r="P38" s="373" t="n"/>
    </row>
    <row r="39">
      <c r="A39" s="418" t="inlineStr">
        <is>
          <t>Feb 17 - Feb 23 2025</t>
        </is>
      </c>
      <c r="B39" s="382" t="n">
        <v>8500.480000000001</v>
      </c>
      <c r="C39" s="399">
        <f>(B39*0.06)*1.13</f>
        <v/>
      </c>
      <c r="D39" s="399">
        <f>(B39*0.02)*1.13</f>
        <v/>
      </c>
      <c r="E39" s="399" t="n"/>
      <c r="F39" s="399" t="n"/>
      <c r="G39" s="394" t="n">
        <v>5630.35</v>
      </c>
      <c r="H39" s="389" t="n">
        <v>50.39</v>
      </c>
      <c r="I39" s="389" t="n">
        <v>354.55</v>
      </c>
      <c r="J39" s="389" t="n">
        <v>2530.36</v>
      </c>
      <c r="K39" s="383" t="n">
        <v>2601.02</v>
      </c>
      <c r="L39" s="148" t="n">
        <v>135.83</v>
      </c>
      <c r="M39" s="148" t="n"/>
      <c r="N39" s="148" t="n"/>
      <c r="O39" s="373">
        <f>K39-L39</f>
        <v/>
      </c>
      <c r="P39" s="373">
        <f>SUM(G39,H39,I39,O39)</f>
        <v/>
      </c>
    </row>
    <row r="40">
      <c r="A40" s="418" t="n"/>
      <c r="C40" s="399">
        <f>(B40*0.06)*1.13</f>
        <v/>
      </c>
      <c r="D40" s="399">
        <f>(B40*0.02)*1.13</f>
        <v/>
      </c>
      <c r="E40" s="399" t="n"/>
      <c r="F40" s="399" t="n"/>
      <c r="H40" s="11" t="n"/>
      <c r="K40" s="118" t="n"/>
      <c r="O40" s="373" t="n"/>
      <c r="P40" s="373" t="n"/>
    </row>
    <row r="41">
      <c r="A41" s="418" t="inlineStr">
        <is>
          <t>Feb 24 - Mar 02 2025</t>
        </is>
      </c>
      <c r="B41" s="382" t="n">
        <v>7690.280000000001</v>
      </c>
      <c r="C41" s="399">
        <f>(B41*0.06)*1.13</f>
        <v/>
      </c>
      <c r="D41" s="399">
        <f>(B41*0.02)*1.13</f>
        <v/>
      </c>
      <c r="E41" s="399" t="n"/>
      <c r="F41" s="399" t="n"/>
      <c r="G41" s="394" t="n">
        <v>5726.56</v>
      </c>
      <c r="H41" s="389" t="n">
        <v>77.05</v>
      </c>
      <c r="I41" s="389" t="n">
        <v>202.77</v>
      </c>
      <c r="J41" s="389" t="n">
        <v>1745.82</v>
      </c>
      <c r="K41" s="390" t="n">
        <v>1759.01</v>
      </c>
      <c r="L41" s="148" t="n">
        <v>75.11</v>
      </c>
      <c r="M41" s="148" t="n"/>
      <c r="N41" s="148" t="n"/>
      <c r="O41" s="373">
        <f>K41-L41</f>
        <v/>
      </c>
      <c r="P41" s="373">
        <f>SUM(G41,H41,I41,O41)</f>
        <v/>
      </c>
    </row>
    <row r="42">
      <c r="A42" s="418" t="n"/>
      <c r="C42" s="399">
        <f>(B42*0.06)*1.13</f>
        <v/>
      </c>
      <c r="D42" s="399">
        <f>(B42*0.02)*1.13</f>
        <v/>
      </c>
      <c r="E42" s="399" t="n"/>
      <c r="F42" s="399" t="n"/>
      <c r="J42" s="11" t="n"/>
      <c r="K42" s="373" t="n"/>
      <c r="O42" s="373" t="n"/>
      <c r="P42" s="373" t="n"/>
    </row>
    <row r="43">
      <c r="A43" s="418" t="inlineStr">
        <is>
          <t>Mar 03 - Mar 09 2025</t>
        </is>
      </c>
      <c r="B43" s="382" t="n">
        <v>6502.39</v>
      </c>
      <c r="C43" s="399">
        <f>(B43*0.06)*1.13</f>
        <v/>
      </c>
      <c r="D43" s="399">
        <f>(B43*0.02)*1.13</f>
        <v/>
      </c>
      <c r="E43" s="399" t="n"/>
      <c r="F43" s="399" t="n"/>
      <c r="G43" s="394" t="n">
        <v>4634.61</v>
      </c>
      <c r="H43" s="389" t="n">
        <v>131.39</v>
      </c>
      <c r="I43" s="389" t="n">
        <v>94.8</v>
      </c>
      <c r="J43" s="389" t="n">
        <v>1659.44</v>
      </c>
      <c r="K43" s="383" t="n">
        <v>1659.44</v>
      </c>
      <c r="L43" s="390" t="n">
        <v>17.85</v>
      </c>
      <c r="M43" s="390" t="n"/>
      <c r="N43" s="390" t="n"/>
      <c r="O43" s="373">
        <f>K43-L43</f>
        <v/>
      </c>
      <c r="P43" s="373">
        <f>SUM(G43,H43,I43,O43)</f>
        <v/>
      </c>
    </row>
    <row r="44">
      <c r="A44" s="418" t="n"/>
      <c r="C44" s="399">
        <f>(B44*0.06)*1.13</f>
        <v/>
      </c>
      <c r="D44" s="399">
        <f>(B44*0.02)*1.13</f>
        <v/>
      </c>
      <c r="E44" s="399" t="n"/>
      <c r="F44" s="399" t="n"/>
      <c r="J44" s="11" t="n"/>
      <c r="K44" s="373" t="n"/>
      <c r="O44" s="373" t="n"/>
      <c r="P44" s="373" t="n"/>
    </row>
    <row r="45" ht="13.95" customFormat="1" customHeight="1" s="56">
      <c r="A45" s="418" t="inlineStr">
        <is>
          <t>Mar 10 - Mar 16 2025</t>
        </is>
      </c>
      <c r="B45" s="382" t="n">
        <v>7944.110000000001</v>
      </c>
      <c r="C45" s="399">
        <f>(B45*0.06)*1.13</f>
        <v/>
      </c>
      <c r="D45" s="399">
        <f>(B45*0.02)*1.13</f>
        <v/>
      </c>
      <c r="E45" s="399" t="n"/>
      <c r="F45" s="399" t="n"/>
      <c r="G45" s="394" t="n">
        <v>5586.64</v>
      </c>
      <c r="H45" s="389" t="n">
        <v>31.79</v>
      </c>
      <c r="I45" s="389" t="n">
        <v>128.38</v>
      </c>
      <c r="J45" s="389" t="n">
        <v>2405.6</v>
      </c>
      <c r="K45" s="390" t="n">
        <v>2405.6</v>
      </c>
      <c r="L45" s="383" t="n">
        <v>208.3</v>
      </c>
      <c r="M45" s="383" t="n"/>
      <c r="N45" s="383" t="n"/>
      <c r="O45" s="373">
        <f>K45-L45</f>
        <v/>
      </c>
      <c r="P45" s="373">
        <f>SUM(G45,H45,I45,O45)</f>
        <v/>
      </c>
      <c r="W45" s="185" t="n"/>
    </row>
    <row r="46">
      <c r="A46" s="418" t="n"/>
      <c r="C46" s="399">
        <f>(B46*0.06)*1.13</f>
        <v/>
      </c>
      <c r="D46" s="399">
        <f>(B46*0.02)*1.13</f>
        <v/>
      </c>
      <c r="E46" s="399" t="n"/>
      <c r="F46" s="399" t="n"/>
      <c r="I46" s="11" t="n"/>
      <c r="O46" s="373" t="n"/>
      <c r="P46" s="373" t="n"/>
    </row>
    <row r="47">
      <c r="A47" s="418" t="inlineStr">
        <is>
          <t>Mar 17 - Mar 23 2025</t>
        </is>
      </c>
      <c r="B47" s="382" t="n">
        <v>8203.639999999999</v>
      </c>
      <c r="C47" s="399">
        <f>(B47*0.06)*1.13</f>
        <v/>
      </c>
      <c r="D47" s="399">
        <f>(B47*0.02)*1.13</f>
        <v/>
      </c>
      <c r="E47" s="399" t="n"/>
      <c r="F47" s="399" t="n"/>
      <c r="G47" s="394" t="n">
        <v>5741.22</v>
      </c>
      <c r="H47" s="389" t="n">
        <v>120.33</v>
      </c>
      <c r="I47" s="389" t="n">
        <v>129.38</v>
      </c>
      <c r="J47" s="389" t="n">
        <v>2535.95</v>
      </c>
      <c r="K47" s="383" t="n">
        <v>2535.95</v>
      </c>
      <c r="L47" s="383" t="n">
        <v>323.24</v>
      </c>
      <c r="M47" s="383" t="n"/>
      <c r="N47" s="383" t="n"/>
      <c r="O47" s="373">
        <f>K47-L47</f>
        <v/>
      </c>
      <c r="P47" s="373">
        <f>SUM(G47,H47,I47,O47)</f>
        <v/>
      </c>
    </row>
    <row r="48">
      <c r="A48" s="418" t="n"/>
      <c r="C48" s="399">
        <f>(B48*0.06)*1.13</f>
        <v/>
      </c>
      <c r="D48" s="399">
        <f>(B48*0.02)*1.13</f>
        <v/>
      </c>
      <c r="E48" s="399" t="n"/>
      <c r="F48" s="399" t="n"/>
      <c r="G48" s="394" t="n"/>
      <c r="H48" s="118" t="n"/>
      <c r="I48" s="11" t="n"/>
      <c r="J48" s="118" t="n"/>
      <c r="O48" s="373">
        <f>K48-L48</f>
        <v/>
      </c>
      <c r="P48" s="373">
        <f>SUM(G48,H48,I48,O48)</f>
        <v/>
      </c>
    </row>
    <row r="49">
      <c r="A49" s="394" t="inlineStr">
        <is>
          <t>Mar 24 - Mar 30 2025</t>
        </is>
      </c>
      <c r="B49" s="394" t="n">
        <v>9113.959999999999</v>
      </c>
      <c r="C49" s="399">
        <f>(B49*0.06)*1.13</f>
        <v/>
      </c>
      <c r="D49" s="399">
        <f>(B49*0.02)*1.13</f>
        <v/>
      </c>
      <c r="E49" s="399" t="n"/>
      <c r="F49" s="399" t="n"/>
      <c r="G49" s="389" t="n">
        <v>6392.4</v>
      </c>
      <c r="H49" s="389" t="n">
        <v>26.4</v>
      </c>
      <c r="I49" s="389" t="n">
        <v>172.78</v>
      </c>
      <c r="J49" s="389" t="n">
        <v>2532</v>
      </c>
      <c r="K49" s="390" t="n">
        <v>2563.19</v>
      </c>
      <c r="L49" s="395" t="n">
        <v>40.81</v>
      </c>
      <c r="M49" s="395" t="n"/>
      <c r="N49" s="395" t="n"/>
      <c r="O49" s="389">
        <f>K49-L49</f>
        <v/>
      </c>
      <c r="P49" s="389">
        <f>SUM(G49,H49,I49,O49)</f>
        <v/>
      </c>
    </row>
    <row r="50">
      <c r="A50" s="394" t="n"/>
      <c r="B50" s="394" t="n"/>
      <c r="C50" s="399">
        <f>(B50*0.06)*1.13</f>
        <v/>
      </c>
      <c r="D50" s="399">
        <f>(B50*0.02)*1.13</f>
        <v/>
      </c>
      <c r="E50" s="399" t="n"/>
      <c r="F50" s="399" t="n"/>
      <c r="G50" s="389" t="n"/>
      <c r="H50" s="389" t="n"/>
      <c r="I50" s="389" t="n"/>
      <c r="J50" s="389" t="n"/>
      <c r="K50" s="390" t="n"/>
      <c r="L50" s="395" t="n"/>
      <c r="M50" s="395" t="n"/>
      <c r="N50" s="395" t="n"/>
      <c r="O50" s="389" t="n"/>
      <c r="P50" s="389" t="n"/>
    </row>
    <row r="51">
      <c r="A51" s="394" t="inlineStr">
        <is>
          <t>Mar 31 - Apr 6 2025</t>
        </is>
      </c>
      <c r="B51" s="394" t="n">
        <v>9443.84</v>
      </c>
      <c r="C51" s="399">
        <f>(B51*0.06)*1.13</f>
        <v/>
      </c>
      <c r="D51" s="399">
        <f>(B51*0.02)*1.13</f>
        <v/>
      </c>
      <c r="E51" s="399" t="n"/>
      <c r="F51" s="399" t="n"/>
      <c r="G51" s="389" t="n">
        <v>6536.04</v>
      </c>
      <c r="H51" s="389" t="n">
        <v>54.59</v>
      </c>
      <c r="I51" s="389" t="n">
        <v>400.75</v>
      </c>
      <c r="J51" s="389" t="n">
        <v>2453.01</v>
      </c>
      <c r="K51" s="390" t="n">
        <v>2455.01</v>
      </c>
      <c r="L51" s="395" t="n">
        <v>2.55</v>
      </c>
      <c r="M51" s="395" t="n"/>
      <c r="N51" s="395" t="n"/>
      <c r="O51" s="389">
        <f>K51-L51</f>
        <v/>
      </c>
      <c r="P51" s="389">
        <f>SUM(G51,H51,I51,O51)</f>
        <v/>
      </c>
    </row>
    <row r="52">
      <c r="A52" s="394" t="n"/>
      <c r="B52" s="394" t="n"/>
      <c r="C52" s="399">
        <f>(B52*0.06)*1.13</f>
        <v/>
      </c>
      <c r="D52" s="399">
        <f>(B52*0.02)*1.13</f>
        <v/>
      </c>
      <c r="E52" s="399" t="n"/>
      <c r="F52" s="399" t="n"/>
      <c r="G52" s="118" t="n"/>
      <c r="H52" s="118" t="n"/>
      <c r="I52" s="118" t="n"/>
      <c r="J52" s="11" t="n"/>
      <c r="K52" s="118" t="n"/>
      <c r="L52" s="118" t="n"/>
      <c r="M52" s="118" t="n"/>
      <c r="N52" s="118" t="n"/>
      <c r="O52" s="389" t="n"/>
      <c r="P52" s="389" t="n"/>
    </row>
    <row r="53">
      <c r="A53" s="382" t="inlineStr">
        <is>
          <t>Apr 7 - Apr 13 2025</t>
        </is>
      </c>
      <c r="B53" s="382" t="n">
        <v>9090.540000000001</v>
      </c>
      <c r="C53" s="399">
        <f>(B53*0.06)*1.13</f>
        <v/>
      </c>
      <c r="D53" s="399">
        <f>(B53*0.02)*1.13</f>
        <v/>
      </c>
      <c r="E53" s="399" t="n"/>
      <c r="F53" s="399" t="n"/>
      <c r="G53" s="389" t="n">
        <v>6480.88</v>
      </c>
      <c r="H53" s="389" t="n">
        <v>34</v>
      </c>
      <c r="I53" s="389" t="n">
        <v>101.16</v>
      </c>
      <c r="J53" s="389" t="n">
        <v>2580.72</v>
      </c>
      <c r="K53" s="383" t="n">
        <v>2580.72</v>
      </c>
      <c r="L53" s="383" t="n">
        <v>106.22</v>
      </c>
      <c r="M53" s="383" t="n"/>
      <c r="N53" s="383" t="n"/>
      <c r="O53" s="389">
        <f>K53-L53</f>
        <v/>
      </c>
      <c r="P53" s="389">
        <f>SUM(G53,H53,I53,O53)</f>
        <v/>
      </c>
    </row>
    <row r="54">
      <c r="A54" s="382" t="inlineStr">
        <is>
          <t>Apr 14 - Apr 20 2025</t>
        </is>
      </c>
      <c r="B54" s="382" t="n">
        <v>9797.400000000001</v>
      </c>
      <c r="C54" s="399">
        <f>(B54*0.06)*1.13</f>
        <v/>
      </c>
      <c r="D54" s="399">
        <f>(B54*0.02)*1.13</f>
        <v/>
      </c>
      <c r="E54" s="399" t="n"/>
      <c r="F54" s="399" t="n"/>
      <c r="G54" s="389" t="n">
        <v>7019.51</v>
      </c>
      <c r="H54" s="389" t="n">
        <v>270.47</v>
      </c>
      <c r="I54" s="389" t="n">
        <v>173.39</v>
      </c>
      <c r="J54" s="389" t="n">
        <v>2434.5</v>
      </c>
      <c r="K54" s="383" t="n">
        <v>2434.5</v>
      </c>
      <c r="L54" s="383" t="n">
        <v>100.47</v>
      </c>
      <c r="M54" s="383" t="n"/>
      <c r="N54" s="383" t="n"/>
      <c r="O54" s="389">
        <f>K54-L54</f>
        <v/>
      </c>
      <c r="P54" s="389">
        <f>SUM(G54,H54,I54,O54)</f>
        <v/>
      </c>
    </row>
    <row r="55">
      <c r="A55" s="382" t="inlineStr">
        <is>
          <t>Apr 21 - Apr 27 2025</t>
        </is>
      </c>
      <c r="B55" s="382" t="n">
        <v>10090.21</v>
      </c>
      <c r="C55" s="399">
        <f>(B55*0.06)*1.13</f>
        <v/>
      </c>
      <c r="D55" s="399">
        <f>(B55*0.02)*1.13</f>
        <v/>
      </c>
      <c r="E55" s="399" t="n"/>
      <c r="F55" s="399" t="n"/>
      <c r="G55" s="389" t="n">
        <v>6476.07</v>
      </c>
      <c r="H55" s="389" t="n">
        <v>172.47</v>
      </c>
      <c r="I55" s="389" t="n">
        <v>219.56</v>
      </c>
      <c r="J55" s="389" t="n">
        <v>3381.99</v>
      </c>
      <c r="K55" s="390" t="n">
        <v>3381.99</v>
      </c>
      <c r="L55" s="383" t="n">
        <v>159.88</v>
      </c>
      <c r="M55" s="383" t="n"/>
      <c r="N55" s="383" t="n"/>
      <c r="O55" s="389">
        <f>K55-L55</f>
        <v/>
      </c>
      <c r="P55" s="389">
        <f>SUM(G55,H55,I55,O55)</f>
        <v/>
      </c>
    </row>
    <row r="56">
      <c r="A56" s="382" t="inlineStr">
        <is>
          <t>Apr 28 - May 04 2025</t>
        </is>
      </c>
      <c r="B56" s="382" t="n">
        <v>8677.220000000001</v>
      </c>
      <c r="C56" s="399">
        <f>(B56*0.06)*1.13</f>
        <v/>
      </c>
      <c r="D56" s="399">
        <f>(B56*0.02)*1.13</f>
        <v/>
      </c>
      <c r="E56" s="399" t="n"/>
      <c r="F56" s="399" t="n"/>
      <c r="G56" s="389" t="n">
        <v>6534.2</v>
      </c>
      <c r="H56" s="389" t="n">
        <v>52</v>
      </c>
      <c r="I56" s="389" t="n">
        <v>77.97</v>
      </c>
      <c r="J56" s="389" t="n">
        <v>2112.82</v>
      </c>
      <c r="K56" s="390" t="n">
        <v>2114.82</v>
      </c>
      <c r="L56" s="383" t="n">
        <v>101.77</v>
      </c>
      <c r="M56" s="383" t="n"/>
      <c r="N56" s="383" t="n"/>
      <c r="O56" s="389">
        <f>K56-L56</f>
        <v/>
      </c>
      <c r="P56" s="389">
        <f>SUM(G56,H56,I56,O56)</f>
        <v/>
      </c>
    </row>
    <row r="57">
      <c r="A57" s="382" t="inlineStr">
        <is>
          <t>May 05 - May 11 2025</t>
        </is>
      </c>
      <c r="B57" s="382" t="n">
        <v>10193.15</v>
      </c>
      <c r="C57" s="399">
        <f>(B57*0.06)*1.13</f>
        <v/>
      </c>
      <c r="D57" s="399">
        <f>(B57*0.02)*1.13</f>
        <v/>
      </c>
      <c r="E57" s="399" t="n"/>
      <c r="F57" s="391" t="n">
        <v>10315.41</v>
      </c>
      <c r="G57" s="389" t="n">
        <v>7879.77</v>
      </c>
      <c r="H57" s="389" t="n">
        <v>194.38</v>
      </c>
      <c r="I57" s="389" t="n">
        <v>151.79</v>
      </c>
      <c r="J57" s="389" t="n">
        <v>2089.47</v>
      </c>
      <c r="K57" s="390" t="n">
        <v>2089.47</v>
      </c>
      <c r="L57" s="383" t="n">
        <v>122.26</v>
      </c>
      <c r="M57" s="383" t="n"/>
      <c r="N57" s="383" t="n"/>
      <c r="O57" s="389">
        <f>K57-L57</f>
        <v/>
      </c>
      <c r="P57" s="389">
        <f>SUM(G57,H57,I57,O57)</f>
        <v/>
      </c>
    </row>
    <row r="58">
      <c r="A58" s="382" t="inlineStr">
        <is>
          <t>May 12 - May 18 2025</t>
        </is>
      </c>
      <c r="B58" s="382" t="n">
        <v>12954.94</v>
      </c>
      <c r="C58" s="399">
        <f>(B58*0.06)*1.13</f>
        <v/>
      </c>
      <c r="D58" s="399">
        <f>(B58*0.02)*1.13</f>
        <v/>
      </c>
      <c r="E58" s="399" t="n"/>
      <c r="F58" s="391" t="n">
        <v>13019.07</v>
      </c>
      <c r="G58" s="389" t="n">
        <v>10604.2</v>
      </c>
      <c r="H58" s="389" t="n">
        <v>18</v>
      </c>
      <c r="I58" s="389" t="n">
        <v>122.79</v>
      </c>
      <c r="J58" s="389" t="n">
        <v>2274.08</v>
      </c>
      <c r="K58" s="390" t="n">
        <v>2298.08</v>
      </c>
      <c r="L58" s="383" t="n">
        <v>88.13</v>
      </c>
      <c r="M58" s="383" t="n"/>
      <c r="N58" s="383" t="n"/>
      <c r="O58" s="389">
        <f>K58-L58</f>
        <v/>
      </c>
      <c r="P58" s="389">
        <f>SUM(G58,H58,I58,O58)</f>
        <v/>
      </c>
    </row>
    <row r="59">
      <c r="A59" s="382" t="inlineStr">
        <is>
          <t>May 19 - May 25 2025</t>
        </is>
      </c>
      <c r="B59" s="382" t="n">
        <v>12451.66</v>
      </c>
      <c r="C59" s="399">
        <f>(B59*0.06)*1.13</f>
        <v/>
      </c>
      <c r="D59" s="399">
        <f>(B59*0.02)*1.13</f>
        <v/>
      </c>
      <c r="E59" s="399" t="n"/>
      <c r="F59" s="391" t="n">
        <v>12581.42</v>
      </c>
      <c r="G59" s="389" t="n">
        <v>9716.559999999999</v>
      </c>
      <c r="H59" s="389" t="n">
        <v>31.6</v>
      </c>
      <c r="I59" s="389" t="n">
        <v>327.52</v>
      </c>
      <c r="J59" s="389" t="n">
        <v>2505.74</v>
      </c>
      <c r="K59" s="390" t="n">
        <v>2505.74</v>
      </c>
      <c r="L59" s="383" t="n">
        <v>129.76</v>
      </c>
      <c r="M59" s="383" t="n"/>
      <c r="N59" s="383" t="n"/>
      <c r="O59" s="389">
        <f>K59-L59</f>
        <v/>
      </c>
      <c r="P59" s="389">
        <f>SUM(G59,H59,I59,O59)</f>
        <v/>
      </c>
    </row>
    <row r="60">
      <c r="A60" s="382" t="inlineStr">
        <is>
          <t>May 26 - June 01 2025</t>
        </is>
      </c>
      <c r="B60" s="382" t="n">
        <v>12820.66</v>
      </c>
      <c r="C60" s="399">
        <f>(B60*0.06)*1.13</f>
        <v/>
      </c>
      <c r="D60" s="399">
        <f>(B60*0.02)*1.13</f>
        <v/>
      </c>
      <c r="E60" s="399" t="n"/>
      <c r="F60" s="391" t="n">
        <v>12914.17</v>
      </c>
      <c r="G60" s="389" t="n">
        <v>10539.05</v>
      </c>
      <c r="H60" s="389" t="n">
        <v>63.9</v>
      </c>
      <c r="I60" s="389" t="n">
        <v>177.37</v>
      </c>
      <c r="J60" s="389" t="n">
        <v>2133.85</v>
      </c>
      <c r="K60" s="383" t="n">
        <v>2133.85</v>
      </c>
      <c r="L60" s="383" t="n">
        <v>93.51000000000001</v>
      </c>
      <c r="M60" s="383" t="n"/>
      <c r="N60" s="383" t="n"/>
      <c r="O60" s="389">
        <f>K60-L60</f>
        <v/>
      </c>
      <c r="P60" s="389">
        <f>SUM(G60,H60,I60,O60)</f>
        <v/>
      </c>
    </row>
    <row r="61">
      <c r="A61" s="382" t="inlineStr">
        <is>
          <t>June 02 - June 08 2025</t>
        </is>
      </c>
      <c r="B61" s="382" t="n">
        <v>12484.1</v>
      </c>
      <c r="C61" s="399">
        <f>(B61*0.06)*1.13</f>
        <v/>
      </c>
      <c r="D61" s="399">
        <f>(B61*0.02)*1.13</f>
        <v/>
      </c>
      <c r="E61" s="399" t="n"/>
      <c r="F61" s="391" t="n">
        <v>12572.13</v>
      </c>
      <c r="G61" s="389" t="n">
        <v>10178.35</v>
      </c>
      <c r="H61" s="118" t="n">
        <v>0</v>
      </c>
      <c r="I61" s="389" t="n">
        <v>87.2</v>
      </c>
      <c r="J61" s="389" t="n">
        <v>2306.58</v>
      </c>
      <c r="K61" s="390" t="n">
        <v>2347.38</v>
      </c>
      <c r="L61" s="383" t="n">
        <v>128.83</v>
      </c>
      <c r="M61" s="383" t="n"/>
      <c r="N61" s="383" t="n"/>
      <c r="O61" s="389">
        <f>K61-L61</f>
        <v/>
      </c>
      <c r="P61" s="389">
        <f>SUM(G61,H61,I61,O61)</f>
        <v/>
      </c>
    </row>
    <row r="62">
      <c r="A62" s="382" t="inlineStr">
        <is>
          <t>June 09 - June 15 2025</t>
        </is>
      </c>
      <c r="B62" s="382" t="n">
        <v>13976.4</v>
      </c>
      <c r="C62" s="399">
        <f>(B62*0.06)*1.13</f>
        <v/>
      </c>
      <c r="D62" s="399">
        <f>(B62*0.02)*1.13</f>
        <v/>
      </c>
      <c r="E62" s="399" t="n"/>
      <c r="F62" s="391" t="n">
        <v>14114.3</v>
      </c>
      <c r="G62" s="389" t="n">
        <v>10842.72</v>
      </c>
      <c r="H62" s="389" t="n">
        <v>0</v>
      </c>
      <c r="I62" s="389" t="n">
        <v>289.85</v>
      </c>
      <c r="J62" s="389" t="n">
        <v>2981.73</v>
      </c>
      <c r="K62" s="390" t="n">
        <v>2999.73</v>
      </c>
      <c r="L62" s="383" t="n">
        <v>155.9</v>
      </c>
      <c r="M62" s="383" t="n"/>
      <c r="N62" s="383" t="n"/>
      <c r="O62" s="389">
        <f>K62-L62</f>
        <v/>
      </c>
      <c r="P62" s="389">
        <f>SUM(G62,H62,I62,O62)</f>
        <v/>
      </c>
    </row>
    <row r="63">
      <c r="A63" s="382" t="inlineStr">
        <is>
          <t>June 16 - June 22 2025</t>
        </is>
      </c>
      <c r="B63" s="382" t="n">
        <v>14689.37</v>
      </c>
      <c r="C63" s="399">
        <f>(B63*0.06)*1.13</f>
        <v/>
      </c>
      <c r="D63" s="399">
        <f>(B63*0.02)*1.13</f>
        <v/>
      </c>
      <c r="E63" s="399" t="n"/>
      <c r="F63" s="391" t="n">
        <v>14802.96</v>
      </c>
      <c r="G63" s="389" t="n">
        <v>11672.57</v>
      </c>
      <c r="H63" s="389" t="n">
        <v>125.2</v>
      </c>
      <c r="I63" s="389" t="n">
        <v>217.75</v>
      </c>
      <c r="J63" s="389" t="n">
        <v>2787.44</v>
      </c>
      <c r="K63" s="390" t="n">
        <v>2799.44</v>
      </c>
      <c r="L63" s="383" t="n">
        <v>125.59</v>
      </c>
      <c r="M63" s="383" t="n"/>
      <c r="N63" s="383" t="n"/>
      <c r="O63" s="389">
        <f>K63-L63</f>
        <v/>
      </c>
      <c r="P63" s="389">
        <f>SUM(G63,H63,I63,O63)</f>
        <v/>
      </c>
    </row>
    <row r="64">
      <c r="A64" s="382" t="inlineStr">
        <is>
          <t>June 23 - June 29 2025</t>
        </is>
      </c>
      <c r="B64" s="382" t="n">
        <v>16548.29</v>
      </c>
      <c r="C64" s="399">
        <f>(B64*0.06)*1.13</f>
        <v/>
      </c>
      <c r="D64" s="399">
        <f>(B64*0.02)*1.13</f>
        <v/>
      </c>
      <c r="E64" s="399" t="n"/>
      <c r="F64" s="391" t="n">
        <v>16665.19</v>
      </c>
      <c r="G64" s="389" t="n">
        <v>13989.28</v>
      </c>
      <c r="H64" s="389" t="n">
        <v>141.6</v>
      </c>
      <c r="I64" s="389" t="n">
        <v>308.72</v>
      </c>
      <c r="J64" s="389" t="n">
        <v>2225.59</v>
      </c>
      <c r="K64" s="390" t="n">
        <v>2225.59</v>
      </c>
      <c r="L64" s="383" t="n">
        <v>116.9</v>
      </c>
      <c r="M64" s="383" t="n"/>
      <c r="N64" s="383" t="n"/>
      <c r="O64" s="389">
        <f>K64-L64</f>
        <v/>
      </c>
      <c r="P64" s="389">
        <f>SUM(G64,H64,I64,O64)</f>
        <v/>
      </c>
    </row>
    <row r="65">
      <c r="A65" s="382" t="inlineStr">
        <is>
          <t>June 30 - July 06 2025</t>
        </is>
      </c>
      <c r="B65" s="382" t="n">
        <v>16616.67</v>
      </c>
      <c r="C65" s="399">
        <f>(B65*0.06)*1.13</f>
        <v/>
      </c>
      <c r="D65" s="399">
        <f>(B65*0.02)*1.13</f>
        <v/>
      </c>
      <c r="E65" s="399" t="n"/>
      <c r="F65" s="391" t="n">
        <v>16643.15</v>
      </c>
      <c r="G65" s="389" t="n">
        <v>14252.93</v>
      </c>
      <c r="H65" s="389" t="n">
        <v>0</v>
      </c>
      <c r="I65" s="389" t="n">
        <v>68.09</v>
      </c>
      <c r="J65" s="389" t="n">
        <v>2322.13</v>
      </c>
      <c r="K65" s="390" t="n">
        <v>2322.13</v>
      </c>
      <c r="L65" s="383" t="n">
        <v>26.48</v>
      </c>
      <c r="M65" s="383" t="n"/>
      <c r="N65" s="383" t="n"/>
      <c r="O65" s="389">
        <f>K65-L65</f>
        <v/>
      </c>
      <c r="P65" s="389">
        <f>SUM(G65,H65,I65,O65)</f>
        <v/>
      </c>
    </row>
    <row r="66">
      <c r="A66" s="394" t="inlineStr">
        <is>
          <t>July 07 - July 13 2025</t>
        </is>
      </c>
      <c r="B66" s="382" t="n">
        <v>18467.66</v>
      </c>
      <c r="C66" s="399">
        <f>(B66*0.06)*1.13</f>
        <v/>
      </c>
      <c r="D66" s="399">
        <f>(B66*0.02)*1.13</f>
        <v/>
      </c>
      <c r="E66" s="399" t="n"/>
      <c r="F66" s="391" t="n">
        <v>18505.62</v>
      </c>
      <c r="G66" s="389" t="n">
        <v>15414.09</v>
      </c>
      <c r="H66" s="389" t="n">
        <v>55.47</v>
      </c>
      <c r="I66" s="389" t="n">
        <v>117.4</v>
      </c>
      <c r="J66" s="389" t="n">
        <v>2918.66</v>
      </c>
      <c r="K66" s="390" t="n">
        <v>2971.46</v>
      </c>
      <c r="L66" s="383" t="n">
        <v>90.76000000000001</v>
      </c>
      <c r="M66" s="383" t="n"/>
      <c r="N66" s="383" t="n"/>
      <c r="O66" s="389">
        <f>K66-L66</f>
        <v/>
      </c>
      <c r="P66" s="389">
        <f>SUM(G66,H66,I66,O66)</f>
        <v/>
      </c>
    </row>
    <row r="67">
      <c r="A67" s="394" t="inlineStr">
        <is>
          <t>July 14 - July 20 2025</t>
        </is>
      </c>
      <c r="B67" s="382" t="n">
        <v>16637.82</v>
      </c>
      <c r="C67" s="399">
        <f>(B67*0.06)*1.13</f>
        <v/>
      </c>
      <c r="D67" s="399">
        <f>(B67*0.02)*1.13</f>
        <v/>
      </c>
      <c r="E67" s="11" t="n">
        <v>664</v>
      </c>
      <c r="F67" s="391" t="n">
        <v>16730.49</v>
      </c>
      <c r="G67" s="389" t="n">
        <v>14210.58</v>
      </c>
      <c r="H67" s="389" t="n">
        <v>7.2</v>
      </c>
      <c r="I67" s="389" t="n">
        <v>269.71</v>
      </c>
      <c r="J67" s="389" t="n">
        <v>2243</v>
      </c>
      <c r="K67" s="390" t="n">
        <v>2243</v>
      </c>
      <c r="L67" s="383" t="n">
        <v>92.67</v>
      </c>
      <c r="M67" s="383" t="n"/>
      <c r="N67" s="383" t="n"/>
      <c r="O67" s="389">
        <f>K67-L67</f>
        <v/>
      </c>
      <c r="P67" s="389">
        <f>SUM(G67,H67,I67,O67)</f>
        <v/>
      </c>
    </row>
    <row r="68">
      <c r="A68" s="394" t="inlineStr">
        <is>
          <t>July 21 - July 27 2025</t>
        </is>
      </c>
      <c r="B68" s="382" t="n">
        <v>17623.37</v>
      </c>
      <c r="C68" s="399">
        <f>(B68*0.06)*1.13</f>
        <v/>
      </c>
      <c r="D68" s="399">
        <f>(B68*0.02)*1.13</f>
        <v/>
      </c>
      <c r="E68" s="56" t="n">
        <v>743</v>
      </c>
      <c r="F68" s="391" t="n">
        <v>17702.63</v>
      </c>
      <c r="G68" s="389" t="n">
        <v>15508.86</v>
      </c>
      <c r="H68" s="389" t="n">
        <v>24</v>
      </c>
      <c r="I68" s="118" t="n">
        <v>0</v>
      </c>
      <c r="J68" s="389" t="n">
        <v>2169.77</v>
      </c>
      <c r="K68" s="390" t="n">
        <v>2169.77</v>
      </c>
      <c r="L68" s="383" t="n">
        <v>79.26000000000001</v>
      </c>
      <c r="M68" s="383" t="n"/>
      <c r="N68" s="383" t="n"/>
      <c r="O68" s="389">
        <f>K68-L68</f>
        <v/>
      </c>
      <c r="P68" s="389">
        <f>SUM(G68,H68,I68,O68)</f>
        <v/>
      </c>
    </row>
    <row r="69">
      <c r="A69" s="394" t="inlineStr">
        <is>
          <t>July 28 - Aug 03 2025</t>
        </is>
      </c>
      <c r="B69" s="382" t="n">
        <v>19107.22</v>
      </c>
      <c r="C69" s="399">
        <f>(B69*0.06)*1.13</f>
        <v/>
      </c>
      <c r="D69" s="399">
        <f>(B69*0.02)*1.13</f>
        <v/>
      </c>
      <c r="E69" s="11" t="n">
        <v>778</v>
      </c>
      <c r="F69" s="391" t="n">
        <v>19220.35</v>
      </c>
      <c r="G69" s="389" t="n">
        <v>16285.36</v>
      </c>
      <c r="H69" s="389" t="n">
        <v>206.87</v>
      </c>
      <c r="I69" s="389" t="n">
        <v>130.04</v>
      </c>
      <c r="J69" s="389" t="n">
        <v>2598.08</v>
      </c>
      <c r="K69" s="390" t="n">
        <v>2572.08</v>
      </c>
      <c r="L69" s="383" t="n">
        <v>87.13</v>
      </c>
      <c r="M69" s="383" t="n"/>
      <c r="N69" s="383" t="n"/>
      <c r="O69" s="389">
        <f>K69-L69</f>
        <v/>
      </c>
      <c r="P69" s="389">
        <f>SUM(G69,H69,I69,O69)</f>
        <v/>
      </c>
    </row>
    <row r="70">
      <c r="A70" s="394" t="inlineStr">
        <is>
          <t>Aug 04 - Aug 10 2025</t>
        </is>
      </c>
      <c r="B70" s="382" t="n">
        <v>18962.14</v>
      </c>
      <c r="C70" s="399">
        <f>(B70*0.06)*1.13</f>
        <v/>
      </c>
      <c r="D70" s="399">
        <f>(B70*0.02)*1.13</f>
        <v/>
      </c>
      <c r="E70" s="11" t="n">
        <v>773</v>
      </c>
      <c r="F70" s="391" t="n">
        <v>19164</v>
      </c>
      <c r="G70" s="389" t="n">
        <v>16060.62</v>
      </c>
      <c r="H70" s="389" t="n">
        <v>0</v>
      </c>
      <c r="I70" s="389" t="n">
        <v>77.98999999999999</v>
      </c>
      <c r="J70" s="389" t="n">
        <v>3025.39</v>
      </c>
      <c r="K70" s="390" t="n">
        <v>2945.04</v>
      </c>
      <c r="L70" s="383" t="n">
        <v>121.51</v>
      </c>
      <c r="M70" s="383" t="n"/>
      <c r="N70" s="383" t="n"/>
      <c r="O70" s="389">
        <f>K70-L70</f>
        <v/>
      </c>
      <c r="P70" s="389">
        <f>SUM(G70,H70,I70,O70)</f>
        <v/>
      </c>
    </row>
    <row r="71">
      <c r="A71" s="394" t="inlineStr">
        <is>
          <t>Aug 11 - Aug 17 2025</t>
        </is>
      </c>
      <c r="B71" s="382" t="n">
        <v>18130.69</v>
      </c>
      <c r="C71" s="399">
        <f>(B71*0.06)*1.13</f>
        <v/>
      </c>
      <c r="D71" s="399">
        <f>(B71*0.02)*1.13</f>
        <v/>
      </c>
      <c r="E71" s="11" t="n">
        <v>753</v>
      </c>
      <c r="F71" s="391" t="n">
        <v>18248.85</v>
      </c>
      <c r="G71" s="389" t="n">
        <v>15537.57</v>
      </c>
      <c r="H71" s="389" t="n">
        <v>146.61</v>
      </c>
      <c r="I71" s="118" t="n">
        <v>0</v>
      </c>
      <c r="J71" s="389" t="n">
        <v>2564.67</v>
      </c>
      <c r="K71" s="383" t="n">
        <v>2430.37</v>
      </c>
      <c r="L71" s="383" t="n">
        <v>94.98999999999999</v>
      </c>
      <c r="M71" s="383" t="n">
        <v>134.3</v>
      </c>
      <c r="N71" s="383" t="n">
        <v>23.17</v>
      </c>
      <c r="O71" s="389">
        <f>(K71-L71)+(M71-N71)</f>
        <v/>
      </c>
      <c r="P71" s="389">
        <f>SUM(G71,H71,I71,O71)</f>
        <v/>
      </c>
    </row>
    <row r="72">
      <c r="A72" s="394" t="inlineStr">
        <is>
          <t>Aug 18 - Aug 24 2025</t>
        </is>
      </c>
      <c r="B72" s="382" t="n">
        <v>19722.38</v>
      </c>
      <c r="C72" s="399">
        <f>(B72*0.06)*1.13</f>
        <v/>
      </c>
      <c r="D72" s="399">
        <f>(B72*0.02)*1.13</f>
        <v/>
      </c>
      <c r="E72" s="11" t="n">
        <v>808</v>
      </c>
      <c r="F72" s="391" t="n">
        <v>19850.71</v>
      </c>
      <c r="G72" s="389" t="n">
        <v>17089.19</v>
      </c>
      <c r="H72" s="389" t="n">
        <v>22.8</v>
      </c>
      <c r="I72" s="389" t="n">
        <v>145.63</v>
      </c>
      <c r="J72" s="389" t="n">
        <v>2593.09</v>
      </c>
      <c r="K72" s="390" t="n">
        <v>2470.78</v>
      </c>
      <c r="L72" s="383" t="n">
        <v>87.91</v>
      </c>
      <c r="M72" s="390" t="n">
        <v>122.31</v>
      </c>
      <c r="N72" s="383" t="n">
        <v>40.42</v>
      </c>
      <c r="O72" s="389">
        <f>(K72-L72)+(M72-N72)</f>
        <v/>
      </c>
      <c r="P72" s="389">
        <f>SUM(G72,H72,I72,O72)</f>
        <v/>
      </c>
    </row>
    <row r="73">
      <c r="A73" s="394" t="inlineStr">
        <is>
          <t>Aug 25 - Aug 31 2025</t>
        </is>
      </c>
      <c r="B73" s="382" t="n">
        <v>22023.84</v>
      </c>
      <c r="C73" s="399">
        <f>(B73*0.06)*1.13</f>
        <v/>
      </c>
      <c r="D73" s="399">
        <f>(B73*0.02)*1.13</f>
        <v/>
      </c>
      <c r="E73" s="11" t="n">
        <v>862</v>
      </c>
      <c r="F73" s="391" t="n">
        <v>22176.92</v>
      </c>
      <c r="G73" s="389" t="n">
        <v>19647.22</v>
      </c>
      <c r="H73" s="11" t="n">
        <v>0</v>
      </c>
      <c r="I73" s="389" t="n">
        <v>52.8</v>
      </c>
      <c r="J73" s="389" t="n">
        <v>2476.9</v>
      </c>
      <c r="K73" s="390" t="n">
        <v>2387.77</v>
      </c>
      <c r="L73" s="383" t="n">
        <v>142.22</v>
      </c>
      <c r="M73" s="390" t="n">
        <v>89.13</v>
      </c>
      <c r="N73" s="383" t="n">
        <v>10.86</v>
      </c>
      <c r="O73" s="389">
        <f>(K73-L73)+(M73-N73)</f>
        <v/>
      </c>
      <c r="P73" s="389">
        <f>SUM(G73,H73,I73,O73)</f>
        <v/>
      </c>
    </row>
    <row r="74">
      <c r="A74" s="394" t="inlineStr">
        <is>
          <t>Sep 01 - Sep 07 2025</t>
        </is>
      </c>
      <c r="B74" s="382" t="n">
        <v>11468.06</v>
      </c>
      <c r="C74" s="399">
        <f>(B74*0.06)*1.13</f>
        <v/>
      </c>
      <c r="D74" s="399">
        <f>(B74*0.02)*1.13</f>
        <v/>
      </c>
      <c r="E74" s="11" t="n">
        <v>391</v>
      </c>
      <c r="F74" s="391" t="n">
        <v>11550.05</v>
      </c>
      <c r="G74" s="389" t="n">
        <v>9266.1</v>
      </c>
      <c r="H74" s="389" t="n">
        <v>26.4</v>
      </c>
      <c r="I74" s="389" t="n">
        <v>229.45</v>
      </c>
      <c r="J74" s="389" t="n">
        <v>2028.1</v>
      </c>
      <c r="K74" s="390" t="n">
        <v>1917.76</v>
      </c>
      <c r="L74" s="383" t="n">
        <v>60.26</v>
      </c>
      <c r="M74" s="383" t="n">
        <v>110.34</v>
      </c>
      <c r="N74" s="383" t="n">
        <v>21.73</v>
      </c>
      <c r="O74" s="389">
        <f>(K74-L74)+(M74-N74)</f>
        <v/>
      </c>
      <c r="P74" s="389">
        <f>SUM(G74,H74,I74,O74)</f>
        <v/>
      </c>
    </row>
    <row r="75">
      <c r="A75" s="394" t="inlineStr">
        <is>
          <t>Sep 08 - Sep 14 2025</t>
        </is>
      </c>
      <c r="B75" s="382" t="n">
        <v>12290.23</v>
      </c>
      <c r="C75" s="399">
        <f>(B75*0.06)*1.13</f>
        <v/>
      </c>
      <c r="D75" s="399">
        <f>(B75*0.02)*1.13</f>
        <v/>
      </c>
      <c r="E75" s="11" t="n">
        <v>452</v>
      </c>
      <c r="F75" s="391" t="n">
        <v>12373.21</v>
      </c>
      <c r="G75" s="389" t="n">
        <v>9454.77</v>
      </c>
      <c r="H75" s="389" t="n">
        <v>18</v>
      </c>
      <c r="I75" s="389" t="n">
        <v>259.01</v>
      </c>
      <c r="J75" s="389" t="n">
        <v>2641.43</v>
      </c>
      <c r="K75" s="390" t="n">
        <v>2641.43</v>
      </c>
      <c r="L75" s="383" t="n">
        <v>122.45</v>
      </c>
      <c r="M75" s="390" t="n">
        <v>55.77</v>
      </c>
      <c r="N75" s="383" t="n">
        <v>16.3</v>
      </c>
      <c r="O75" s="389">
        <f>(K75-L75)+(M75-N75)</f>
        <v/>
      </c>
      <c r="P75" s="389">
        <f>SUM(G75,H75,I75,O75)</f>
        <v/>
      </c>
    </row>
    <row r="76">
      <c r="A76" s="394" t="inlineStr">
        <is>
          <t>Sep 15 - Sep 21 2025</t>
        </is>
      </c>
      <c r="B76" s="382" t="n">
        <v>8507.110000000001</v>
      </c>
      <c r="C76" s="399">
        <f>(B76*0.06)*1.13</f>
        <v/>
      </c>
      <c r="D76" s="399">
        <f>(B76*0.02)*1.13</f>
        <v/>
      </c>
      <c r="E76" s="11" t="n">
        <v>335</v>
      </c>
      <c r="F76" s="391" t="n">
        <v>8512.530000000001</v>
      </c>
      <c r="G76" s="389" t="n">
        <v>6620.89</v>
      </c>
      <c r="H76" s="389" t="n">
        <v>26.4</v>
      </c>
      <c r="I76" s="389" t="n">
        <v>106.06</v>
      </c>
      <c r="J76" s="389" t="n">
        <v>1759.18</v>
      </c>
      <c r="K76" s="390" t="n">
        <v>1810.78</v>
      </c>
      <c r="L76" s="383" t="n">
        <v>94.23999999999999</v>
      </c>
      <c r="M76" s="390" t="n">
        <v>48.56</v>
      </c>
      <c r="N76" s="383" t="n">
        <v>11.34</v>
      </c>
      <c r="O76" s="389">
        <f>(K76-L76)+(M76-N76)</f>
        <v/>
      </c>
      <c r="P76" s="389">
        <f>SUM(G76,H76,I76,O76)</f>
        <v/>
      </c>
    </row>
    <row r="77">
      <c r="A77" s="394" t="inlineStr">
        <is>
          <t>Sep 22 - Sep 28 2025</t>
        </is>
      </c>
      <c r="B77" s="382" t="n">
        <v>10453.18</v>
      </c>
      <c r="C77" s="399">
        <f>(B77*0.06)*1.13</f>
        <v/>
      </c>
      <c r="D77" s="399">
        <f>(B77*0.02)*1.13</f>
        <v/>
      </c>
      <c r="E77" s="11" t="n">
        <v>390</v>
      </c>
      <c r="F77" s="391" t="n">
        <v>10566.69</v>
      </c>
      <c r="G77" s="389" t="n">
        <v>7952.51</v>
      </c>
      <c r="H77" s="389" t="n">
        <v>24.29</v>
      </c>
      <c r="I77" s="389" t="n">
        <v>96.69</v>
      </c>
      <c r="J77" s="389" t="n">
        <v>2493.2</v>
      </c>
      <c r="K77" s="383" t="n">
        <v>2430.84</v>
      </c>
      <c r="L77" s="383" t="n">
        <v>115.92</v>
      </c>
      <c r="M77" s="390" t="n">
        <v>81.54000000000001</v>
      </c>
      <c r="N77" s="383" t="n">
        <v>16.77</v>
      </c>
      <c r="O77" s="389">
        <f>(K77-L77)+(M77-N77)</f>
        <v/>
      </c>
      <c r="P77" s="389">
        <f>SUM(G77,H77,I77,O77)</f>
        <v/>
      </c>
    </row>
    <row r="78">
      <c r="A78" s="394" t="inlineStr">
        <is>
          <t>Sep 29 - Oct 05 2025</t>
        </is>
      </c>
      <c r="B78" s="382" t="n">
        <v>9956.32</v>
      </c>
      <c r="C78" s="399">
        <f>(B78*0.06)*1.13</f>
        <v/>
      </c>
      <c r="D78" s="399">
        <f>(B78*0.02)*1.13</f>
        <v/>
      </c>
      <c r="E78" s="11" t="n">
        <v>404</v>
      </c>
      <c r="F78" s="391" t="n">
        <v>9897.83</v>
      </c>
      <c r="G78" s="389" t="n">
        <v>7642.19</v>
      </c>
      <c r="H78" s="389" t="n">
        <v>27.6</v>
      </c>
      <c r="I78" s="389" t="n">
        <v>320.86</v>
      </c>
      <c r="J78" s="389" t="n">
        <v>1907.18</v>
      </c>
      <c r="K78" s="390" t="n">
        <v>1983.32</v>
      </c>
      <c r="L78" s="383" t="n">
        <v>17.65</v>
      </c>
      <c r="M78" s="390" t="n">
        <v>0</v>
      </c>
      <c r="N78" s="383" t="n">
        <v>0</v>
      </c>
      <c r="O78" s="389">
        <f>(K78-L78)+(M78-N78)</f>
        <v/>
      </c>
      <c r="P78" s="389">
        <f>SUM(G78,H78,I78,O78)</f>
        <v/>
      </c>
    </row>
    <row r="79">
      <c r="A79" s="394" t="inlineStr">
        <is>
          <t>Oct 6 - Oct 12 2025</t>
        </is>
      </c>
      <c r="B79" s="382" t="n">
        <v>11492.36</v>
      </c>
      <c r="C79" s="399">
        <f>(B79*0.06)*1.13</f>
        <v/>
      </c>
      <c r="D79" s="399">
        <f>(B79*0.02)*1.13</f>
        <v/>
      </c>
      <c r="E79" s="11" t="n">
        <v>448</v>
      </c>
      <c r="F79" s="391" t="n">
        <v>11396.56</v>
      </c>
      <c r="G79" s="389" t="n">
        <v>9153.5</v>
      </c>
      <c r="H79" s="389" t="n">
        <v>198.59</v>
      </c>
      <c r="I79" s="389" t="n">
        <v>151.37</v>
      </c>
      <c r="J79" s="389" t="n">
        <v>1893.1</v>
      </c>
      <c r="K79" s="383" t="n">
        <v>1988.9</v>
      </c>
      <c r="L79" s="383" t="n">
        <v>0</v>
      </c>
      <c r="M79" s="390" t="n">
        <v>0</v>
      </c>
      <c r="N79" s="383" t="n">
        <v>0</v>
      </c>
      <c r="O79" s="389">
        <f>(K79-L79)+(M79-N79)</f>
        <v/>
      </c>
      <c r="P79" s="389">
        <f>SUM(G79,H79,I79,O79)</f>
        <v/>
      </c>
    </row>
    <row r="80">
      <c r="A80" s="394" t="inlineStr">
        <is>
          <t>Oct 13 - Oct 19 2025</t>
        </is>
      </c>
      <c r="B80" s="382" t="n">
        <v>12660.06</v>
      </c>
      <c r="C80" s="399">
        <f>(B80*0.06)*1.13</f>
        <v/>
      </c>
      <c r="D80" s="399">
        <f>(B80*0.02)*1.13</f>
        <v/>
      </c>
      <c r="E80" s="11" t="n"/>
      <c r="F80" s="394" t="n">
        <v>12633.66</v>
      </c>
      <c r="G80" s="394" t="n">
        <v>10151.39</v>
      </c>
      <c r="H80" s="394" t="n">
        <v>58.8</v>
      </c>
      <c r="I80" s="394" t="n">
        <v>134.73</v>
      </c>
      <c r="J80" s="394" t="n">
        <v>2288.74</v>
      </c>
      <c r="K80" s="383" t="n">
        <v>2315.14</v>
      </c>
      <c r="L80" s="383" t="n">
        <v>0</v>
      </c>
      <c r="M80" s="390" t="n">
        <v>0</v>
      </c>
      <c r="N80" s="383" t="n">
        <v>0</v>
      </c>
      <c r="O80" s="389">
        <f>(K80-L80)+(M80-N80)</f>
        <v/>
      </c>
      <c r="P80" s="389">
        <f>SUM(G80,H80,I80,O80)</f>
        <v/>
      </c>
    </row>
    <row r="81">
      <c r="A81" s="394" t="inlineStr">
        <is>
          <t>Oct 20 - Oct 26 2025</t>
        </is>
      </c>
      <c r="B81" s="382" t="n">
        <v>11775.34</v>
      </c>
      <c r="C81" s="399">
        <f>(B81*0.06)*1.13</f>
        <v/>
      </c>
      <c r="D81" s="399">
        <f>(B81*0.02)*1.13</f>
        <v/>
      </c>
      <c r="E81" s="418" t="n"/>
      <c r="F81" s="394" t="n">
        <v>11741.34</v>
      </c>
      <c r="G81" s="394" t="n">
        <v>9570.549999999999</v>
      </c>
      <c r="H81" s="394" t="n">
        <v>47.99</v>
      </c>
      <c r="I81" s="394" t="n">
        <v>176.47</v>
      </c>
      <c r="J81" s="394" t="n">
        <v>1946.33</v>
      </c>
      <c r="K81" s="383" t="n">
        <v>1980.33</v>
      </c>
      <c r="L81" s="383" t="n">
        <v>0</v>
      </c>
      <c r="M81" s="390" t="n">
        <v>0</v>
      </c>
      <c r="N81" s="383" t="n">
        <v>0</v>
      </c>
      <c r="O81" s="389">
        <f>(K81-L81)+(M81-N81)</f>
        <v/>
      </c>
      <c r="P81" s="389">
        <f>SUM(G81,H81,I81,O81)</f>
        <v/>
      </c>
    </row>
    <row r="82">
      <c r="A82" s="394" t="inlineStr">
        <is>
          <t>Oct 27 - Nov 02 2025</t>
        </is>
      </c>
      <c r="B82" s="382" t="n">
        <v>12776.83</v>
      </c>
      <c r="C82" s="399">
        <f>(B82*0.06)*1.13</f>
        <v/>
      </c>
      <c r="D82" s="399">
        <f>(B82*0.02)*1.13</f>
        <v/>
      </c>
      <c r="E82" s="302" t="n">
        <v>441</v>
      </c>
      <c r="F82" s="394" t="n">
        <v>12727.63</v>
      </c>
      <c r="G82" s="394" t="n">
        <v>10607.79</v>
      </c>
      <c r="H82" s="394" t="n">
        <v>103.54</v>
      </c>
      <c r="I82" s="394" t="n">
        <v>45.58</v>
      </c>
      <c r="J82" s="394" t="n">
        <v>1970.72</v>
      </c>
      <c r="K82" s="383" t="n">
        <v>1971.36</v>
      </c>
      <c r="L82" s="383" t="n">
        <v>0</v>
      </c>
      <c r="M82" s="383" t="n">
        <v>48.56</v>
      </c>
      <c r="N82" s="383" t="n">
        <v>0</v>
      </c>
      <c r="O82" s="389">
        <f>(K82-L82)+(M82-N82)</f>
        <v/>
      </c>
      <c r="P82" s="389">
        <f>SUM(G82,H82,I82,O82)</f>
        <v/>
      </c>
    </row>
    <row r="83">
      <c r="A83" s="394" t="inlineStr">
        <is>
          <t>Nov 03 - Nov 09 2025</t>
        </is>
      </c>
      <c r="B83" s="382" t="n">
        <v>10311.84</v>
      </c>
      <c r="C83" s="399">
        <f>(B83*0.06)*1.13</f>
        <v/>
      </c>
      <c r="D83" s="399">
        <f>(B83*0.02)*1.13</f>
        <v/>
      </c>
      <c r="E83" s="302" t="inlineStr">
        <is>
          <t>336</t>
        </is>
      </c>
      <c r="F83" s="418" t="n">
        <v>10336.24</v>
      </c>
      <c r="G83" s="394" t="n">
        <v>6799.22</v>
      </c>
      <c r="H83" s="394" t="n">
        <v>67.2</v>
      </c>
      <c r="I83" s="394" t="n">
        <v>81.64</v>
      </c>
      <c r="J83" s="394" t="n">
        <v>3388.18</v>
      </c>
      <c r="K83" s="383" t="n">
        <v>3363.78</v>
      </c>
      <c r="L83" s="383" t="n">
        <v>0</v>
      </c>
      <c r="M83" s="390" t="n">
        <v>0</v>
      </c>
      <c r="N83" s="383" t="n">
        <v>0</v>
      </c>
      <c r="O83" s="389">
        <f>(K83-L83)+(M83-N83)</f>
        <v/>
      </c>
      <c r="P83" s="389">
        <f>SUM(G83,H83,I83,O83)</f>
        <v/>
      </c>
    </row>
    <row r="84">
      <c r="A84" s="394" t="inlineStr">
        <is>
          <t>Nov 10 - Nov 16 2025</t>
        </is>
      </c>
      <c r="B84" s="382" t="n">
        <v>9167.09</v>
      </c>
      <c r="C84" s="399">
        <f>(B84*0.06)*1.13</f>
        <v/>
      </c>
      <c r="D84" s="399">
        <f>(B84*0.02)*1.13</f>
        <v/>
      </c>
      <c r="E84" s="302" t="inlineStr">
        <is>
          <t>306</t>
        </is>
      </c>
      <c r="F84" s="418" t="n">
        <v>9167.09</v>
      </c>
      <c r="G84" s="394" t="n">
        <v>6595.57</v>
      </c>
      <c r="H84" s="394" t="n">
        <v>99.88</v>
      </c>
      <c r="I84" s="394" t="n">
        <v>122.38</v>
      </c>
      <c r="J84" s="394" t="n">
        <v>2349.26</v>
      </c>
      <c r="K84" s="383" t="n">
        <v>2325.28</v>
      </c>
      <c r="L84" s="383" t="n">
        <v>0</v>
      </c>
      <c r="M84" s="383" t="n">
        <v>23.98</v>
      </c>
      <c r="N84" s="383" t="n">
        <v>0</v>
      </c>
      <c r="O84" s="389">
        <f>(K84-L84)+(M84-N84)</f>
        <v/>
      </c>
      <c r="P84" s="389">
        <f>SUM(G84,H84,I84,O84)</f>
        <v/>
      </c>
    </row>
    <row r="85">
      <c r="A85" s="2" t="inlineStr">
        <is>
          <t>Nov 17 - Nov 23 2025</t>
        </is>
      </c>
      <c r="B85" s="382" t="n">
        <v>10724.92</v>
      </c>
      <c r="C85" s="399">
        <f>(B85*0.06)*1.13</f>
        <v/>
      </c>
      <c r="D85" s="399">
        <f>(B85*0.02)*1.13</f>
        <v/>
      </c>
      <c r="E85" s="302" t="inlineStr">
        <is>
          <t>368</t>
        </is>
      </c>
      <c r="F85" s="394" t="n">
        <v>10820.8</v>
      </c>
      <c r="G85" s="394" t="n">
        <v>8469.629999999999</v>
      </c>
      <c r="H85" s="394" t="n">
        <v>91.59999999999999</v>
      </c>
      <c r="I85" s="394" t="n">
        <v>125.39</v>
      </c>
      <c r="J85" s="394" t="n">
        <v>2134.18</v>
      </c>
      <c r="K85" s="383" t="n">
        <v>2134.18</v>
      </c>
      <c r="L85" s="383" t="n">
        <v>95.88</v>
      </c>
      <c r="M85" s="390" t="n">
        <v>0</v>
      </c>
      <c r="N85" s="383" t="n">
        <v>0</v>
      </c>
      <c r="O85" s="389">
        <f>(K85-L85)+(M85-N85)</f>
        <v/>
      </c>
      <c r="P85" s="389">
        <f>SUM(G85,H85,I85,O85)</f>
        <v/>
      </c>
    </row>
    <row r="86">
      <c r="A86" s="2" t="inlineStr">
        <is>
          <t>Nov 24 - Nov 30 2025</t>
        </is>
      </c>
      <c r="B86" s="382" t="n">
        <v>10630.86</v>
      </c>
      <c r="C86" s="399">
        <f>(B86*0.06)*1.13</f>
        <v/>
      </c>
      <c r="D86" s="399">
        <f>(B86*0.02)*1.13</f>
        <v/>
      </c>
      <c r="E86" s="394" t="n">
        <v>382</v>
      </c>
      <c r="F86" s="394" t="n">
        <v>10725.94</v>
      </c>
      <c r="G86" s="394" t="n">
        <v>7644.15</v>
      </c>
      <c r="H86" s="394" t="n">
        <v>78.39</v>
      </c>
      <c r="I86" s="394" t="n">
        <v>185.93</v>
      </c>
      <c r="J86" s="394" t="n">
        <v>2817.47</v>
      </c>
      <c r="K86" s="383" t="n">
        <v>2819.47</v>
      </c>
      <c r="L86" s="383" t="n">
        <v>97.08</v>
      </c>
      <c r="M86" s="390" t="n">
        <v>0</v>
      </c>
      <c r="N86" s="383" t="n">
        <v>0</v>
      </c>
      <c r="O86" s="389">
        <f>(K86-L86)+(M86-N86)</f>
        <v/>
      </c>
      <c r="P86" s="389">
        <f>SUM(G86,H86,I86,O86)</f>
        <v/>
      </c>
    </row>
    <row r="87">
      <c r="A87" s="11" t="inlineStr">
        <is>
          <t>Dec 01 - Dec 07 2025</t>
        </is>
      </c>
      <c r="B87" s="382" t="n">
        <v>10691.56</v>
      </c>
      <c r="C87" s="394">
        <f>(B87*0.06)*1.13</f>
        <v/>
      </c>
      <c r="D87" s="394">
        <f>(B87*0.02)*1.13</f>
        <v/>
      </c>
      <c r="E87" s="304" t="n">
        <v>361</v>
      </c>
      <c r="F87" s="394" t="n">
        <v>11000.2</v>
      </c>
      <c r="G87" s="394" t="n">
        <v>6631.19</v>
      </c>
      <c r="H87" s="56" t="n">
        <v>24.3</v>
      </c>
      <c r="I87" s="394" t="n">
        <v>259.04</v>
      </c>
      <c r="J87" s="394" t="n">
        <v>4085.67</v>
      </c>
      <c r="K87" s="373" t="n">
        <v>4085.67</v>
      </c>
      <c r="L87" s="373" t="n">
        <v>308.64</v>
      </c>
      <c r="M87" s="391" t="n">
        <v>0</v>
      </c>
      <c r="N87" s="373" t="n">
        <v>0</v>
      </c>
      <c r="O87" s="389">
        <f>(K87-L87)+(M87-N87)</f>
        <v/>
      </c>
      <c r="P87" s="389">
        <f>SUM(G87,H87,I87,O87)</f>
        <v/>
      </c>
    </row>
    <row r="88">
      <c r="A88" s="118" t="inlineStr">
        <is>
          <t>Dec 08 - Dec 14 2025</t>
        </is>
      </c>
      <c r="B88" s="382" t="n">
        <v>9321.370000000001</v>
      </c>
      <c r="C88" s="394">
        <f>(B88*0.06)*1.13</f>
        <v/>
      </c>
      <c r="D88" s="394">
        <f>(B88*0.02)*1.13</f>
        <v/>
      </c>
      <c r="E88" s="394" t="inlineStr">
        <is>
          <t>338</t>
        </is>
      </c>
      <c r="F88" s="394" t="n">
        <v>9581.049999999999</v>
      </c>
      <c r="G88" s="394" t="n">
        <v>6152.9</v>
      </c>
      <c r="H88" s="394" t="n">
        <v>42.21</v>
      </c>
      <c r="I88" s="394" t="n">
        <v>159.43</v>
      </c>
      <c r="J88" s="394" t="n">
        <v>3226.51</v>
      </c>
      <c r="K88" s="373" t="n">
        <v>3194.13</v>
      </c>
      <c r="L88" s="373" t="n">
        <v>259.68</v>
      </c>
      <c r="M88" s="373" t="n">
        <v>32.38</v>
      </c>
      <c r="N88" s="373" t="n">
        <v>0</v>
      </c>
      <c r="O88" s="389">
        <f>(K88-L88)+(M88-N88)</f>
        <v/>
      </c>
      <c r="P88" s="389">
        <f>SUM(G88,H88,I88,O88)</f>
        <v/>
      </c>
    </row>
    <row r="89">
      <c r="A89" s="11" t="inlineStr">
        <is>
          <t>Dec 15 - Dec 21 2025</t>
        </is>
      </c>
      <c r="B89" s="382" t="n">
        <v>11135.48</v>
      </c>
      <c r="C89" s="394">
        <f>(B89*0.06)*1.13</f>
        <v/>
      </c>
      <c r="D89" s="394">
        <f>(B89*0.02)*1.13</f>
        <v/>
      </c>
      <c r="E89" s="394" t="inlineStr">
        <is>
          <t>385</t>
        </is>
      </c>
      <c r="F89" s="394" t="n">
        <v>11518.17</v>
      </c>
      <c r="G89" s="394" t="n">
        <v>7247.33</v>
      </c>
      <c r="H89" s="394" t="n">
        <v>76</v>
      </c>
      <c r="I89" s="394" t="n">
        <v>171.26</v>
      </c>
      <c r="J89" s="394" t="n">
        <v>4023.58</v>
      </c>
      <c r="K89" s="373" t="n">
        <v>4012.21</v>
      </c>
      <c r="L89" s="373" t="n">
        <v>440.67</v>
      </c>
      <c r="M89" s="373" t="n">
        <v>69.34999999999999</v>
      </c>
      <c r="N89" s="373" t="n">
        <v>0</v>
      </c>
      <c r="O89" s="389">
        <f>(K89-L89)+(M89-N89)</f>
        <v/>
      </c>
      <c r="P89" s="389">
        <f>SUM(G89,H89,I89,O89)</f>
        <v/>
      </c>
    </row>
    <row r="90">
      <c r="A90" s="11" t="inlineStr">
        <is>
          <t>Dec 22 - Dec 28 2025</t>
        </is>
      </c>
      <c r="B90" s="382" t="n">
        <v>12397.21</v>
      </c>
      <c r="C90" s="394">
        <f>(B90*0.06)*1.13</f>
        <v/>
      </c>
      <c r="D90" s="394">
        <f>(B90*0.02)*1.13</f>
        <v/>
      </c>
      <c r="E90" s="304" t="n">
        <v>376</v>
      </c>
      <c r="F90" s="394" t="n">
        <v>12664.69</v>
      </c>
      <c r="G90" s="394" t="n">
        <v>9057.709999999999</v>
      </c>
      <c r="H90" s="394" t="n">
        <v>165.78</v>
      </c>
      <c r="I90" s="394" t="n">
        <v>145.17</v>
      </c>
      <c r="J90" s="394" t="n">
        <v>3296.03</v>
      </c>
      <c r="K90" s="373" t="n">
        <v>3296.03</v>
      </c>
      <c r="L90" s="373" t="n">
        <v>295.05</v>
      </c>
      <c r="M90" s="373" t="n">
        <v>27.57</v>
      </c>
      <c r="N90" s="373" t="n">
        <v>0</v>
      </c>
      <c r="O90" s="389">
        <f>(K90-L90)+(M90-N90)</f>
        <v/>
      </c>
      <c r="P90" s="389">
        <f>SUM(G90,H90,I90,O90)</f>
        <v/>
      </c>
    </row>
    <row r="91">
      <c r="A91" s="11" t="inlineStr">
        <is>
          <t>Dec 29 - Jan 04 2026</t>
        </is>
      </c>
      <c r="B91" s="382" t="n">
        <v>13573.15</v>
      </c>
      <c r="C91" s="394">
        <f>(B91*0.06)*1.13</f>
        <v/>
      </c>
      <c r="D91" s="394">
        <f>(B91*0.02)*1.13</f>
        <v/>
      </c>
      <c r="E91" s="394" t="inlineStr">
        <is>
          <t>400</t>
        </is>
      </c>
      <c r="F91" s="394" t="n">
        <v>14098.07</v>
      </c>
      <c r="G91" s="394" t="n">
        <v>9346</v>
      </c>
      <c r="H91" s="394" t="n">
        <v>54.29</v>
      </c>
      <c r="I91" s="394" t="n">
        <v>498.75</v>
      </c>
      <c r="J91" s="394" t="n">
        <v>4199.03</v>
      </c>
      <c r="K91" s="383" t="n">
        <v>4181.5</v>
      </c>
      <c r="L91" s="383" t="n">
        <v>507.39</v>
      </c>
      <c r="M91" s="391" t="n">
        <v>0</v>
      </c>
      <c r="N91" s="373" t="n">
        <v>0</v>
      </c>
      <c r="O91" s="389">
        <f>(K91-L91)+(M91-N91)</f>
        <v/>
      </c>
      <c r="P91" s="389">
        <f>SUM(G91,H91,I91,O91)</f>
        <v/>
      </c>
    </row>
    <row r="92">
      <c r="A92" s="11" t="inlineStr">
        <is>
          <t>Jan 05 - Jan 11 2026</t>
        </is>
      </c>
      <c r="B92" s="382" t="n">
        <v>8906.77</v>
      </c>
      <c r="C92" s="394">
        <f>(B92*0.06)*1.13</f>
        <v/>
      </c>
      <c r="D92" s="394">
        <f>(B92*0.02)*1.13</f>
        <v/>
      </c>
      <c r="E92" s="394" t="inlineStr">
        <is>
          <t>322</t>
        </is>
      </c>
      <c r="F92" s="394" t="n">
        <v>9183.789999999999</v>
      </c>
      <c r="G92" s="394" t="n">
        <v>5791.15</v>
      </c>
      <c r="H92" s="394" t="n">
        <v>52.8</v>
      </c>
      <c r="I92" s="394" t="n">
        <v>177.15</v>
      </c>
      <c r="J92" s="394" t="n">
        <v>3162.69</v>
      </c>
      <c r="K92" s="383" t="n">
        <v>3208.89</v>
      </c>
      <c r="L92" s="383" t="n">
        <v>323.22</v>
      </c>
      <c r="M92" s="391" t="n">
        <v>0</v>
      </c>
      <c r="N92" s="373" t="n">
        <v>0</v>
      </c>
      <c r="O92" s="389">
        <f>(K92-L92)+(M92-N92)</f>
        <v/>
      </c>
      <c r="P92" s="389">
        <f>SUM(G92,H92,I92,O92)</f>
        <v/>
      </c>
    </row>
    <row r="93">
      <c r="A93" s="11" t="inlineStr">
        <is>
          <t>Jan 12 - Jan 18 2026</t>
        </is>
      </c>
      <c r="B93" s="382" t="n">
        <v>9483.839999999998</v>
      </c>
      <c r="C93" s="394">
        <f>(B93*0.06)*1.13</f>
        <v/>
      </c>
      <c r="D93" s="394">
        <f>(B93*0.02)*1.13</f>
        <v/>
      </c>
      <c r="E93" s="394" t="inlineStr">
        <is>
          <t>301</t>
        </is>
      </c>
      <c r="F93" s="394" t="n">
        <v>9941.609999999999</v>
      </c>
      <c r="G93" s="394" t="n">
        <v>5523.61</v>
      </c>
      <c r="H93" s="394" t="n">
        <v>26.4</v>
      </c>
      <c r="I93" s="394" t="n">
        <v>82.78</v>
      </c>
      <c r="J93" s="394" t="n">
        <v>4308.82</v>
      </c>
      <c r="K93" s="383" t="n">
        <v>4269.94</v>
      </c>
      <c r="L93" s="383" t="n">
        <v>483.64</v>
      </c>
      <c r="M93" s="383" t="n">
        <v>64.75</v>
      </c>
      <c r="N93" s="373" t="n">
        <v>0</v>
      </c>
      <c r="O93" s="389">
        <f>(K93-L93)+(M93-N93)</f>
        <v/>
      </c>
      <c r="P93" s="389">
        <f>SUM(G93,H93,I93,O93)</f>
        <v/>
      </c>
    </row>
    <row r="94">
      <c r="A94" s="30" t="inlineStr">
        <is>
          <t>Jan 19 - Jan 25 2026</t>
        </is>
      </c>
      <c r="B94" s="382" t="n">
        <v>9469.42</v>
      </c>
      <c r="C94" s="394">
        <f>(B94*0.06)*1.13</f>
        <v/>
      </c>
      <c r="D94" s="394">
        <f>(B94*0.02)*1.13</f>
        <v/>
      </c>
      <c r="E94" s="394" t="inlineStr">
        <is>
          <t>323</t>
        </is>
      </c>
      <c r="F94" s="394" t="n">
        <v>9949.43</v>
      </c>
      <c r="G94" s="394" t="n">
        <v>5760.51</v>
      </c>
      <c r="H94" s="394" t="n">
        <v>84</v>
      </c>
      <c r="I94" s="394" t="n">
        <v>191.33</v>
      </c>
      <c r="J94" s="394" t="n">
        <v>3913.59</v>
      </c>
      <c r="K94" s="383" t="n">
        <v>3915.59</v>
      </c>
      <c r="L94" s="383" t="n">
        <v>482.01</v>
      </c>
      <c r="M94" s="383" t="n">
        <v>0</v>
      </c>
      <c r="N94" s="373" t="n">
        <v>0</v>
      </c>
      <c r="O94" s="389">
        <f>(K94-L94)+(M94-N94)</f>
        <v/>
      </c>
      <c r="P94" s="389">
        <f>SUM(G94,H94,I94,O94)</f>
        <v/>
      </c>
    </row>
    <row r="95">
      <c r="A95" s="30" t="inlineStr">
        <is>
          <t>Jan 26 - Feb 01 2026</t>
        </is>
      </c>
      <c r="B95" s="382" t="n">
        <v>10309.22</v>
      </c>
      <c r="C95" s="394">
        <f>(B95*0.06)*1.13</f>
        <v/>
      </c>
      <c r="D95" s="394">
        <f>(B95*0.02)*1.13</f>
        <v/>
      </c>
      <c r="E95" s="394" t="inlineStr">
        <is>
          <t>291</t>
        </is>
      </c>
      <c r="F95" s="394" t="n">
        <v>10571.41</v>
      </c>
      <c r="G95" s="394" t="n">
        <v>6728.87</v>
      </c>
      <c r="H95" s="394" t="n">
        <v>186.48</v>
      </c>
      <c r="I95" s="394" t="n">
        <v>198.47</v>
      </c>
      <c r="J95" s="394" t="n">
        <v>3457.59</v>
      </c>
      <c r="K95" s="383" t="n">
        <v>3571.96</v>
      </c>
      <c r="L95" s="383" t="n">
        <v>376.56</v>
      </c>
      <c r="M95" s="383" t="n">
        <v>0</v>
      </c>
      <c r="N95" s="373" t="n">
        <v>0</v>
      </c>
      <c r="O95" s="389">
        <f>(K95-L95)+(M95-N95)</f>
        <v/>
      </c>
      <c r="P95" s="389">
        <f>SUM(G95,H95,I95,O95)</f>
        <v/>
      </c>
    </row>
    <row r="96">
      <c r="A96" s="30" t="inlineStr">
        <is>
          <t>Feb 02 - Feb 08 2026</t>
        </is>
      </c>
      <c r="B96" s="382" t="n">
        <v>10151.82</v>
      </c>
      <c r="C96" s="394">
        <f>(B96*0.06)*1.13</f>
        <v/>
      </c>
      <c r="D96" s="394">
        <f>(B96*0.02)*1.13</f>
        <v/>
      </c>
      <c r="E96" s="394" t="inlineStr">
        <is>
          <t>350</t>
        </is>
      </c>
      <c r="F96" s="394" t="n">
        <v>10485.17</v>
      </c>
      <c r="G96" s="394" t="n">
        <v>6839.92</v>
      </c>
      <c r="H96" s="394" t="n">
        <v>16</v>
      </c>
      <c r="I96" s="394" t="n">
        <v>196.79</v>
      </c>
      <c r="J96" s="394" t="n">
        <v>3432.46</v>
      </c>
      <c r="K96" s="383" t="n">
        <v>3213.39</v>
      </c>
      <c r="L96" s="383" t="n">
        <v>302.4</v>
      </c>
      <c r="M96" s="383" t="n">
        <v>303.4</v>
      </c>
      <c r="N96" s="383" t="n">
        <v>115.28</v>
      </c>
      <c r="O96" s="389">
        <f>(K96-L96)+(M96-N96)</f>
        <v/>
      </c>
      <c r="P96" s="389">
        <f>SUM(G96,H96,I96,O96)</f>
        <v/>
      </c>
    </row>
    <row r="97">
      <c r="A97" s="11" t="inlineStr">
        <is>
          <t>Feb 09 - Feb 15 2026</t>
        </is>
      </c>
      <c r="B97" s="382" t="n">
        <v>11865.48</v>
      </c>
      <c r="C97" s="394">
        <f>(B97*0.06)*1.13</f>
        <v/>
      </c>
      <c r="D97" s="394">
        <f>(B97*0.02)*1.13</f>
        <v/>
      </c>
      <c r="E97" s="394" t="inlineStr">
        <is>
          <t>401</t>
        </is>
      </c>
      <c r="F97" s="394" t="n">
        <v>12249.99</v>
      </c>
      <c r="G97" s="394" t="n">
        <v>8167.65</v>
      </c>
      <c r="H97" s="394" t="n">
        <v>64.90000000000001</v>
      </c>
      <c r="I97" s="394" t="n">
        <v>183.09</v>
      </c>
      <c r="J97" s="394" t="n">
        <v>3834.35</v>
      </c>
      <c r="K97" s="389" t="n">
        <v>3884.08</v>
      </c>
      <c r="L97" s="389" t="n">
        <v>501.82</v>
      </c>
      <c r="M97" s="389" t="n">
        <v>98.34</v>
      </c>
      <c r="N97" s="389" t="n">
        <v>30.76</v>
      </c>
      <c r="O97" s="389">
        <f>(K97-L97)+(M97-N97)</f>
        <v/>
      </c>
      <c r="P97" s="389">
        <f>SUM(G97,H97,I97,O97)</f>
        <v/>
      </c>
    </row>
    <row r="98">
      <c r="A98" s="11" t="inlineStr">
        <is>
          <t>Feb 16 - Feb 22 2026</t>
        </is>
      </c>
      <c r="B98" s="382" t="n">
        <v>7301.699999999999</v>
      </c>
      <c r="C98" s="394">
        <f>(B98*0.06)*1.13</f>
        <v/>
      </c>
      <c r="D98" s="394">
        <f>(B98*0.02)*1.13</f>
        <v/>
      </c>
      <c r="E98" s="394" t="inlineStr">
        <is>
          <t>264</t>
        </is>
      </c>
      <c r="F98" s="394" t="n">
        <v>7692.389999999999</v>
      </c>
      <c r="G98" s="394" t="n">
        <v>4703.17</v>
      </c>
      <c r="H98" s="394" t="n">
        <v>26.4</v>
      </c>
      <c r="I98" s="394" t="n">
        <v>34.67</v>
      </c>
      <c r="J98" s="394" t="n">
        <v>2928.15</v>
      </c>
      <c r="K98" s="389" t="n">
        <v>2753.49</v>
      </c>
      <c r="L98" s="389" t="n">
        <v>355</v>
      </c>
      <c r="M98" s="389" t="n">
        <v>228.66</v>
      </c>
      <c r="N98" s="389" t="n">
        <v>89.69</v>
      </c>
      <c r="O98" s="389">
        <f>(K98-L98)+(M98-N98)</f>
        <v/>
      </c>
      <c r="P98" s="389">
        <f>SUM(G98,H98,I98,O98)</f>
        <v/>
      </c>
    </row>
    <row r="99">
      <c r="A99" s="11" t="inlineStr">
        <is>
          <t>Feb 23 - Mar 1 2026</t>
        </is>
      </c>
      <c r="B99" s="382" t="n">
        <v>9621.789999999999</v>
      </c>
      <c r="C99" s="394">
        <f>(B99*0.06)*1.13</f>
        <v/>
      </c>
      <c r="D99" s="394">
        <f>(B99*0.02)*1.13</f>
        <v/>
      </c>
      <c r="E99" s="394" t="inlineStr">
        <is>
          <t>331</t>
        </is>
      </c>
      <c r="F99" s="394" t="n">
        <v>9985.73</v>
      </c>
      <c r="G99" s="394" t="n">
        <v>6044.16</v>
      </c>
      <c r="H99" s="394" t="n">
        <v>151.16</v>
      </c>
      <c r="I99" s="394" t="n">
        <v>186.41</v>
      </c>
      <c r="J99" s="394" t="n">
        <v>3604</v>
      </c>
      <c r="K99" s="389" t="n">
        <v>3546.44</v>
      </c>
      <c r="L99" s="389" t="n">
        <v>371.55</v>
      </c>
      <c r="M99" s="389" t="n">
        <v>95.93000000000001</v>
      </c>
      <c r="N99" s="389" t="n">
        <v>30.76</v>
      </c>
      <c r="O99" s="389">
        <f>(K99-L99)+(M99-N99)</f>
        <v/>
      </c>
      <c r="P99" s="389">
        <f>SUM(G99,H99,I99,O99)</f>
        <v/>
      </c>
    </row>
    <row r="100">
      <c r="A100" s="11" t="inlineStr">
        <is>
          <t>Mar 02 - Mar 08 2026</t>
        </is>
      </c>
      <c r="B100" s="382" t="n">
        <v>9564.93</v>
      </c>
      <c r="C100" s="394">
        <f>(B100*0.06)*1.13</f>
        <v/>
      </c>
      <c r="D100" s="394">
        <f>(B100*0.02)*1.13</f>
        <v/>
      </c>
      <c r="E100" s="302" t="inlineStr">
        <is>
          <t>290</t>
        </is>
      </c>
      <c r="F100" s="418" t="n">
        <v>9970.830000000002</v>
      </c>
      <c r="G100" s="394" t="n">
        <v>6076.89</v>
      </c>
      <c r="H100" s="394" t="n">
        <v>99.47</v>
      </c>
      <c r="I100" s="394" t="n">
        <v>337.21</v>
      </c>
      <c r="J100" s="56" t="n">
        <v>3457.26</v>
      </c>
      <c r="K100" s="389" t="n">
        <v>3358.81</v>
      </c>
      <c r="L100" s="389" t="n">
        <v>451.44</v>
      </c>
      <c r="M100" s="389" t="n">
        <v>234.67</v>
      </c>
      <c r="N100" s="389" t="n">
        <v>90.68000000000001</v>
      </c>
      <c r="O100" s="389">
        <f>(K100-L100)+(M100-N100)</f>
        <v/>
      </c>
      <c r="P100" s="389">
        <f>SUM(G100,H100,I100,O100)</f>
        <v/>
      </c>
    </row>
    <row r="101">
      <c r="A101" s="11" t="inlineStr">
        <is>
          <t>Mar 09 - Mar 15 2026</t>
        </is>
      </c>
      <c r="B101" s="382" t="n">
        <v>9468.790000000001</v>
      </c>
      <c r="C101" s="394">
        <f>(B101*0.06)*1.13</f>
        <v/>
      </c>
      <c r="D101" s="394">
        <f>(B101*0.02)*1.13</f>
        <v/>
      </c>
      <c r="E101" s="394" t="inlineStr">
        <is>
          <t>278</t>
        </is>
      </c>
      <c r="F101" s="394" t="n">
        <v>9838.09</v>
      </c>
      <c r="G101" s="394" t="n">
        <v>5570.43</v>
      </c>
      <c r="H101" s="394" t="n">
        <v>55.79</v>
      </c>
      <c r="I101" s="394" t="n">
        <v>239.63</v>
      </c>
      <c r="J101" s="394" t="n">
        <v>3972.24</v>
      </c>
      <c r="K101" s="383" t="n">
        <v>3866.72</v>
      </c>
      <c r="L101" s="383" t="n">
        <v>366.97</v>
      </c>
      <c r="M101" s="389" t="n">
        <v>165.51</v>
      </c>
      <c r="N101" s="389" t="n">
        <v>62.32</v>
      </c>
      <c r="O101" s="389">
        <f>(K101-L101)+(M101-N101)</f>
        <v/>
      </c>
      <c r="P101" s="389">
        <f>SUM(G101,H101,I101,O101)</f>
        <v/>
      </c>
    </row>
    <row r="102">
      <c r="A102" s="11" t="inlineStr">
        <is>
          <t>Mar 16 - Mar 22 2026</t>
        </is>
      </c>
      <c r="B102" s="382" t="n">
        <v>11279.79</v>
      </c>
      <c r="C102" s="394">
        <f>(B102*0.06)*1.13</f>
        <v/>
      </c>
      <c r="D102" s="394">
        <f>(B102*0.02)*1.13</f>
        <v/>
      </c>
      <c r="E102" s="394" t="inlineStr">
        <is>
          <t>317</t>
        </is>
      </c>
      <c r="F102" s="394" t="n">
        <v>11664.97</v>
      </c>
      <c r="G102" s="394" t="n">
        <v>7661.62</v>
      </c>
      <c r="H102" s="394" t="n">
        <v>116.44</v>
      </c>
      <c r="I102" s="394" t="n">
        <v>85.2</v>
      </c>
      <c r="J102" s="394" t="n">
        <v>3801.71</v>
      </c>
      <c r="K102" s="312" t="n">
        <v>3619.79</v>
      </c>
      <c r="L102" s="118" t="n">
        <v>292.65</v>
      </c>
      <c r="M102" s="118" t="n">
        <v>151.52</v>
      </c>
      <c r="N102" s="118" t="n">
        <v>62.13</v>
      </c>
      <c r="O102" s="389">
        <f>(K102-L102)+(M102-N102)</f>
        <v/>
      </c>
      <c r="P102" s="389">
        <f>SUM(G102,H102,I102,O102)</f>
        <v/>
      </c>
    </row>
    <row r="103">
      <c r="A103" s="11" t="inlineStr">
        <is>
          <t>Mar 23 - Mar 29 2026</t>
        </is>
      </c>
      <c r="B103" s="382" t="n">
        <v>10723.8</v>
      </c>
      <c r="C103" s="394">
        <f>(B103*0.06)*1.13</f>
        <v/>
      </c>
      <c r="D103" s="394">
        <f>(B103*0.02)*1.13</f>
        <v/>
      </c>
      <c r="E103" s="394" t="inlineStr">
        <is>
          <t>360</t>
        </is>
      </c>
      <c r="F103" s="394" t="n">
        <v>11094.33</v>
      </c>
      <c r="G103" s="394" t="n">
        <v>7227.32</v>
      </c>
      <c r="H103" s="394" t="n">
        <v>60.89</v>
      </c>
      <c r="I103" s="394" t="n">
        <v>308.61</v>
      </c>
      <c r="J103" s="394" t="n">
        <v>3497.51</v>
      </c>
      <c r="K103" s="312" t="n">
        <v>3440.56</v>
      </c>
      <c r="L103" s="118" t="n">
        <v>354.78</v>
      </c>
      <c r="M103" s="118" t="n">
        <v>71.95999999999999</v>
      </c>
      <c r="N103" s="118" t="n">
        <v>30.76</v>
      </c>
      <c r="O103" s="389">
        <f>(K103-L103)+(M103-N103)</f>
        <v/>
      </c>
      <c r="P103" s="389">
        <f>SUM(G103,H103,I103,O103)</f>
        <v/>
      </c>
    </row>
    <row r="104">
      <c r="A104" s="11" t="inlineStr">
        <is>
          <t>Mar 30 - Apr 05 2026</t>
        </is>
      </c>
      <c r="B104" s="382" t="n">
        <v>12777.21</v>
      </c>
      <c r="C104" s="394">
        <f>(B104*0.06)*1.13</f>
        <v/>
      </c>
      <c r="D104" s="394">
        <f>(B104*0.02)*1.13</f>
        <v/>
      </c>
      <c r="E104" s="394" t="inlineStr">
        <is>
          <t>386</t>
        </is>
      </c>
      <c r="F104" s="394" t="n">
        <v>13295</v>
      </c>
      <c r="G104" s="394" t="n">
        <v>8706.379999999999</v>
      </c>
      <c r="H104" s="394" t="n">
        <v>40.8</v>
      </c>
      <c r="I104" s="394" t="n">
        <v>349.66</v>
      </c>
      <c r="J104" s="394" t="n">
        <v>4198.16</v>
      </c>
      <c r="K104" s="389" t="n">
        <v>3944.3</v>
      </c>
      <c r="L104" s="389" t="n">
        <v>404.31</v>
      </c>
      <c r="M104" s="389" t="n">
        <v>235.86</v>
      </c>
      <c r="N104" s="389" t="n">
        <v>95.48</v>
      </c>
      <c r="O104" s="389">
        <f>(K104-L104)+(M104-N104)</f>
        <v/>
      </c>
      <c r="P104" s="389">
        <f>SUM(G104,H104,I104,O104)</f>
        <v/>
      </c>
    </row>
    <row r="105">
      <c r="A105" s="2" t="inlineStr">
        <is>
          <t>Apr 06 - Apr 12</t>
        </is>
      </c>
      <c r="B105" s="382" t="n">
        <v>10184.66</v>
      </c>
      <c r="C105" s="394">
        <f>(B105*0.06)*1.13</f>
        <v/>
      </c>
      <c r="D105" s="394">
        <f>(B105*0.02)*1.13</f>
        <v/>
      </c>
      <c r="E105" s="401" t="inlineStr">
        <is>
          <t>339</t>
        </is>
      </c>
      <c r="F105" s="401" t="n">
        <v>10330.84</v>
      </c>
      <c r="G105" s="401" t="n">
        <v>6700.68</v>
      </c>
      <c r="H105" s="401" t="n">
        <v>99.25</v>
      </c>
      <c r="I105" s="401" t="n">
        <v>77.40000000000001</v>
      </c>
      <c r="J105" s="401" t="n">
        <v>3453.51</v>
      </c>
      <c r="K105" s="383" t="n">
        <v>3406.08</v>
      </c>
      <c r="L105" s="383" t="n">
        <v>309.84</v>
      </c>
      <c r="M105" s="389" t="n">
        <v>271.62</v>
      </c>
      <c r="N105" s="389" t="n">
        <v>60.53</v>
      </c>
      <c r="O105" s="389">
        <f>(K105-L105)+(M105-N105)</f>
        <v/>
      </c>
      <c r="P105" s="389">
        <f>SUM(G105,H105,I105,O105)</f>
        <v/>
      </c>
    </row>
    <row r="106">
      <c r="A106" s="11" t="inlineStr">
        <is>
          <t>Apr 13 - Apr 19</t>
        </is>
      </c>
      <c r="B106" s="382" t="n">
        <v>11746.55</v>
      </c>
      <c r="C106" s="394">
        <f>(B106*0.06)*1.13</f>
        <v/>
      </c>
      <c r="D106" s="394">
        <f>(B106*0.02)*1.13</f>
        <v/>
      </c>
      <c r="E106" s="402" t="inlineStr">
        <is>
          <t>350</t>
        </is>
      </c>
      <c r="F106" s="402" t="n">
        <v>12433.3</v>
      </c>
      <c r="G106" s="402" t="n">
        <v>6959.42</v>
      </c>
      <c r="H106" s="402" t="n">
        <v>202.47</v>
      </c>
      <c r="I106" s="402" t="n">
        <v>442.59</v>
      </c>
      <c r="J106" s="402" t="n">
        <v>4828.82</v>
      </c>
      <c r="K106" s="383" t="n">
        <v>4446.28</v>
      </c>
      <c r="L106" s="383" t="n">
        <v>565.36</v>
      </c>
      <c r="M106" s="389" t="n">
        <v>431.74</v>
      </c>
      <c r="N106" s="389" t="n">
        <v>170.59</v>
      </c>
      <c r="O106" s="389">
        <f>(K106-L106)+(M106-N106)</f>
        <v/>
      </c>
      <c r="P106" s="389">
        <f>SUM(G106,H106,I106,O106)</f>
        <v/>
      </c>
    </row>
    <row r="107">
      <c r="A107" s="11" t="inlineStr">
        <is>
          <t>Apr 20 - Apr 26</t>
        </is>
      </c>
      <c r="B107" s="382" t="n">
        <v>12617.9</v>
      </c>
      <c r="C107" s="394">
        <f>(B107*0.06)*1.13</f>
        <v/>
      </c>
      <c r="D107" s="394">
        <f>(B107*0.02)*1.13</f>
        <v/>
      </c>
      <c r="E107" s="402" t="inlineStr">
        <is>
          <t>398</t>
        </is>
      </c>
      <c r="F107" s="402" t="n">
        <v>13167.54</v>
      </c>
      <c r="G107" s="402" t="n">
        <v>8609.43</v>
      </c>
      <c r="H107" s="402" t="n">
        <v>84.09999999999999</v>
      </c>
      <c r="I107" s="402" t="n">
        <v>244.21</v>
      </c>
      <c r="J107" s="402" t="n">
        <v>4229.8</v>
      </c>
      <c r="K107" s="383" t="n">
        <v>3821.64</v>
      </c>
      <c r="L107" s="383" t="n">
        <v>408.6</v>
      </c>
      <c r="M107" s="389" t="n">
        <v>444.53</v>
      </c>
      <c r="N107" s="389" t="n">
        <v>177.41</v>
      </c>
      <c r="O107" s="389">
        <f>(K107-L107)+(M107-N107)</f>
        <v/>
      </c>
      <c r="P107" s="389">
        <f>SUM(G107,H107,I107,O107)</f>
        <v/>
      </c>
    </row>
    <row r="108">
      <c r="A108" s="394" t="inlineStr">
        <is>
          <t>Apr 27 - May 03</t>
        </is>
      </c>
      <c r="B108" s="382" t="n">
        <v>12032.49</v>
      </c>
      <c r="C108" s="394">
        <f>(B108*0.06)*1.13</f>
        <v/>
      </c>
      <c r="D108" s="394">
        <f>(B108*0.02)*1.13</f>
        <v/>
      </c>
      <c r="E108" s="402" t="inlineStr">
        <is>
          <t>417</t>
        </is>
      </c>
      <c r="F108" s="402" t="n">
        <v>12216.61</v>
      </c>
      <c r="G108" s="402" t="n">
        <v>8287.74</v>
      </c>
      <c r="H108" s="402" t="n">
        <v>102.3</v>
      </c>
      <c r="I108" s="402" t="n">
        <v>155.88</v>
      </c>
      <c r="J108" s="402" t="n">
        <v>3670.69</v>
      </c>
      <c r="K108" s="339" t="inlineStr">
        <is>
          <t>$3,590.74</t>
        </is>
      </c>
      <c r="L108" s="339" t="inlineStr">
        <is>
          <t>$191.13</t>
        </is>
      </c>
      <c r="M108" s="338" t="inlineStr">
        <is>
          <t>$133.90</t>
        </is>
      </c>
      <c r="N108" s="338" t="inlineStr">
        <is>
          <t>$46.94</t>
        </is>
      </c>
      <c r="O108" s="389">
        <f>(K108-L108)+(M108-N108)</f>
        <v/>
      </c>
      <c r="P108" s="389">
        <f>SUM(G108,H108,I108,O108)</f>
        <v/>
      </c>
      <c r="Q108" s="402" t="n"/>
      <c r="R108" s="402" t="n"/>
      <c r="S108" s="402" t="n"/>
      <c r="T108" s="402" t="n"/>
      <c r="U108" s="402" t="n"/>
      <c r="V108" s="402" t="n"/>
      <c r="W108" s="402" t="n"/>
      <c r="X108" s="402" t="n"/>
      <c r="Y108" s="402" t="n"/>
      <c r="Z108" s="402" t="n"/>
      <c r="AA108" s="402" t="n"/>
      <c r="AB108" s="402" t="n"/>
    </row>
    <row r="109">
      <c r="A109" s="471" t="inlineStr">
        <is>
          <t>May 4 - May 10</t>
        </is>
      </c>
      <c r="B109" s="382" t="n">
        <v>14392.2</v>
      </c>
      <c r="C109" s="394">
        <f>(B109*0.06)*1.13</f>
        <v/>
      </c>
      <c r="D109" s="394">
        <f>(B109*0.02)*1.13</f>
        <v/>
      </c>
      <c r="E109" s="402" t="n">
        <v>492</v>
      </c>
      <c r="F109" s="402" t="n">
        <v>14442.83</v>
      </c>
      <c r="G109" s="402" t="n">
        <v>11228.97</v>
      </c>
      <c r="H109" s="402" t="n">
        <v>118.77</v>
      </c>
      <c r="I109" s="402" t="n">
        <v>151.62</v>
      </c>
      <c r="J109" s="402" t="n">
        <v>2943.47</v>
      </c>
      <c r="K109" s="406" t="n">
        <v>2880.13</v>
      </c>
      <c r="L109" s="406" t="n">
        <v>50.63</v>
      </c>
      <c r="M109" s="402" t="n">
        <v>63.34</v>
      </c>
      <c r="N109" s="402" t="n">
        <v>0</v>
      </c>
      <c r="O109" s="389">
        <f>(K109-L109)+(M109-N109)</f>
        <v/>
      </c>
      <c r="P109" s="389">
        <f>SUM(G109,H109,I109,O109)</f>
        <v/>
      </c>
      <c r="Q109" s="402" t="n"/>
      <c r="R109" s="402" t="n"/>
      <c r="S109" s="402" t="n"/>
      <c r="T109" s="402" t="n"/>
      <c r="U109" s="402" t="n"/>
      <c r="V109" s="402" t="n"/>
      <c r="W109" s="402" t="n"/>
      <c r="X109" s="402" t="n"/>
      <c r="Y109" s="402" t="n"/>
      <c r="Z109" s="402" t="n"/>
      <c r="AA109" s="402" t="n"/>
      <c r="AB109" s="402" t="n"/>
    </row>
    <row r="110">
      <c r="A110" s="471" t="inlineStr">
        <is>
          <t>May 11 - May 17</t>
        </is>
      </c>
      <c r="B110" s="473" t="n"/>
      <c r="C110" s="471" t="n"/>
      <c r="D110" s="471" t="n"/>
      <c r="E110" s="402" t="n">
        <v>681</v>
      </c>
      <c r="F110" s="402" t="n">
        <v>18212.5</v>
      </c>
      <c r="G110" s="402" t="n">
        <v>13790.83</v>
      </c>
      <c r="H110" s="402" t="n">
        <v>229.05</v>
      </c>
      <c r="I110" s="402" t="n">
        <v>221.08</v>
      </c>
      <c r="J110" s="402" t="n">
        <v>3971.54</v>
      </c>
      <c r="K110" s="406" t="n"/>
      <c r="L110" s="406" t="n"/>
      <c r="M110" s="402" t="n"/>
      <c r="N110" s="402" t="n"/>
      <c r="O110" s="472" t="n"/>
      <c r="P110" s="472" t="n"/>
      <c r="Q110" s="402" t="n"/>
      <c r="R110" s="402" t="n"/>
      <c r="S110" s="402" t="n"/>
      <c r="T110" s="402" t="n"/>
      <c r="U110" s="402" t="n"/>
      <c r="V110" s="402" t="n"/>
      <c r="W110" s="402" t="n"/>
      <c r="X110" s="402" t="n"/>
      <c r="Y110" s="402" t="n"/>
      <c r="Z110" s="402" t="n"/>
      <c r="AA110" s="402" t="n"/>
      <c r="AB110" s="402" t="n"/>
    </row>
    <row r="111" ht="41.4" customHeight="1">
      <c r="A111" s="471" t="n"/>
      <c r="B111" s="473" t="n"/>
      <c r="C111" s="471" t="n"/>
      <c r="D111" s="471" t="n"/>
      <c r="E111" s="402" t="n"/>
      <c r="F111" s="402" t="n"/>
      <c r="G111" s="402" t="n"/>
      <c r="H111" s="402" t="n"/>
      <c r="I111" s="402" t="n"/>
      <c r="J111" s="402" t="n"/>
      <c r="K111" s="406" t="n"/>
      <c r="L111" s="406" t="n"/>
      <c r="M111" s="402" t="n"/>
      <c r="N111" s="402" t="n"/>
      <c r="O111" s="472" t="n"/>
      <c r="P111" s="472" t="n"/>
      <c r="Q111" s="402" t="n"/>
      <c r="R111" s="402" t="n"/>
      <c r="S111" s="402" t="n"/>
      <c r="T111" s="402" t="n"/>
      <c r="U111" s="402" t="n"/>
      <c r="V111" s="402" t="n"/>
      <c r="W111" s="402" t="n"/>
      <c r="X111" s="402" t="n"/>
      <c r="Y111" s="402" t="n"/>
      <c r="Z111" s="402" t="n"/>
      <c r="AA111" s="402" t="n"/>
      <c r="AB111" s="402" t="n"/>
    </row>
    <row r="112" ht="41.4" customHeight="1">
      <c r="A112" s="474" t="inlineStr">
        <is>
          <t>May 11 - May 17</t>
        </is>
      </c>
      <c r="B112" s="478" t="n">
        <v>17935.11</v>
      </c>
      <c r="C112" s="394">
        <f>(B110*0.06)*1.13</f>
        <v/>
      </c>
      <c r="D112" s="394">
        <f>(B110*0.02)*1.13</f>
        <v/>
      </c>
      <c r="E112" s="402" t="n">
        <v>642</v>
      </c>
      <c r="F112" s="402" t="n">
        <v>17992.41</v>
      </c>
      <c r="G112" s="402" t="n">
        <v>14723.94</v>
      </c>
      <c r="H112" s="402" t="n">
        <v>70.56999999999999</v>
      </c>
      <c r="I112" s="402" t="n">
        <v>181.8</v>
      </c>
      <c r="J112" s="402" t="n">
        <v>3016.1</v>
      </c>
      <c r="K112" s="406" t="n">
        <v>2999.11</v>
      </c>
      <c r="L112" s="406" t="n">
        <v>59.3</v>
      </c>
      <c r="M112" s="338" t="inlineStr">
        <is>
          <t>$18.99</t>
        </is>
      </c>
      <c r="N112" s="402" t="n">
        <v>0</v>
      </c>
      <c r="O112" s="389">
        <f>(K110-L110)+(M110-N110)</f>
        <v/>
      </c>
      <c r="P112" s="389">
        <f>SUM(G110,H110,I110,O110)</f>
        <v/>
      </c>
      <c r="Q112" s="402" t="n"/>
      <c r="R112" s="402" t="n"/>
      <c r="S112" s="402" t="n"/>
      <c r="T112" s="402" t="n"/>
      <c r="U112" s="402" t="n"/>
      <c r="V112" s="402" t="n"/>
      <c r="W112" s="402" t="n"/>
      <c r="X112" s="402" t="n"/>
      <c r="Y112" s="402" t="n"/>
      <c r="Z112" s="402" t="n"/>
      <c r="AA112" s="402" t="n"/>
      <c r="AB112" s="402" t="n"/>
    </row>
    <row r="113" ht="41.4" customHeight="1">
      <c r="A113" s="474" t="inlineStr">
        <is>
          <t>May 18 - May 24</t>
        </is>
      </c>
      <c r="B113" s="478" t="n">
        <v>17172.29</v>
      </c>
      <c r="C113" s="394">
        <f>(B111*0.06)*1.13</f>
        <v/>
      </c>
      <c r="D113" s="394">
        <f>(B111*0.02)*1.13</f>
        <v/>
      </c>
      <c r="E113" s="402" t="n">
        <v>666</v>
      </c>
      <c r="F113" s="402" t="n">
        <v>17247.87</v>
      </c>
      <c r="G113" s="402" t="n">
        <v>13637.1</v>
      </c>
      <c r="H113" s="402" t="n">
        <v>65.97</v>
      </c>
      <c r="I113" s="402" t="n">
        <v>296.3</v>
      </c>
      <c r="J113" s="402" t="n">
        <v>3248.5</v>
      </c>
      <c r="K113" s="406" t="n">
        <v>3198.93</v>
      </c>
      <c r="L113" s="406" t="n">
        <v>26.01</v>
      </c>
      <c r="M113" s="338" t="n">
        <v>0</v>
      </c>
      <c r="N113" s="402" t="n">
        <v>0</v>
      </c>
      <c r="O113" s="389">
        <f>(K111-L111)+(M111-N111)</f>
        <v/>
      </c>
      <c r="P113" s="389">
        <f>SUM(G111,H111,I111,O111)</f>
        <v/>
      </c>
      <c r="Q113" s="402" t="n"/>
      <c r="R113" s="402" t="n"/>
      <c r="S113" s="402" t="n"/>
      <c r="T113" s="402" t="n"/>
      <c r="U113" s="402" t="n"/>
      <c r="V113" s="402" t="n"/>
      <c r="W113" s="402" t="n"/>
      <c r="X113" s="402" t="n"/>
      <c r="Y113" s="402" t="n"/>
      <c r="Z113" s="402" t="n"/>
      <c r="AA113" s="402" t="n"/>
      <c r="AB113" s="402" t="n"/>
    </row>
    <row r="114" ht="41.4" customHeight="1">
      <c r="A114" s="474" t="inlineStr">
        <is>
          <t>May 25 - May 31</t>
        </is>
      </c>
      <c r="B114" s="478" t="n"/>
      <c r="C114" s="471" t="n"/>
      <c r="D114" s="471" t="n"/>
      <c r="E114" s="402" t="n">
        <v>681</v>
      </c>
      <c r="F114" s="402" t="n">
        <v>18212.5</v>
      </c>
      <c r="G114" s="402" t="n">
        <v>13790.83</v>
      </c>
      <c r="H114" s="402" t="n">
        <v>229.05</v>
      </c>
      <c r="I114" s="402" t="n">
        <v>221.08</v>
      </c>
      <c r="J114" s="402" t="n">
        <v>3971.54</v>
      </c>
      <c r="K114" s="406" t="n"/>
      <c r="L114" s="406" t="n"/>
      <c r="M114" s="338" t="n"/>
      <c r="N114" s="402" t="n"/>
      <c r="O114" s="472" t="n"/>
      <c r="P114" s="472" t="n"/>
      <c r="Q114" s="402" t="n"/>
      <c r="R114" s="402" t="n"/>
      <c r="S114" s="402" t="n"/>
      <c r="T114" s="402" t="n"/>
      <c r="U114" s="402" t="n"/>
      <c r="V114" s="402" t="n"/>
      <c r="W114" s="402" t="n"/>
      <c r="X114" s="402" t="n"/>
      <c r="Y114" s="402" t="n"/>
      <c r="Z114" s="402" t="n"/>
      <c r="AA114" s="402" t="n"/>
      <c r="AB114" s="402" t="n"/>
    </row>
    <row r="115">
      <c r="A115" s="474" t="n"/>
      <c r="B115" s="478" t="n"/>
      <c r="C115" s="471" t="n"/>
      <c r="D115" s="471" t="n"/>
      <c r="E115" s="402" t="n"/>
      <c r="F115" s="402" t="n"/>
      <c r="G115" s="402" t="n"/>
      <c r="H115" s="402" t="n"/>
      <c r="I115" s="402" t="n"/>
      <c r="J115" s="402" t="n"/>
      <c r="K115" s="406" t="n"/>
      <c r="L115" s="406" t="n"/>
      <c r="M115" s="338" t="n"/>
      <c r="N115" s="402" t="n"/>
      <c r="O115" s="472" t="n"/>
      <c r="P115" s="472" t="n"/>
      <c r="Q115" s="402" t="n"/>
      <c r="R115" s="402" t="n"/>
      <c r="S115" s="402" t="n"/>
      <c r="T115" s="402" t="n"/>
      <c r="U115" s="402" t="n"/>
      <c r="V115" s="402" t="n"/>
      <c r="W115" s="402" t="n"/>
      <c r="X115" s="402" t="n"/>
      <c r="Y115" s="402" t="n"/>
      <c r="Z115" s="402" t="n"/>
      <c r="AA115" s="402" t="n"/>
      <c r="AB115" s="402" t="n"/>
    </row>
    <row r="116">
      <c r="A116" s="546" t="inlineStr">
        <is>
          <t>Wonderland</t>
        </is>
      </c>
      <c r="B116" s="358" t="n"/>
      <c r="C116" s="358" t="n"/>
      <c r="D116" s="355" t="n"/>
      <c r="E116" s="546" t="n"/>
      <c r="F116" s="546" t="n"/>
      <c r="G116" s="118" t="n"/>
      <c r="H116" s="118" t="n"/>
      <c r="I116" s="11" t="n"/>
      <c r="J116" s="118" t="n"/>
    </row>
    <row r="117">
      <c r="A117" s="415" t="inlineStr">
        <is>
          <t>Statement For Selected Period</t>
        </is>
      </c>
      <c r="B117" s="415" t="inlineStr">
        <is>
          <t>Total Revenue (Net Sales)</t>
        </is>
      </c>
      <c r="C117" s="415" t="inlineStr">
        <is>
          <t>Royalties
(6%) +HST</t>
        </is>
      </c>
      <c r="D117" s="415" t="inlineStr">
        <is>
          <t>Marketing
(2%) +HST</t>
        </is>
      </c>
      <c r="E117" s="415" t="n"/>
      <c r="F117" s="415" t="n"/>
      <c r="K117" s="118" t="n"/>
      <c r="L117" s="389" t="n"/>
      <c r="M117" s="389" t="n"/>
      <c r="N117" s="389" t="n"/>
    </row>
    <row r="118">
      <c r="A118" s="11" t="inlineStr">
        <is>
          <t>Mar 09 - Mar 15 2026</t>
        </is>
      </c>
      <c r="B118" s="382" t="n">
        <v>9468.790000000001</v>
      </c>
      <c r="C118" s="394">
        <f>(B112*0.06)*1.13</f>
        <v/>
      </c>
      <c r="D118" s="394">
        <f>(B112*0.02)*1.13</f>
        <v/>
      </c>
    </row>
    <row r="119">
      <c r="A119" s="11" t="inlineStr">
        <is>
          <t>Mar 16 - Mar 22 2026</t>
        </is>
      </c>
      <c r="B119" s="382" t="n">
        <v>11279.79</v>
      </c>
      <c r="C119" s="394">
        <f>(B113*0.06)*1.13</f>
        <v/>
      </c>
      <c r="D119" s="394">
        <f>(B113*0.02)*1.13</f>
        <v/>
      </c>
    </row>
    <row r="120">
      <c r="A120" s="11" t="inlineStr">
        <is>
          <t>Mar 23 - Mar 29 2026</t>
        </is>
      </c>
      <c r="B120" s="382" t="n">
        <v>10723.8</v>
      </c>
      <c r="C120" s="394">
        <f>(B114*0.06)*1.13</f>
        <v/>
      </c>
      <c r="D120" s="394">
        <f>(B114*0.02)*1.13</f>
        <v/>
      </c>
    </row>
    <row r="121">
      <c r="A121" s="11" t="inlineStr">
        <is>
          <t>Mar 30 - Apr 05 2026</t>
        </is>
      </c>
      <c r="B121" s="382" t="n">
        <v>12777.21</v>
      </c>
      <c r="C121" s="394">
        <f>(B115*0.06)*1.13</f>
        <v/>
      </c>
      <c r="D121" s="394">
        <f>(B115*0.02)*1.13</f>
        <v/>
      </c>
    </row>
    <row r="122">
      <c r="A122" s="2" t="inlineStr">
        <is>
          <t>Apr 06 - Apr 12</t>
        </is>
      </c>
      <c r="B122" s="382" t="n">
        <v>10184.66</v>
      </c>
      <c r="C122" s="394">
        <f>(B116*0.06)*1.13</f>
        <v/>
      </c>
      <c r="D122" s="394">
        <f>(B116*0.02)*1.13</f>
        <v/>
      </c>
    </row>
    <row r="123">
      <c r="A123" s="11" t="inlineStr">
        <is>
          <t>Apr 13 - Apr 19</t>
        </is>
      </c>
      <c r="B123" s="382" t="n">
        <v>11746.55</v>
      </c>
      <c r="C123" s="394">
        <f>(B117*0.06)*1.13</f>
        <v/>
      </c>
      <c r="D123" s="394">
        <f>(B117*0.02)*1.13</f>
        <v/>
      </c>
    </row>
    <row r="124">
      <c r="A124" s="11" t="inlineStr">
        <is>
          <t>Apr 20 - Apr 26</t>
        </is>
      </c>
      <c r="B124" s="382" t="n">
        <v>12617.9</v>
      </c>
      <c r="C124" s="394">
        <f>(B118*0.06)*1.13</f>
        <v/>
      </c>
      <c r="D124" s="394">
        <f>(B118*0.02)*1.13</f>
        <v/>
      </c>
    </row>
    <row r="125">
      <c r="A125" s="394" t="inlineStr">
        <is>
          <t>Apr 27 - May 03</t>
        </is>
      </c>
      <c r="B125" s="382" t="n">
        <v>12032.49</v>
      </c>
      <c r="C125" s="394">
        <f>(B120*0.06)*1.13</f>
        <v/>
      </c>
      <c r="D125" s="394">
        <f>(B120*0.02)*1.13</f>
        <v/>
      </c>
    </row>
    <row r="126">
      <c r="A126" s="471" t="inlineStr">
        <is>
          <t>May 4 - May 10</t>
        </is>
      </c>
      <c r="B126" s="382" t="n">
        <v>14392.2</v>
      </c>
      <c r="C126" s="394">
        <f>(B121*0.06)*1.13</f>
        <v/>
      </c>
      <c r="D126" s="394">
        <f>(B121*0.02)*1.13</f>
        <v/>
      </c>
    </row>
    <row r="127">
      <c r="A127" s="474" t="inlineStr">
        <is>
          <t>May 11 - May 17</t>
        </is>
      </c>
      <c r="B127" s="478" t="n">
        <v>17935.11</v>
      </c>
      <c r="C127" s="394">
        <f>(B123*0.06)*1.13</f>
        <v/>
      </c>
      <c r="D127" s="394">
        <f>(B123*0.02)*1.13</f>
        <v/>
      </c>
    </row>
    <row r="128">
      <c r="A128" s="382" t="inlineStr">
        <is>
          <t>May 18 - May 24</t>
        </is>
      </c>
      <c r="B128" s="382" t="n">
        <v>17172.29</v>
      </c>
      <c r="C128" s="382" t="n">
        <v>1164.281262</v>
      </c>
      <c r="D128" s="382" t="n">
        <v>388.0937539999999</v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9"/>
  <sheetViews>
    <sheetView topLeftCell="A14" zoomScale="90" zoomScaleNormal="90" workbookViewId="0">
      <pane ySplit="2" topLeftCell="A73" activePane="bottomLeft" state="frozen"/>
      <selection activeCell="A14" sqref="A14"/>
      <selection pane="bottomLeft" activeCell="D96" sqref="D96"/>
    </sheetView>
  </sheetViews>
  <sheetFormatPr baseColWidth="8" defaultRowHeight="14.4"/>
  <cols>
    <col width="40.5546875" customWidth="1" style="408" min="1" max="1"/>
    <col width="20.5546875" customWidth="1" style="408" min="2" max="2"/>
    <col width="22.44140625" customWidth="1" style="408" min="3" max="3"/>
    <col width="25.33203125" customWidth="1" style="408" min="4" max="4"/>
    <col width="14" customWidth="1" min="5" max="5"/>
    <col width="19.33203125" customWidth="1" min="6" max="6"/>
    <col width="16.33203125" customWidth="1" min="7" max="7"/>
    <col width="15.33203125" customWidth="1" min="8" max="8"/>
    <col width="13.6640625" customWidth="1" min="9" max="9"/>
    <col width="23.88671875" customWidth="1" min="10" max="10"/>
    <col width="19.5546875" customWidth="1" min="11" max="11"/>
    <col width="19.33203125" customWidth="1" min="12" max="14"/>
    <col width="18.44140625" customWidth="1" min="15" max="15"/>
    <col width="16.44140625" customWidth="1" min="16" max="16"/>
  </cols>
  <sheetData>
    <row r="1">
      <c r="A1" s="546" t="inlineStr">
        <is>
          <t>Ajax</t>
        </is>
      </c>
      <c r="B1" s="358" t="n"/>
      <c r="C1" s="358" t="n"/>
      <c r="D1" s="355" t="n"/>
      <c r="E1" s="162" t="n"/>
      <c r="F1" s="162" t="n"/>
    </row>
    <row r="2" ht="27.6" customHeight="1">
      <c r="A2" s="547" t="inlineStr">
        <is>
          <t>Statement For Selected Period</t>
        </is>
      </c>
      <c r="B2" s="415" t="inlineStr">
        <is>
          <t>Total Revenue (Net Sales)</t>
        </is>
      </c>
      <c r="C2" s="415" t="inlineStr">
        <is>
          <t>Royalties
(6%)</t>
        </is>
      </c>
      <c r="D2" s="415" t="inlineStr">
        <is>
          <t>Marketing
(2%)</t>
        </is>
      </c>
      <c r="E2" s="163" t="n"/>
      <c r="F2" s="163" t="n"/>
    </row>
    <row r="3">
      <c r="A3" s="418" t="inlineStr">
        <is>
          <t>Sep 23 - Sep 29 2024</t>
        </is>
      </c>
      <c r="B3" s="548" t="n">
        <v>4033.49</v>
      </c>
      <c r="C3" s="399">
        <f>(B3*0.06)*1.13</f>
        <v/>
      </c>
      <c r="D3" s="399">
        <f>(B3*0.02)*1.13</f>
        <v/>
      </c>
      <c r="E3" s="291" t="n"/>
      <c r="F3" s="539" t="n"/>
    </row>
    <row r="4">
      <c r="A4" s="418" t="inlineStr">
        <is>
          <t>Sep 30 - Oct 06 2024</t>
        </is>
      </c>
      <c r="B4" s="548" t="n">
        <v>9597.76</v>
      </c>
      <c r="C4" s="399">
        <f>(B4*0.06)*1.13</f>
        <v/>
      </c>
      <c r="D4" s="399">
        <f>(B4*0.02)*1.13</f>
        <v/>
      </c>
      <c r="E4" s="291" t="n"/>
      <c r="F4" s="539" t="n"/>
    </row>
    <row r="5">
      <c r="A5" s="418" t="inlineStr">
        <is>
          <t>Oct 07 - Oct 13 2024</t>
        </is>
      </c>
      <c r="B5" s="548" t="n">
        <v>11281.14</v>
      </c>
      <c r="C5" s="399">
        <f>(B5*0.06)*1.13</f>
        <v/>
      </c>
      <c r="D5" s="399">
        <f>(B5*0.02)*1.13</f>
        <v/>
      </c>
      <c r="E5" s="291" t="n"/>
      <c r="F5" s="539" t="n"/>
    </row>
    <row r="6">
      <c r="A6" s="418" t="inlineStr">
        <is>
          <t>Oct 14 - Oct 20 2024</t>
        </is>
      </c>
      <c r="B6" s="394" t="n">
        <v>11483.19</v>
      </c>
      <c r="C6" s="399">
        <f>(B6*0.06)*1.13</f>
        <v/>
      </c>
      <c r="D6" s="399">
        <f>(B6*0.02)*1.13</f>
        <v/>
      </c>
      <c r="E6" s="291" t="n"/>
      <c r="F6" s="539" t="n"/>
    </row>
    <row r="7">
      <c r="A7" s="418" t="inlineStr">
        <is>
          <t>Oct 21 - Oct 27 2024</t>
        </is>
      </c>
      <c r="B7" s="394" t="n">
        <v>11478.83</v>
      </c>
      <c r="C7" s="399">
        <f>(B7*0.06)*1.13</f>
        <v/>
      </c>
      <c r="D7" s="399">
        <f>(B7*0.02)*1.13</f>
        <v/>
      </c>
      <c r="E7" s="291" t="n"/>
      <c r="F7" s="539" t="n"/>
    </row>
    <row r="8">
      <c r="A8" s="418" t="inlineStr">
        <is>
          <t>Oct 28 - Nov 03 2024</t>
        </is>
      </c>
      <c r="B8" s="394" t="n">
        <v>9937.879999999999</v>
      </c>
      <c r="C8" s="399">
        <f>(B8*0.06)*1.13</f>
        <v/>
      </c>
      <c r="D8" s="399">
        <f>(B8*0.02)*1.13</f>
        <v/>
      </c>
      <c r="E8" s="291" t="n"/>
      <c r="F8" s="539" t="n"/>
    </row>
    <row r="9" ht="15" customHeight="1" thickBot="1">
      <c r="A9" s="418" t="inlineStr">
        <is>
          <t>Nov 4 - Nov 10 2024</t>
        </is>
      </c>
      <c r="B9" s="548" t="n">
        <v>10406.88</v>
      </c>
      <c r="C9" s="399">
        <f>(B9*0.06)*1.13</f>
        <v/>
      </c>
      <c r="D9" s="399">
        <f>(B9*0.02)*1.13</f>
        <v/>
      </c>
      <c r="E9" s="291" t="n"/>
      <c r="F9" s="539" t="n"/>
    </row>
    <row r="10" ht="18" customHeight="1" thickBot="1">
      <c r="A10" s="418" t="inlineStr">
        <is>
          <t>Nov 11 - Nov 17 2024</t>
        </is>
      </c>
      <c r="B10" s="394" t="n">
        <v>9061.93</v>
      </c>
      <c r="C10" s="399">
        <f>(B10*0.06)*1.13</f>
        <v/>
      </c>
      <c r="D10" s="399">
        <f>(B10*0.02)*1.13</f>
        <v/>
      </c>
      <c r="E10" s="291" t="n"/>
      <c r="F10" s="539" t="n"/>
      <c r="H10" s="164" t="n"/>
      <c r="I10" s="152" t="n"/>
      <c r="J10" s="504" t="n"/>
      <c r="K10" s="549" t="n"/>
    </row>
    <row r="11" ht="18" customHeight="1" thickBot="1">
      <c r="A11" s="418" t="inlineStr">
        <is>
          <t>Nov 18 - Nov 24 2024</t>
        </is>
      </c>
      <c r="B11" s="394" t="n">
        <v>9513.59</v>
      </c>
      <c r="C11" s="399">
        <f>(B11*0.06)*1.13</f>
        <v/>
      </c>
      <c r="D11" s="399">
        <f>(B11*0.02)*1.13</f>
        <v/>
      </c>
      <c r="E11" s="291" t="n"/>
      <c r="F11" s="539" t="n"/>
      <c r="H11" s="166" t="n"/>
      <c r="I11" s="152" t="n"/>
      <c r="J11" s="504" t="n"/>
      <c r="K11" s="549" t="n"/>
    </row>
    <row r="12" ht="18" customHeight="1" thickBot="1">
      <c r="A12" s="418" t="inlineStr">
        <is>
          <t>Nov 25 - Dec 01 2024</t>
        </is>
      </c>
      <c r="B12" s="394" t="n">
        <v>9365.940000000001</v>
      </c>
      <c r="C12" s="399">
        <f>(B12*0.06)*1.13</f>
        <v/>
      </c>
      <c r="D12" s="399">
        <f>(B12*0.02)*1.13</f>
        <v/>
      </c>
      <c r="E12" s="291" t="n"/>
      <c r="F12" s="539" t="n"/>
      <c r="H12" s="167" t="n"/>
      <c r="I12" s="152" t="n"/>
      <c r="J12" s="504" t="n"/>
      <c r="K12" s="549" t="n"/>
    </row>
    <row r="13">
      <c r="A13" s="418" t="inlineStr">
        <is>
          <t>Dec 02 - Dec 08 2024</t>
        </is>
      </c>
      <c r="B13" s="394" t="n">
        <v>9682.959999999999</v>
      </c>
      <c r="C13" s="399">
        <f>(B13*0.06)*1.13</f>
        <v/>
      </c>
      <c r="D13" s="399">
        <f>(B13*0.02)*1.13</f>
        <v/>
      </c>
      <c r="E13" s="291" t="n"/>
      <c r="F13" s="539" t="n"/>
      <c r="G13" s="168" t="n"/>
      <c r="H13" s="168" t="n"/>
      <c r="I13" s="168" t="n"/>
      <c r="J13" s="374" t="n"/>
      <c r="K13" s="374" t="n"/>
    </row>
    <row r="14">
      <c r="A14" s="418" t="inlineStr">
        <is>
          <t>Dec 09 - Dec 15 2024</t>
        </is>
      </c>
      <c r="B14" s="394" t="n">
        <v>11096.12</v>
      </c>
      <c r="C14" s="399">
        <f>(B14*0.06)*1.13</f>
        <v/>
      </c>
      <c r="D14" s="399">
        <f>(B14*0.02)*1.13</f>
        <v/>
      </c>
      <c r="E14" s="291" t="n"/>
      <c r="F14" s="539" t="n"/>
      <c r="G14" s="168" t="n"/>
      <c r="H14" s="168" t="n"/>
      <c r="I14" s="168" t="n"/>
      <c r="J14" s="168" t="n"/>
      <c r="K14" s="168" t="n"/>
    </row>
    <row r="15">
      <c r="A15" s="418" t="inlineStr">
        <is>
          <t>Dec 16 - Dec 22 2024</t>
        </is>
      </c>
      <c r="B15" s="394" t="n">
        <v>10054.79</v>
      </c>
      <c r="C15" s="399">
        <f>(B15*0.06)*1.13</f>
        <v/>
      </c>
      <c r="D15" s="399">
        <f>(B15*0.02)*1.13</f>
        <v/>
      </c>
      <c r="E15" s="45" t="inlineStr">
        <is>
          <t>Bill Count</t>
        </is>
      </c>
      <c r="F15" s="540" t="inlineStr">
        <is>
          <t>TB Revenue</t>
        </is>
      </c>
      <c r="G15" s="170" t="inlineStr">
        <is>
          <t>In-Store</t>
        </is>
      </c>
      <c r="H15" s="170" t="inlineStr">
        <is>
          <t>Skip</t>
        </is>
      </c>
      <c r="I15" s="170" t="inlineStr">
        <is>
          <t>DD</t>
        </is>
      </c>
      <c r="J15" s="170" t="inlineStr">
        <is>
          <t>Uber</t>
        </is>
      </c>
      <c r="K15" s="170" t="inlineStr">
        <is>
          <t>Uber Earnings</t>
        </is>
      </c>
      <c r="L15" s="170" t="inlineStr">
        <is>
          <t>Uber Marketing</t>
        </is>
      </c>
      <c r="M15" s="170" t="n"/>
      <c r="N15" s="170" t="n"/>
      <c r="O15" s="170" t="inlineStr">
        <is>
          <t>Uber (Total)</t>
        </is>
      </c>
      <c r="P15" s="170" t="inlineStr">
        <is>
          <t>Total</t>
        </is>
      </c>
    </row>
    <row r="16">
      <c r="A16" s="418" t="inlineStr">
        <is>
          <t>Dec 23 - Dec 29 2024</t>
        </is>
      </c>
      <c r="B16" s="394" t="n">
        <v>15668</v>
      </c>
      <c r="C16" s="399">
        <f>(B16*0.06)*1.13</f>
        <v/>
      </c>
      <c r="D16" s="399">
        <f>(B16*0.02)*1.13</f>
        <v/>
      </c>
      <c r="E16" s="45" t="n"/>
      <c r="F16" s="398" t="n"/>
      <c r="G16" s="373" t="n">
        <v>11263.41</v>
      </c>
      <c r="H16" s="373" t="n">
        <v>268.17</v>
      </c>
      <c r="I16" s="373" t="n">
        <v>521.25</v>
      </c>
      <c r="J16" s="373" t="n">
        <v>3615.17</v>
      </c>
      <c r="K16" s="373" t="n"/>
      <c r="L16" s="56" t="n"/>
      <c r="M16" s="56" t="n"/>
      <c r="N16" s="56" t="n"/>
      <c r="O16" s="56" t="n"/>
      <c r="P16" s="56" t="n"/>
    </row>
    <row r="17">
      <c r="A17" s="418" t="inlineStr">
        <is>
          <t>Dec 30 - Jan 05 2025</t>
        </is>
      </c>
      <c r="B17" s="394" t="n">
        <v>13399.51</v>
      </c>
      <c r="C17" s="399">
        <f>(B17*0.06)*1.13</f>
        <v/>
      </c>
      <c r="D17" s="399">
        <f>(B17*0.02)*1.13</f>
        <v/>
      </c>
      <c r="E17" s="45" t="n"/>
      <c r="F17" s="398" t="n"/>
      <c r="G17" s="373" t="n">
        <v>9069.76</v>
      </c>
      <c r="H17" s="373" t="n">
        <v>330.15</v>
      </c>
      <c r="I17" s="373" t="n">
        <v>532.78</v>
      </c>
      <c r="J17" s="373" t="n">
        <v>3466.82</v>
      </c>
      <c r="K17" s="373" t="n"/>
      <c r="L17" s="56" t="n"/>
      <c r="M17" s="56" t="n"/>
      <c r="N17" s="56" t="n"/>
      <c r="O17" s="56" t="n"/>
      <c r="P17" s="56" t="n"/>
    </row>
    <row r="18">
      <c r="A18" s="418" t="inlineStr">
        <is>
          <t>Jan 06 - Jan 12 2025</t>
        </is>
      </c>
      <c r="B18" s="394" t="n">
        <v>9836.76</v>
      </c>
      <c r="C18" s="399">
        <f>(B18*0.06)*1.13</f>
        <v/>
      </c>
      <c r="D18" s="399">
        <f>(B18*0.02)*1.13</f>
        <v/>
      </c>
      <c r="E18" s="45" t="n"/>
      <c r="F18" s="398" t="n"/>
      <c r="G18" s="56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</row>
    <row r="19">
      <c r="A19" s="418" t="inlineStr">
        <is>
          <t>Jan 13 - Jan 19 2025</t>
        </is>
      </c>
      <c r="B19" s="394" t="n">
        <v>9635.01</v>
      </c>
      <c r="C19" s="399">
        <f>(B19*0.06)*1.13</f>
        <v/>
      </c>
      <c r="D19" s="399">
        <f>(B19*0.02)*1.13</f>
        <v/>
      </c>
      <c r="E19" s="45" t="n"/>
      <c r="F19" s="398" t="n"/>
      <c r="G19" s="56" t="n">
        <v>6684.79</v>
      </c>
      <c r="H19" s="373" t="n">
        <v>284.67</v>
      </c>
      <c r="I19" s="373" t="n">
        <v>358.98</v>
      </c>
      <c r="J19" s="373" t="n">
        <v>2306.57</v>
      </c>
      <c r="K19" s="373" t="n"/>
      <c r="L19" s="56" t="n"/>
      <c r="M19" s="56" t="n"/>
      <c r="N19" s="56" t="n"/>
      <c r="O19" s="373" t="n">
        <v>2262</v>
      </c>
      <c r="P19" s="56">
        <f>SUM(G19:J19)</f>
        <v/>
      </c>
    </row>
    <row r="20">
      <c r="A20" s="418" t="inlineStr">
        <is>
          <t>Jan 20 - Jan 26 2025</t>
        </is>
      </c>
      <c r="B20" s="382" t="n">
        <v>10717.23</v>
      </c>
      <c r="C20" s="399">
        <f>(B20*0.06)*1.13</f>
        <v/>
      </c>
      <c r="D20" s="399">
        <f>(B20*0.02)*1.13</f>
        <v/>
      </c>
      <c r="E20" s="45" t="n"/>
      <c r="F20" s="398" t="n"/>
      <c r="G20" s="373" t="n">
        <v>7891.66</v>
      </c>
      <c r="H20" s="373" t="n">
        <v>394.28</v>
      </c>
      <c r="I20" s="373" t="n">
        <v>355.14</v>
      </c>
      <c r="J20" s="373" t="n">
        <v>2076.15</v>
      </c>
      <c r="K20" s="373" t="n"/>
      <c r="L20" s="56" t="n"/>
      <c r="M20" s="56" t="n"/>
      <c r="N20" s="56" t="n"/>
      <c r="O20" s="390" t="n">
        <v>2116.95</v>
      </c>
      <c r="P20" s="373">
        <f>SUM(G20:J20)</f>
        <v/>
      </c>
    </row>
    <row r="21">
      <c r="A21" s="418" t="inlineStr">
        <is>
          <t>Jan 27 - Feb 02 2025</t>
        </is>
      </c>
      <c r="B21" s="382" t="n">
        <v>10695.63</v>
      </c>
      <c r="C21" s="399">
        <f>(B21*0.06)*1.13</f>
        <v/>
      </c>
      <c r="D21" s="399">
        <f>(B21*0.02)*1.13</f>
        <v/>
      </c>
      <c r="E21" s="45" t="n"/>
      <c r="F21" s="398" t="n"/>
      <c r="G21" s="373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</row>
    <row r="22">
      <c r="A22" s="418" t="inlineStr">
        <is>
          <t>Feb 03 - Feb 09 2025</t>
        </is>
      </c>
      <c r="B22" s="394" t="n">
        <v>10607.6</v>
      </c>
      <c r="C22" s="399">
        <f>(B22*0.06)*1.13</f>
        <v/>
      </c>
      <c r="D22" s="399">
        <f>(B22*0.02)*1.13</f>
        <v/>
      </c>
      <c r="E22" s="45" t="n"/>
      <c r="F22" s="391" t="n">
        <v>10609.82</v>
      </c>
      <c r="G22" s="389" t="n">
        <v>7389.99</v>
      </c>
      <c r="H22" s="389" t="n">
        <v>278.97</v>
      </c>
      <c r="I22" s="389" t="n">
        <v>407.38</v>
      </c>
      <c r="J22" s="389" t="n">
        <v>2533.48</v>
      </c>
      <c r="K22" s="390" t="n">
        <v>2535.48</v>
      </c>
      <c r="L22" s="148" t="n">
        <v>4.22</v>
      </c>
      <c r="M22" s="148" t="n"/>
      <c r="N22" s="148" t="n"/>
      <c r="O22" s="373">
        <f>(K22-L22)</f>
        <v/>
      </c>
      <c r="P22" s="373">
        <f>SUM(G22,H22,I22,O22)</f>
        <v/>
      </c>
    </row>
    <row r="23">
      <c r="A23" s="418" t="inlineStr">
        <is>
          <t>Feb 10 - Feb 16 2025</t>
        </is>
      </c>
      <c r="B23" s="394" t="n">
        <v>9317.920000000002</v>
      </c>
      <c r="C23" s="399">
        <f>(B23*0.06)*1.13</f>
        <v/>
      </c>
      <c r="D23" s="399">
        <f>(B23*0.02)*1.13</f>
        <v/>
      </c>
      <c r="E23" s="45" t="n"/>
      <c r="F23" s="391" t="n">
        <v>9317.92</v>
      </c>
      <c r="G23" s="56" t="n">
        <v>7103.860000000001</v>
      </c>
      <c r="H23" s="389" t="n">
        <v>226.8</v>
      </c>
      <c r="I23" s="389" t="n">
        <v>546.8099999999999</v>
      </c>
      <c r="J23" s="389" t="n">
        <v>1440.45</v>
      </c>
      <c r="K23" s="390" t="n">
        <v>1440.45</v>
      </c>
      <c r="L23" s="389" t="n">
        <v>0</v>
      </c>
      <c r="M23" s="389" t="n"/>
      <c r="N23" s="389" t="n"/>
      <c r="O23" s="373">
        <f>(K23-L23)</f>
        <v/>
      </c>
      <c r="P23" s="373">
        <f>SUM(G23,H23,I23,O23)</f>
        <v/>
      </c>
    </row>
    <row r="24">
      <c r="A24" s="418" t="inlineStr">
        <is>
          <t>Feb 17 - Feb 23 2025</t>
        </is>
      </c>
      <c r="B24" s="394" t="n">
        <v>12389.36</v>
      </c>
      <c r="C24" s="399">
        <f>(B24*0.06)*1.13</f>
        <v/>
      </c>
      <c r="D24" s="399">
        <f>(B24*0.02)*1.13</f>
        <v/>
      </c>
      <c r="E24" s="45" t="n"/>
      <c r="F24" s="391" t="n">
        <v>12885.05</v>
      </c>
      <c r="G24" s="389" t="n">
        <v>9549.799999999999</v>
      </c>
      <c r="H24" s="389" t="n">
        <v>105.6</v>
      </c>
      <c r="I24" s="389" t="n">
        <v>590.8099999999999</v>
      </c>
      <c r="J24" s="389" t="n">
        <v>2638.84</v>
      </c>
      <c r="K24" s="148" t="n">
        <v>2638.84</v>
      </c>
      <c r="L24" s="148" t="n">
        <v>495.69</v>
      </c>
      <c r="M24" s="148" t="n"/>
      <c r="N24" s="148" t="n"/>
      <c r="O24" s="373">
        <f>(K24-L24)</f>
        <v/>
      </c>
      <c r="P24" s="373">
        <f>SUM(G24,H24,I24,O24)</f>
        <v/>
      </c>
    </row>
    <row r="25">
      <c r="A25" s="418" t="inlineStr">
        <is>
          <t>Feb 24 - Mar 02 2025</t>
        </is>
      </c>
      <c r="B25" s="394" t="n">
        <v>9107.42</v>
      </c>
      <c r="C25" s="399">
        <f>(B25*0.06)*1.13</f>
        <v/>
      </c>
      <c r="D25" s="399">
        <f>(B25*0.02)*1.13</f>
        <v/>
      </c>
      <c r="E25" s="45" t="n"/>
      <c r="F25" s="391" t="n">
        <v>9312.860000000001</v>
      </c>
      <c r="G25" s="389" t="n">
        <v>6193.360000000001</v>
      </c>
      <c r="H25" s="389" t="n">
        <v>184.66</v>
      </c>
      <c r="I25" s="389" t="n">
        <v>278.48</v>
      </c>
      <c r="J25" s="389" t="n">
        <v>2656.36</v>
      </c>
      <c r="K25" s="148" t="n">
        <v>2745.46</v>
      </c>
      <c r="L25" s="383" t="n">
        <v>294.54</v>
      </c>
      <c r="M25" s="383" t="n"/>
      <c r="N25" s="383" t="n"/>
      <c r="O25" s="373">
        <f>(K25-L25)</f>
        <v/>
      </c>
      <c r="P25" s="373">
        <f>SUM(G25,H25,I25,O25)</f>
        <v/>
      </c>
    </row>
    <row r="26">
      <c r="A26" s="418" t="inlineStr">
        <is>
          <t>Mar 03 - Mar 09 2025</t>
        </is>
      </c>
      <c r="B26" s="394" t="n">
        <v>9346.16</v>
      </c>
      <c r="C26" s="399">
        <f>(B26*0.06)*1.13</f>
        <v/>
      </c>
      <c r="D26" s="399">
        <f>(B26*0.02)*1.13</f>
        <v/>
      </c>
      <c r="E26" s="45" t="n"/>
      <c r="F26" s="391" t="n">
        <v>9676.139999999999</v>
      </c>
      <c r="G26" s="389" t="n">
        <v>6082.76</v>
      </c>
      <c r="H26" s="389" t="n">
        <v>128.39</v>
      </c>
      <c r="I26" s="389" t="n">
        <v>259.05</v>
      </c>
      <c r="J26" s="389" t="n">
        <v>3205.94</v>
      </c>
      <c r="K26" s="390" t="n">
        <v>3205.94</v>
      </c>
      <c r="L26" s="383" t="n">
        <v>329.98</v>
      </c>
      <c r="M26" s="383" t="n"/>
      <c r="N26" s="383" t="n"/>
      <c r="O26" s="373">
        <f>(K26-L26)</f>
        <v/>
      </c>
      <c r="P26" s="373">
        <f>SUM(G26,H26,I26,O26)</f>
        <v/>
      </c>
    </row>
    <row r="27">
      <c r="A27" s="418" t="inlineStr">
        <is>
          <t>Mar 10 - Mar 16 2025</t>
        </is>
      </c>
      <c r="B27" s="394" t="n">
        <v>9881.08</v>
      </c>
      <c r="C27" s="399">
        <f>(B27*0.06)*1.13</f>
        <v/>
      </c>
      <c r="D27" s="399">
        <f>(B27*0.02)*1.13</f>
        <v/>
      </c>
      <c r="E27" s="45" t="n"/>
      <c r="F27" s="391" t="n">
        <v>10463.53</v>
      </c>
      <c r="G27" s="389" t="n">
        <v>6271.89</v>
      </c>
      <c r="H27" s="389" t="n">
        <v>187.23</v>
      </c>
      <c r="I27" s="389" t="n">
        <v>162.27</v>
      </c>
      <c r="J27" s="389" t="n">
        <v>3842.14</v>
      </c>
      <c r="K27" s="390" t="n">
        <v>3788.14</v>
      </c>
      <c r="L27" s="383" t="n">
        <v>528.45</v>
      </c>
      <c r="M27" s="383" t="n"/>
      <c r="N27" s="383" t="n"/>
      <c r="O27" s="373">
        <f>(K27-L27)</f>
        <v/>
      </c>
      <c r="P27" s="373">
        <f>SUM(G27,H27,I27,O27)</f>
        <v/>
      </c>
    </row>
    <row r="28">
      <c r="A28" s="418" t="inlineStr">
        <is>
          <t>Mar 17 - Mar 23 2025</t>
        </is>
      </c>
      <c r="B28" s="394" t="n">
        <v>9422.940000000001</v>
      </c>
      <c r="C28" s="399">
        <f>(B28*0.06)*1.13</f>
        <v/>
      </c>
      <c r="D28" s="399">
        <f>(B28*0.02)*1.13</f>
        <v/>
      </c>
      <c r="E28" s="45" t="n"/>
      <c r="F28" s="391" t="n">
        <v>10033</v>
      </c>
      <c r="G28" s="389" t="n">
        <v>5689.23</v>
      </c>
      <c r="H28" s="389" t="n">
        <v>227.57</v>
      </c>
      <c r="I28" s="389" t="n">
        <v>240.99</v>
      </c>
      <c r="J28" s="389" t="n">
        <v>3875.21</v>
      </c>
      <c r="K28" s="390" t="n">
        <v>3875.21</v>
      </c>
      <c r="L28" s="383" t="n">
        <v>610.0599999999999</v>
      </c>
      <c r="M28" s="383" t="n"/>
      <c r="N28" s="383" t="n"/>
      <c r="O28" s="373">
        <f>(K28-L28)</f>
        <v/>
      </c>
      <c r="P28" s="373">
        <f>SUM(G28,H28,I28,O28)</f>
        <v/>
      </c>
    </row>
    <row r="29">
      <c r="A29" s="394" t="inlineStr">
        <is>
          <t>Mar 24 - Mar 30 2025</t>
        </is>
      </c>
      <c r="B29" s="394" t="n">
        <v>12856.63</v>
      </c>
      <c r="C29" s="399">
        <f>(B29*0.06)*1.13</f>
        <v/>
      </c>
      <c r="D29" s="399">
        <f>(B29*0.02)*1.13</f>
        <v/>
      </c>
      <c r="E29" s="45" t="n"/>
      <c r="F29" s="391" t="n">
        <v>13331.58</v>
      </c>
      <c r="G29" s="118" t="n">
        <v>8429.27</v>
      </c>
      <c r="H29" s="389" t="n">
        <v>233.38</v>
      </c>
      <c r="I29" s="389" t="n">
        <v>200.17</v>
      </c>
      <c r="J29" s="389" t="n">
        <v>4468.76</v>
      </c>
      <c r="K29" s="390" t="n">
        <v>4496.36</v>
      </c>
      <c r="L29" s="390" t="n">
        <v>502.55</v>
      </c>
      <c r="M29" s="390" t="n"/>
      <c r="N29" s="390" t="n"/>
      <c r="O29" s="389">
        <f>(K29-L29)</f>
        <v/>
      </c>
      <c r="P29" s="389">
        <f>SUM(G29,H29,I29,O29)</f>
        <v/>
      </c>
    </row>
    <row r="30">
      <c r="A30" s="394" t="inlineStr">
        <is>
          <t>Mar 31 - Apr 6 2025</t>
        </is>
      </c>
      <c r="B30" s="394" t="n">
        <v>13777.58</v>
      </c>
      <c r="C30" s="399">
        <f>(B30*0.06)*1.13</f>
        <v/>
      </c>
      <c r="D30" s="399">
        <f>(B30*0.02)*1.13</f>
        <v/>
      </c>
      <c r="E30" s="45" t="n"/>
      <c r="F30" s="391" t="n">
        <v>13817.12</v>
      </c>
      <c r="G30" s="389" t="n">
        <v>10277.94</v>
      </c>
      <c r="H30" s="389" t="n">
        <v>176.09</v>
      </c>
      <c r="I30" s="389" t="n">
        <v>345.17</v>
      </c>
      <c r="J30" s="389" t="n">
        <v>3017.92</v>
      </c>
      <c r="K30" s="390" t="n">
        <v>3047.92</v>
      </c>
      <c r="L30" s="395" t="n">
        <v>69.54000000000001</v>
      </c>
      <c r="M30" s="395" t="n"/>
      <c r="N30" s="395" t="n"/>
      <c r="O30" s="389">
        <f>(K30-L30)</f>
        <v/>
      </c>
      <c r="P30" s="389">
        <f>SUM(G30,H30,I30,O30)</f>
        <v/>
      </c>
    </row>
    <row r="31">
      <c r="A31" s="382" t="inlineStr">
        <is>
          <t>Apr 7 - Apr 13 2025</t>
        </is>
      </c>
      <c r="B31" s="394" t="n">
        <v>11168.82</v>
      </c>
      <c r="C31" s="399">
        <f>(B31*0.06)*1.13</f>
        <v/>
      </c>
      <c r="D31" s="399">
        <f>(B31*0.02)*1.13</f>
        <v/>
      </c>
      <c r="E31" s="45" t="n"/>
      <c r="F31" s="391" t="n">
        <v>11390.74</v>
      </c>
      <c r="G31" s="389" t="n">
        <v>7525.76</v>
      </c>
      <c r="H31" s="389" t="n">
        <v>115.58</v>
      </c>
      <c r="I31" s="389" t="n">
        <v>402.91</v>
      </c>
      <c r="J31" s="11" t="n"/>
      <c r="K31" s="390" t="n">
        <v>3346.49</v>
      </c>
      <c r="L31" s="383" t="n">
        <v>221.92</v>
      </c>
      <c r="M31" s="383" t="n"/>
      <c r="N31" s="383" t="n"/>
      <c r="O31" s="389">
        <f>(K31-L31)</f>
        <v/>
      </c>
      <c r="P31" s="389">
        <f>SUM(G31,H31,I31,O31)</f>
        <v/>
      </c>
    </row>
    <row r="32">
      <c r="A32" s="382" t="inlineStr">
        <is>
          <t>Apr 14 - Apr 20 2025</t>
        </is>
      </c>
      <c r="B32" s="394" t="n">
        <v>15131.23</v>
      </c>
      <c r="C32" s="399">
        <f>(B32*0.06)*1.13</f>
        <v/>
      </c>
      <c r="D32" s="399">
        <f>(B32*0.02)*1.13</f>
        <v/>
      </c>
      <c r="E32" s="45" t="n"/>
      <c r="F32" s="391" t="n"/>
      <c r="G32" s="389" t="n">
        <v>10454.27</v>
      </c>
      <c r="H32" s="389" t="n">
        <v>413.06</v>
      </c>
      <c r="I32" s="389" t="n">
        <v>446.92</v>
      </c>
      <c r="J32" s="389" t="n">
        <v>4077.93</v>
      </c>
      <c r="K32" s="383" t="n">
        <v>4041.93</v>
      </c>
      <c r="L32" s="383" t="n">
        <v>224.95</v>
      </c>
      <c r="M32" s="383" t="n"/>
      <c r="N32" s="383" t="n"/>
      <c r="O32" s="389">
        <f>(K32-L32)</f>
        <v/>
      </c>
      <c r="P32" s="389">
        <f>SUM(G32,H32,I32,O32)</f>
        <v/>
      </c>
    </row>
    <row r="33">
      <c r="A33" s="382" t="inlineStr">
        <is>
          <t>Apr 21 - Apr 27 2025</t>
        </is>
      </c>
      <c r="B33" s="394" t="n">
        <v>12922.11</v>
      </c>
      <c r="C33" s="399">
        <f>(B33*0.06)*1.13</f>
        <v/>
      </c>
      <c r="D33" s="399">
        <f>(B33*0.02)*1.13</f>
        <v/>
      </c>
      <c r="E33" s="45" t="n"/>
      <c r="F33" s="391" t="n">
        <v>13129.61</v>
      </c>
      <c r="G33" s="389" t="n">
        <v>8421.129999999999</v>
      </c>
      <c r="H33" s="389" t="n">
        <v>399.99</v>
      </c>
      <c r="I33" s="389" t="n">
        <v>285.49</v>
      </c>
      <c r="J33" s="389" t="n">
        <v>4023</v>
      </c>
      <c r="K33" s="390" t="n">
        <v>4059</v>
      </c>
      <c r="L33" s="383" t="n">
        <v>243.5</v>
      </c>
      <c r="M33" s="383" t="n"/>
      <c r="N33" s="383" t="n"/>
      <c r="O33" s="389">
        <f>(K33-L33)</f>
        <v/>
      </c>
      <c r="P33" s="389">
        <f>SUM(G33,H33,I33,O33)</f>
        <v/>
      </c>
    </row>
    <row r="34">
      <c r="A34" s="382" t="inlineStr">
        <is>
          <t>Apr 28 - May 04 2025</t>
        </is>
      </c>
      <c r="B34" s="394" t="n">
        <v>12067.53</v>
      </c>
      <c r="C34" s="399">
        <f>(B34*0.06)*1.13</f>
        <v/>
      </c>
      <c r="D34" s="399">
        <f>(B34*0.02)*1.13</f>
        <v/>
      </c>
      <c r="E34" s="45" t="n"/>
      <c r="F34" s="391" t="n"/>
      <c r="G34" s="389" t="n">
        <v>7781.83</v>
      </c>
      <c r="H34" s="389" t="n">
        <v>238.34</v>
      </c>
      <c r="I34" s="389" t="n">
        <v>235.35</v>
      </c>
      <c r="J34" s="389" t="n">
        <v>4046.66</v>
      </c>
      <c r="K34" s="390" t="n">
        <v>4046.66</v>
      </c>
      <c r="L34" s="383" t="n">
        <v>234.65</v>
      </c>
      <c r="M34" s="383" t="n"/>
      <c r="N34" s="383" t="n"/>
      <c r="O34" s="389">
        <f>(K34-L34)</f>
        <v/>
      </c>
      <c r="P34" s="389">
        <f>SUM(G34,H34,I34,O34)</f>
        <v/>
      </c>
    </row>
    <row r="35">
      <c r="A35" s="382" t="inlineStr">
        <is>
          <t>May 05 - May 11 2025</t>
        </is>
      </c>
      <c r="B35" s="394" t="n">
        <v>11958.73</v>
      </c>
      <c r="C35" s="399">
        <f>(B35*0.06)*1.13</f>
        <v/>
      </c>
      <c r="D35" s="399">
        <f>(B35*0.02)*1.13</f>
        <v/>
      </c>
      <c r="E35" s="45" t="n"/>
      <c r="F35" s="391" t="n">
        <v>12101.05</v>
      </c>
      <c r="G35" s="389" t="n">
        <v>7982.31</v>
      </c>
      <c r="H35" s="389" t="n">
        <v>198.57</v>
      </c>
      <c r="I35" s="389" t="n">
        <v>318.96</v>
      </c>
      <c r="J35" s="389" t="n">
        <v>3601.21</v>
      </c>
      <c r="K35" s="390" t="n">
        <v>3686.41</v>
      </c>
      <c r="L35" s="383" t="n">
        <v>227.52</v>
      </c>
      <c r="M35" s="383" t="n"/>
      <c r="N35" s="383" t="n"/>
      <c r="O35" s="389">
        <f>(K35-L35)</f>
        <v/>
      </c>
      <c r="P35" s="389">
        <f>SUM(G35,H35,I35,O35)</f>
        <v/>
      </c>
    </row>
    <row r="36">
      <c r="A36" s="382" t="inlineStr">
        <is>
          <t>May 12 - May 18 2025</t>
        </is>
      </c>
      <c r="B36" s="394" t="n">
        <v>11178.71</v>
      </c>
      <c r="C36" s="399">
        <f>(B36*0.06)*1.13</f>
        <v/>
      </c>
      <c r="D36" s="399">
        <f>(B36*0.02)*1.13</f>
        <v/>
      </c>
      <c r="E36" s="45" t="n"/>
      <c r="F36" s="391" t="n">
        <v>11438.46</v>
      </c>
      <c r="G36" s="389" t="n">
        <v>8405.860000000001</v>
      </c>
      <c r="H36" s="389" t="n">
        <v>78.40000000000001</v>
      </c>
      <c r="I36" s="389" t="n">
        <v>136.06</v>
      </c>
      <c r="J36" s="389" t="n">
        <v>2818.14</v>
      </c>
      <c r="K36" s="390" t="n">
        <v>2746.14</v>
      </c>
      <c r="L36" s="383" t="n">
        <v>187.75</v>
      </c>
      <c r="M36" s="383" t="n"/>
      <c r="N36" s="383" t="n"/>
      <c r="O36" s="389">
        <f>(K36-L36)</f>
        <v/>
      </c>
      <c r="P36" s="389">
        <f>SUM(G36,H36,I36,O36)</f>
        <v/>
      </c>
    </row>
    <row r="37">
      <c r="A37" s="382" t="inlineStr">
        <is>
          <t>May 19 - May 25 2025</t>
        </is>
      </c>
      <c r="B37" s="394" t="n">
        <v>12467.05</v>
      </c>
      <c r="C37" s="399">
        <f>(B37*0.06)*1.13</f>
        <v/>
      </c>
      <c r="D37" s="399">
        <f>(B37*0.02)*1.13</f>
        <v/>
      </c>
      <c r="E37" s="45" t="n"/>
      <c r="F37" s="391" t="n">
        <v>12590.84</v>
      </c>
      <c r="G37" s="389" t="n">
        <v>8994.09</v>
      </c>
      <c r="H37" s="389" t="n">
        <v>184.39</v>
      </c>
      <c r="I37" s="389" t="n">
        <v>327.44</v>
      </c>
      <c r="J37" s="389" t="n">
        <v>3084.92</v>
      </c>
      <c r="K37" s="383" t="n">
        <v>3110.13</v>
      </c>
      <c r="L37" s="383" t="n">
        <v>149</v>
      </c>
      <c r="M37" s="383" t="n"/>
      <c r="N37" s="383" t="n"/>
      <c r="O37" s="389">
        <f>(K37-L37)</f>
        <v/>
      </c>
      <c r="P37" s="389">
        <f>SUM(G37,H37,I37,O37)</f>
        <v/>
      </c>
    </row>
    <row r="38">
      <c r="A38" s="382" t="inlineStr">
        <is>
          <t>May 26 - June 01 2025</t>
        </is>
      </c>
      <c r="B38" s="394" t="n">
        <v>11331.89</v>
      </c>
      <c r="C38" s="399">
        <f>(B38*0.06)*1.13</f>
        <v/>
      </c>
      <c r="D38" s="399">
        <f>(B38*0.02)*1.13</f>
        <v/>
      </c>
      <c r="E38" s="45" t="n"/>
      <c r="F38" s="391" t="n">
        <v>11570.02</v>
      </c>
      <c r="G38" s="389" t="n">
        <v>7507.73</v>
      </c>
      <c r="H38" s="389" t="n">
        <v>226.8</v>
      </c>
      <c r="I38" s="389" t="n">
        <v>244.58</v>
      </c>
      <c r="J38" s="389" t="n">
        <v>3590.91</v>
      </c>
      <c r="K38" s="390" t="n">
        <v>3592.91</v>
      </c>
      <c r="L38" s="383" t="n">
        <v>240.13</v>
      </c>
      <c r="M38" s="383" t="n"/>
      <c r="N38" s="383" t="n"/>
      <c r="O38" s="389">
        <f>(K38-L38)</f>
        <v/>
      </c>
      <c r="P38" s="389">
        <f>SUM(G38,H38,I38,O38)</f>
        <v/>
      </c>
    </row>
    <row r="39">
      <c r="A39" s="382" t="inlineStr">
        <is>
          <t>June 02 - June 08 2025</t>
        </is>
      </c>
      <c r="B39" s="394" t="n">
        <v>13019.08</v>
      </c>
      <c r="C39" s="399">
        <f>(B39*0.06)*1.13</f>
        <v/>
      </c>
      <c r="D39" s="399">
        <f>(B39*0.02)*1.13</f>
        <v/>
      </c>
      <c r="E39" s="45" t="n"/>
      <c r="F39" s="391" t="n">
        <v>13101.38</v>
      </c>
      <c r="G39" s="389" t="n">
        <v>9587.9</v>
      </c>
      <c r="H39" s="389" t="n">
        <v>96.40000000000001</v>
      </c>
      <c r="I39" s="389" t="n">
        <v>373.06</v>
      </c>
      <c r="J39" s="389" t="n">
        <v>3044.02</v>
      </c>
      <c r="K39" s="390" t="n">
        <v>3101.91</v>
      </c>
      <c r="L39" s="383" t="n">
        <v>140.19</v>
      </c>
      <c r="M39" s="383" t="n"/>
      <c r="N39" s="383" t="n"/>
      <c r="O39" s="389">
        <f>(K39-L39)</f>
        <v/>
      </c>
      <c r="P39" s="389">
        <f>SUM(G39,H39,I39,O39)</f>
        <v/>
      </c>
    </row>
    <row r="40">
      <c r="A40" s="382" t="inlineStr">
        <is>
          <t>June 09 - June 15 2025</t>
        </is>
      </c>
      <c r="B40" s="394" t="n">
        <v>10681.11</v>
      </c>
      <c r="C40" s="399">
        <f>(B40*0.06)*1.13</f>
        <v/>
      </c>
      <c r="D40" s="399">
        <f>(B40*0.02)*1.13</f>
        <v/>
      </c>
      <c r="E40" s="45" t="n"/>
      <c r="F40" s="391" t="n">
        <v>10858.39</v>
      </c>
      <c r="G40" s="389" t="n">
        <v>7482.179999999999</v>
      </c>
      <c r="H40" s="389" t="n">
        <v>146.78</v>
      </c>
      <c r="I40" s="389" t="n">
        <v>419.77</v>
      </c>
      <c r="J40" s="389" t="n">
        <v>2809.66</v>
      </c>
      <c r="K40" s="390" t="n">
        <v>2809.66</v>
      </c>
      <c r="L40" s="383" t="n">
        <v>177.28</v>
      </c>
      <c r="M40" s="383" t="n"/>
      <c r="N40" s="383" t="n"/>
      <c r="O40" s="389">
        <f>(K40-L40)</f>
        <v/>
      </c>
      <c r="P40" s="389">
        <f>SUM(G40,H40,I40,O40)</f>
        <v/>
      </c>
    </row>
    <row r="41">
      <c r="A41" s="382" t="inlineStr">
        <is>
          <t>June 16 - June 22 2025</t>
        </is>
      </c>
      <c r="B41" s="394" t="n">
        <v>11249.78</v>
      </c>
      <c r="C41" s="399">
        <f>(B41*0.06)*1.13</f>
        <v/>
      </c>
      <c r="D41" s="399">
        <f>(B41*0.02)*1.13</f>
        <v/>
      </c>
      <c r="E41" s="45" t="n"/>
      <c r="F41" s="391" t="n">
        <v>11400.54</v>
      </c>
      <c r="G41" s="389" t="n">
        <v>7844.48</v>
      </c>
      <c r="H41" s="389" t="n">
        <v>110.19</v>
      </c>
      <c r="I41" s="389" t="n">
        <v>328.66</v>
      </c>
      <c r="J41" s="389" t="n">
        <v>3117.21</v>
      </c>
      <c r="K41" s="390" t="n">
        <v>3117.21</v>
      </c>
      <c r="L41" s="383" t="n">
        <v>150.76</v>
      </c>
      <c r="M41" s="383" t="n"/>
      <c r="N41" s="383" t="n"/>
      <c r="O41" s="389">
        <f>(K41-L41)</f>
        <v/>
      </c>
      <c r="P41" s="389">
        <f>SUM(G41,H41,I41,O41)</f>
        <v/>
      </c>
    </row>
    <row r="42">
      <c r="A42" s="382" t="inlineStr">
        <is>
          <t>June 23 - June 29 2025</t>
        </is>
      </c>
      <c r="B42" s="394" t="n">
        <v>13709.57</v>
      </c>
      <c r="C42" s="399">
        <f>(B42*0.06)*1.13</f>
        <v/>
      </c>
      <c r="D42" s="399">
        <f>(B42*0.02)*1.13</f>
        <v/>
      </c>
      <c r="E42" s="45" t="n"/>
      <c r="F42" s="391" t="n">
        <v>13915.71</v>
      </c>
      <c r="G42" s="389" t="n">
        <v>8994.119999999999</v>
      </c>
      <c r="H42" s="389" t="n">
        <v>161.96</v>
      </c>
      <c r="I42" s="389" t="n">
        <v>317.34</v>
      </c>
      <c r="J42" s="389" t="n">
        <v>4442.29</v>
      </c>
      <c r="K42" s="390" t="n">
        <v>4479.49</v>
      </c>
      <c r="L42" s="383" t="n">
        <v>243.34</v>
      </c>
      <c r="M42" s="383" t="n"/>
      <c r="N42" s="383" t="n"/>
      <c r="O42" s="389">
        <f>(K42-L42)</f>
        <v/>
      </c>
      <c r="P42" s="389">
        <f>SUM(G42,H42,I42,O42)</f>
        <v/>
      </c>
    </row>
    <row r="43">
      <c r="A43" s="382" t="inlineStr">
        <is>
          <t>June 30 - July 06 2025</t>
        </is>
      </c>
      <c r="B43" s="394" t="n">
        <v>13468.59</v>
      </c>
      <c r="C43" s="399">
        <f>(B43*0.06)*1.13</f>
        <v/>
      </c>
      <c r="D43" s="399">
        <f>(B43*0.02)*1.13</f>
        <v/>
      </c>
      <c r="E43" s="45" t="n"/>
      <c r="F43" s="391" t="n">
        <v>13482.63</v>
      </c>
      <c r="G43" s="389" t="n">
        <v>9758.26</v>
      </c>
      <c r="H43" s="389" t="n">
        <v>268.72</v>
      </c>
      <c r="I43" s="389" t="n">
        <v>373.7</v>
      </c>
      <c r="J43" s="389" t="n">
        <v>3081.95</v>
      </c>
      <c r="K43" s="390" t="n">
        <v>3128.75</v>
      </c>
      <c r="L43" s="383" t="n">
        <v>60.84</v>
      </c>
      <c r="M43" s="383" t="n"/>
      <c r="N43" s="383" t="n"/>
      <c r="O43" s="389">
        <f>(K43-L43)</f>
        <v/>
      </c>
      <c r="P43" s="389">
        <f>SUM(G43,H43,I43,O43)</f>
        <v/>
      </c>
    </row>
    <row r="44">
      <c r="A44" s="394" t="inlineStr">
        <is>
          <t>July 07 - July 13 2025</t>
        </is>
      </c>
      <c r="B44" s="394" t="n">
        <v>12349.7</v>
      </c>
      <c r="C44" s="399">
        <f>(B44*0.06)*1.13</f>
        <v/>
      </c>
      <c r="D44" s="399">
        <f>(B44*0.02)*1.13</f>
        <v/>
      </c>
      <c r="E44" s="45" t="n"/>
      <c r="F44" s="391" t="n">
        <v>12487.84</v>
      </c>
      <c r="G44" s="389" t="n">
        <v>9345.85</v>
      </c>
      <c r="H44" s="389" t="n">
        <v>253.6</v>
      </c>
      <c r="I44" s="389" t="n">
        <v>215.56</v>
      </c>
      <c r="J44" s="389" t="n">
        <v>2672.83</v>
      </c>
      <c r="K44" s="383" t="n">
        <v>2649.24</v>
      </c>
      <c r="L44" s="383" t="n">
        <v>114.55</v>
      </c>
      <c r="M44" s="383" t="n"/>
      <c r="N44" s="383" t="n"/>
      <c r="O44" s="389">
        <f>(K44-L44)</f>
        <v/>
      </c>
      <c r="P44" s="389">
        <f>SUM(G44,H44,I44,O44)</f>
        <v/>
      </c>
    </row>
    <row r="45">
      <c r="A45" s="394" t="inlineStr">
        <is>
          <t>July 14 - July 20 2025</t>
        </is>
      </c>
      <c r="B45" s="394" t="n">
        <v>11301.77</v>
      </c>
      <c r="C45" s="399">
        <f>(B45*0.06)*1.13</f>
        <v/>
      </c>
      <c r="D45" s="399">
        <f>(B45*0.02)*1.13</f>
        <v/>
      </c>
      <c r="E45" s="11" t="n">
        <v>347</v>
      </c>
      <c r="F45" s="391" t="n">
        <v>11386.27</v>
      </c>
      <c r="G45" s="389" t="n">
        <v>8192.309999999999</v>
      </c>
      <c r="H45" s="389" t="n">
        <v>82.79000000000001</v>
      </c>
      <c r="I45" s="389" t="n">
        <v>301.33</v>
      </c>
      <c r="J45" s="389" t="n">
        <v>2809.84</v>
      </c>
      <c r="K45" s="390" t="n">
        <v>2855.04</v>
      </c>
      <c r="L45" s="383" t="n">
        <v>129.7</v>
      </c>
      <c r="M45" s="383" t="n"/>
      <c r="N45" s="383" t="n"/>
      <c r="O45" s="389">
        <f>(K45-L45)</f>
        <v/>
      </c>
      <c r="P45" s="389">
        <f>SUM(G45,H45,I45,O45)</f>
        <v/>
      </c>
    </row>
    <row r="46">
      <c r="A46" s="394" t="inlineStr">
        <is>
          <t>July 21 - July 27 2025</t>
        </is>
      </c>
      <c r="B46" s="394" t="n">
        <v>11360.85</v>
      </c>
      <c r="C46" s="399">
        <f>(B46*0.06)*1.13</f>
        <v/>
      </c>
      <c r="D46" s="399">
        <f>(B46*0.02)*1.13</f>
        <v/>
      </c>
      <c r="E46" s="56" t="n">
        <v>387</v>
      </c>
      <c r="F46" s="391" t="n">
        <v>11523.8</v>
      </c>
      <c r="G46" s="389" t="n">
        <v>7616.599999999999</v>
      </c>
      <c r="H46" s="389" t="n">
        <v>111.6</v>
      </c>
      <c r="I46" s="389" t="n">
        <v>227.77</v>
      </c>
      <c r="J46" s="389" t="n">
        <v>3567.83</v>
      </c>
      <c r="K46" s="390" t="n">
        <v>3600.23</v>
      </c>
      <c r="L46" s="383" t="n">
        <v>195.35</v>
      </c>
      <c r="M46" s="383" t="n"/>
      <c r="N46" s="383" t="n"/>
      <c r="O46" s="389">
        <f>(K46-L46)</f>
        <v/>
      </c>
      <c r="P46" s="389">
        <f>SUM(G46,H46,I46,O46)</f>
        <v/>
      </c>
    </row>
    <row r="47">
      <c r="A47" s="394" t="inlineStr">
        <is>
          <t>July 28 - Aug 03 2025</t>
        </is>
      </c>
      <c r="B47" s="394" t="n">
        <v>12208.62</v>
      </c>
      <c r="C47" s="399">
        <f>(B47*0.06)*1.13</f>
        <v/>
      </c>
      <c r="D47" s="399">
        <f>(B47*0.02)*1.13</f>
        <v/>
      </c>
      <c r="E47" s="56" t="n">
        <v>416</v>
      </c>
      <c r="F47" s="391" t="n">
        <v>12428.02</v>
      </c>
      <c r="G47" s="389" t="n">
        <v>8916.280000000001</v>
      </c>
      <c r="H47" s="389" t="n">
        <v>61.19</v>
      </c>
      <c r="I47" s="389" t="n">
        <v>244.35</v>
      </c>
      <c r="J47" s="389" t="n">
        <v>3206.2</v>
      </c>
      <c r="K47" s="383" t="n">
        <v>3188.7</v>
      </c>
      <c r="L47" s="383" t="n">
        <v>201.9</v>
      </c>
      <c r="M47" s="383" t="n"/>
      <c r="N47" s="383" t="n"/>
      <c r="O47" s="389">
        <f>(K47-L47)</f>
        <v/>
      </c>
      <c r="P47" s="389">
        <f>SUM(G47,H47,I47,O47)</f>
        <v/>
      </c>
    </row>
    <row r="48">
      <c r="A48" s="394" t="inlineStr">
        <is>
          <t>Aug 04 - Aug 10 2025</t>
        </is>
      </c>
      <c r="B48" s="394" t="n">
        <v>12620.56</v>
      </c>
      <c r="C48" s="399">
        <f>(B48*0.06)*1.13</f>
        <v/>
      </c>
      <c r="D48" s="399">
        <f>(B48*0.02)*1.13</f>
        <v/>
      </c>
      <c r="E48" s="56" t="n">
        <v>471</v>
      </c>
      <c r="F48" s="391" t="n">
        <v>12848.5</v>
      </c>
      <c r="G48" s="389" t="n">
        <v>9392.17</v>
      </c>
      <c r="H48" s="389" t="n">
        <v>84.94</v>
      </c>
      <c r="I48" s="389" t="n">
        <v>198.26</v>
      </c>
      <c r="J48" s="389" t="n">
        <v>3173.13</v>
      </c>
      <c r="K48" s="390" t="n">
        <v>3070.86</v>
      </c>
      <c r="L48" s="383" t="n">
        <v>125.67</v>
      </c>
      <c r="M48" s="383" t="n"/>
      <c r="N48" s="383" t="n"/>
      <c r="O48" s="389">
        <f>(K48-L48)</f>
        <v/>
      </c>
      <c r="P48" s="389">
        <f>SUM(G48,H48,I48,O48)</f>
        <v/>
      </c>
    </row>
    <row r="49">
      <c r="A49" s="394" t="inlineStr">
        <is>
          <t>Aug 11 - Aug 17 2025</t>
        </is>
      </c>
      <c r="B49" s="389" t="n">
        <v>13911.98</v>
      </c>
      <c r="C49" s="399">
        <f>(B49*0.06)*1.13</f>
        <v/>
      </c>
      <c r="D49" s="399">
        <f>(B49*0.02)*1.13</f>
        <v/>
      </c>
      <c r="E49" s="11" t="n">
        <v>510</v>
      </c>
      <c r="F49" s="391" t="n">
        <v>13969.3</v>
      </c>
      <c r="G49" s="389" t="n">
        <v>10515.06</v>
      </c>
      <c r="H49" s="389" t="n">
        <v>41.2</v>
      </c>
      <c r="I49" s="389" t="n">
        <v>236.53</v>
      </c>
      <c r="J49" s="389" t="n">
        <v>3176.51</v>
      </c>
      <c r="K49" s="390" t="n">
        <v>3277.69</v>
      </c>
      <c r="L49" s="383" t="n">
        <v>158.5</v>
      </c>
      <c r="M49" s="383" t="n"/>
      <c r="N49" s="383" t="n"/>
      <c r="O49" s="389">
        <f>(K49-L49)</f>
        <v/>
      </c>
      <c r="P49" s="389">
        <f>SUM(G49,H49,I49,O49)</f>
        <v/>
      </c>
    </row>
    <row r="50">
      <c r="A50" s="394" t="inlineStr">
        <is>
          <t>Aug 18 - Aug 24 2025</t>
        </is>
      </c>
      <c r="B50" s="394" t="n">
        <v>13665</v>
      </c>
      <c r="C50" s="399">
        <f>(B50*0.06)*1.13</f>
        <v/>
      </c>
      <c r="D50" s="399">
        <f>(B50*0.02)*1.13</f>
        <v/>
      </c>
      <c r="E50" s="11" t="n">
        <v>443</v>
      </c>
      <c r="F50" s="391" t="n">
        <v>13805.16</v>
      </c>
      <c r="G50" s="389" t="n">
        <v>8749.719999999999</v>
      </c>
      <c r="H50" s="389" t="n">
        <v>232.19</v>
      </c>
      <c r="I50" s="389" t="n">
        <v>313.19</v>
      </c>
      <c r="J50" s="389" t="n">
        <v>4510.06</v>
      </c>
      <c r="K50" s="390" t="n">
        <v>4626.65</v>
      </c>
      <c r="L50" s="383" t="n">
        <v>256.75</v>
      </c>
      <c r="M50" s="383" t="n"/>
      <c r="N50" s="383" t="n"/>
      <c r="O50" s="389">
        <f>(K50-L50)</f>
        <v/>
      </c>
      <c r="P50" s="389">
        <f>SUM(G50,H50,I50,O50)</f>
        <v/>
      </c>
    </row>
    <row r="51">
      <c r="A51" s="394" t="inlineStr">
        <is>
          <t>Aug 25 - Aug 31 2025</t>
        </is>
      </c>
      <c r="B51" s="394" t="n">
        <v>12849.65</v>
      </c>
      <c r="C51" s="399">
        <f>(B51*0.06)*1.13</f>
        <v/>
      </c>
      <c r="D51" s="399">
        <f>(B51*0.02)*1.13</f>
        <v/>
      </c>
      <c r="E51" s="11" t="n">
        <v>435</v>
      </c>
      <c r="F51" s="391" t="n">
        <v>13092.51</v>
      </c>
      <c r="G51" s="389" t="n">
        <v>8926.41</v>
      </c>
      <c r="H51" s="389" t="n">
        <v>240.59</v>
      </c>
      <c r="I51" s="389" t="n">
        <v>476.81</v>
      </c>
      <c r="J51" s="389" t="n">
        <v>3448.7</v>
      </c>
      <c r="K51" s="390" t="n">
        <v>3413.3</v>
      </c>
      <c r="L51" s="383" t="n">
        <v>207.46</v>
      </c>
      <c r="M51" s="383" t="n"/>
      <c r="N51" s="383" t="n"/>
      <c r="O51" s="389">
        <f>(K51-L51)</f>
        <v/>
      </c>
      <c r="P51" s="389">
        <f>SUM(G51,H51,I51,O51)</f>
        <v/>
      </c>
    </row>
    <row r="52">
      <c r="A52" s="394" t="inlineStr">
        <is>
          <t>Sep 01 - Sep 07 2025</t>
        </is>
      </c>
      <c r="B52" s="394" t="n">
        <v>11568.72</v>
      </c>
      <c r="C52" s="399">
        <f>(B52*0.06)*1.13</f>
        <v/>
      </c>
      <c r="D52" s="399">
        <f>(B52*0.02)*1.13</f>
        <v/>
      </c>
      <c r="E52" s="11" t="n">
        <v>401</v>
      </c>
      <c r="F52" s="391" t="n">
        <v>11745.27</v>
      </c>
      <c r="G52" s="389" t="n">
        <v>8121.39</v>
      </c>
      <c r="H52" s="389" t="n">
        <v>243.03</v>
      </c>
      <c r="I52" s="389" t="n">
        <v>266.99</v>
      </c>
      <c r="J52" s="389" t="n">
        <v>3113.86</v>
      </c>
      <c r="K52" s="390" t="n">
        <v>3113.86</v>
      </c>
      <c r="L52" s="383" t="n">
        <v>176.55</v>
      </c>
      <c r="M52" s="383" t="n"/>
      <c r="N52" s="383" t="n"/>
      <c r="O52" s="389">
        <f>(K52-L52)</f>
        <v/>
      </c>
      <c r="P52" s="389">
        <f>SUM(G52,H52,I52,O52)</f>
        <v/>
      </c>
    </row>
    <row r="53">
      <c r="A53" s="394" t="inlineStr">
        <is>
          <t>Sep 08 - Sep 14 2025</t>
        </is>
      </c>
      <c r="B53" s="394" t="n">
        <v>10450.63</v>
      </c>
      <c r="C53" s="399">
        <f>(B53*0.06)*1.13</f>
        <v/>
      </c>
      <c r="D53" s="399">
        <f>(B53*0.02)*1.13</f>
        <v/>
      </c>
      <c r="E53" s="11" t="n">
        <v>386</v>
      </c>
      <c r="F53" s="391" t="n">
        <v>10572.32</v>
      </c>
      <c r="G53" s="389" t="n">
        <v>7742.8</v>
      </c>
      <c r="H53" s="389" t="n">
        <v>52.79</v>
      </c>
      <c r="I53" s="389" t="n">
        <v>414.93</v>
      </c>
      <c r="J53" s="389" t="n">
        <v>2361.8</v>
      </c>
      <c r="K53" s="396" t="n">
        <v>2370.19</v>
      </c>
      <c r="L53" s="397" t="n">
        <v>130.08</v>
      </c>
      <c r="M53" s="397" t="n"/>
      <c r="N53" s="397" t="n"/>
      <c r="O53" s="389">
        <f>(K53-L53)</f>
        <v/>
      </c>
      <c r="P53" s="389">
        <f>SUM(G53,H53,I53,O53)</f>
        <v/>
      </c>
    </row>
    <row r="54">
      <c r="A54" s="394" t="inlineStr">
        <is>
          <t>Sep 15 - Sep 21 2025</t>
        </is>
      </c>
      <c r="B54" s="394" t="n">
        <v>11429.22</v>
      </c>
      <c r="C54" s="399">
        <f>(B54*0.06)*1.13</f>
        <v/>
      </c>
      <c r="D54" s="399">
        <f>(B54*0.02)*1.13</f>
        <v/>
      </c>
      <c r="E54" s="56" t="n">
        <v>381</v>
      </c>
      <c r="F54" s="391" t="n">
        <v>11658.72</v>
      </c>
      <c r="G54" s="389" t="n">
        <v>7543.01</v>
      </c>
      <c r="H54" s="389" t="n">
        <v>238.89</v>
      </c>
      <c r="I54" s="389" t="n">
        <v>337.58</v>
      </c>
      <c r="J54" s="389" t="n">
        <v>3539.24</v>
      </c>
      <c r="K54" s="390" t="n">
        <v>3486.7</v>
      </c>
      <c r="L54" s="383" t="n">
        <v>176.96</v>
      </c>
      <c r="M54" s="383" t="n"/>
      <c r="N54" s="383" t="n"/>
      <c r="O54" s="389">
        <f>(K54-L54)</f>
        <v/>
      </c>
      <c r="P54" s="389">
        <f>SUM(G54,H54,I54,O54)</f>
        <v/>
      </c>
    </row>
    <row r="55">
      <c r="A55" s="394" t="inlineStr">
        <is>
          <t>Sep 22 - Sep 28 2025</t>
        </is>
      </c>
      <c r="B55" s="394" t="n">
        <v>12826.56</v>
      </c>
      <c r="C55" s="399">
        <f>(B55*0.06)*1.13</f>
        <v/>
      </c>
      <c r="D55" s="399">
        <f>(B55*0.02)*1.13</f>
        <v/>
      </c>
      <c r="E55" s="11" t="n">
        <v>413</v>
      </c>
      <c r="F55" s="391" t="n">
        <v>12885.22</v>
      </c>
      <c r="G55" s="389" t="n">
        <v>8620.01</v>
      </c>
      <c r="H55" s="389" t="n">
        <v>230.69</v>
      </c>
      <c r="I55" s="389" t="n">
        <v>383.97</v>
      </c>
      <c r="J55" s="389" t="n">
        <v>3650.55</v>
      </c>
      <c r="K55" s="464" t="n">
        <v>3788.79</v>
      </c>
      <c r="L55" s="383" t="n">
        <v>196.9</v>
      </c>
      <c r="M55" s="383" t="n"/>
      <c r="N55" s="383" t="n"/>
      <c r="O55" s="389">
        <f>(K55-L55)</f>
        <v/>
      </c>
      <c r="P55" s="389">
        <f>SUM(G55,H55,I55,O55)</f>
        <v/>
      </c>
    </row>
    <row r="56">
      <c r="A56" s="394" t="inlineStr">
        <is>
          <t>Sep 29 - Oct 05 2025</t>
        </is>
      </c>
      <c r="B56" s="394" t="n">
        <v>10581.15</v>
      </c>
      <c r="C56" s="399">
        <f>(B56*0.06)*1.13</f>
        <v/>
      </c>
      <c r="D56" s="399">
        <f>(B56*0.02)*1.13</f>
        <v/>
      </c>
      <c r="E56" s="11" t="n">
        <v>364</v>
      </c>
      <c r="F56" s="391" t="n">
        <v>10592.93</v>
      </c>
      <c r="G56" s="389" t="n">
        <v>7257.38</v>
      </c>
      <c r="H56" s="389" t="n">
        <v>121.5</v>
      </c>
      <c r="I56" s="389" t="n">
        <v>380.57</v>
      </c>
      <c r="J56" s="389" t="n">
        <v>2833.48</v>
      </c>
      <c r="K56" s="383" t="n">
        <v>2891.38</v>
      </c>
      <c r="L56" s="383" t="n">
        <v>69.68000000000001</v>
      </c>
      <c r="M56" s="383" t="n"/>
      <c r="N56" s="383" t="n"/>
      <c r="O56" s="389">
        <f>(K56-L56)</f>
        <v/>
      </c>
      <c r="P56" s="389">
        <f>SUM(G56,H56,I56,O56)</f>
        <v/>
      </c>
    </row>
    <row r="57">
      <c r="A57" s="394" t="inlineStr">
        <is>
          <t>Oct 6 - Oct 12 2025</t>
        </is>
      </c>
      <c r="B57" s="394" t="n">
        <v>11089.2</v>
      </c>
      <c r="C57" s="399">
        <f>(B57*0.06)*1.13</f>
        <v/>
      </c>
      <c r="D57" s="399">
        <f>(B57*0.02)*1.13</f>
        <v/>
      </c>
      <c r="E57" s="11" t="n">
        <v>362</v>
      </c>
      <c r="F57" s="391" t="n">
        <v>11089.2</v>
      </c>
      <c r="G57" s="389" t="n">
        <v>8817.92</v>
      </c>
      <c r="H57" s="389" t="n">
        <v>36</v>
      </c>
      <c r="I57" s="389" t="n">
        <v>529.64</v>
      </c>
      <c r="J57" s="389" t="n">
        <v>1705.64</v>
      </c>
      <c r="K57" s="383" t="n">
        <v>1705.64</v>
      </c>
      <c r="L57" s="383" t="n">
        <v>0</v>
      </c>
      <c r="M57" s="383" t="n"/>
      <c r="N57" s="383" t="n"/>
      <c r="O57" s="389">
        <f>(K57-L57)</f>
        <v/>
      </c>
      <c r="P57" s="389">
        <f>SUM(G57,H57,I57,O57)</f>
        <v/>
      </c>
    </row>
    <row r="58">
      <c r="A58" s="394" t="inlineStr">
        <is>
          <t>Oct 13 - Oct 19 2025</t>
        </is>
      </c>
      <c r="B58" s="394" t="n">
        <v>12209.31</v>
      </c>
      <c r="C58" s="399">
        <f>(B58*0.06)*1.13</f>
        <v/>
      </c>
      <c r="D58" s="399">
        <f>(B58*0.02)*1.13</f>
        <v/>
      </c>
      <c r="E58" s="56" t="n"/>
      <c r="F58" s="394" t="n">
        <v>12237.08</v>
      </c>
      <c r="G58" s="394" t="n">
        <v>8992.1</v>
      </c>
      <c r="H58" s="394" t="n">
        <v>198</v>
      </c>
      <c r="I58" s="394" t="n">
        <v>397.59</v>
      </c>
      <c r="J58" s="394" t="n">
        <v>2649.39</v>
      </c>
      <c r="K58" s="383" t="n">
        <v>2621.62</v>
      </c>
      <c r="L58" s="383" t="n">
        <v>0</v>
      </c>
      <c r="M58" s="383" t="n"/>
      <c r="N58" s="383" t="n"/>
      <c r="O58" s="389">
        <f>(K58-L58)</f>
        <v/>
      </c>
      <c r="P58" s="389">
        <f>SUM(G58,H58,I58,O58)</f>
        <v/>
      </c>
    </row>
    <row r="59">
      <c r="A59" s="394" t="inlineStr">
        <is>
          <t>Oct 20 - Oct 26 2025</t>
        </is>
      </c>
      <c r="B59" s="394" t="n">
        <v>10696.86</v>
      </c>
      <c r="C59" s="399">
        <f>(B59*0.06)*1.13</f>
        <v/>
      </c>
      <c r="D59" s="399">
        <f>(B59*0.02)*1.13</f>
        <v/>
      </c>
      <c r="E59" s="56" t="n"/>
      <c r="F59" s="394" t="n">
        <v>10578.06</v>
      </c>
      <c r="G59" s="394" t="n">
        <v>7878.25</v>
      </c>
      <c r="H59" s="394" t="n">
        <v>106.79</v>
      </c>
      <c r="I59" s="394" t="n">
        <v>339.74</v>
      </c>
      <c r="J59" s="394" t="n">
        <v>2253.28</v>
      </c>
      <c r="K59" s="383" t="n">
        <v>2372.08</v>
      </c>
      <c r="L59" s="383" t="n">
        <v>0</v>
      </c>
      <c r="M59" s="383" t="n"/>
      <c r="N59" s="383" t="n"/>
      <c r="O59" s="389">
        <f>(K59-L59)</f>
        <v/>
      </c>
      <c r="P59" s="389">
        <f>SUM(G59,H59,I59,O59)</f>
        <v/>
      </c>
    </row>
    <row r="60">
      <c r="A60" s="394" t="inlineStr">
        <is>
          <t>Oct 27 - Nov 02 2025</t>
        </is>
      </c>
      <c r="B60" s="394" t="n">
        <v>13574.07</v>
      </c>
      <c r="C60" s="399">
        <f>(B60*0.06)*1.13</f>
        <v/>
      </c>
      <c r="D60" s="399">
        <f>(B60*0.02)*1.13</f>
        <v/>
      </c>
      <c r="E60" s="300" t="n">
        <v>435</v>
      </c>
      <c r="F60" s="394" t="n">
        <v>13505.12</v>
      </c>
      <c r="G60" s="394" t="n">
        <v>9114.07</v>
      </c>
      <c r="H60" s="394" t="n">
        <v>208.78</v>
      </c>
      <c r="I60" s="394" t="n">
        <v>316.79</v>
      </c>
      <c r="J60" s="394" t="n">
        <v>3865.48</v>
      </c>
      <c r="K60" s="383" t="n">
        <v>3909.44</v>
      </c>
      <c r="L60" s="383" t="n">
        <v>0</v>
      </c>
      <c r="M60" s="383" t="n">
        <v>24.99</v>
      </c>
      <c r="N60" s="383" t="n">
        <v>0</v>
      </c>
      <c r="O60" s="389">
        <f>(K60-L60)+(M60-N60)</f>
        <v/>
      </c>
      <c r="P60" s="389">
        <f>SUM(G60,H60,I60,O60)</f>
        <v/>
      </c>
    </row>
    <row r="61">
      <c r="A61" s="394" t="inlineStr">
        <is>
          <t>Nov 03 - Nov 09 2025</t>
        </is>
      </c>
      <c r="B61" s="394" t="n">
        <v>9919.73</v>
      </c>
      <c r="C61" s="399">
        <f>(B61*0.06)*1.13</f>
        <v/>
      </c>
      <c r="D61" s="399">
        <f>(B61*0.02)*1.13</f>
        <v/>
      </c>
      <c r="E61" s="394" t="inlineStr">
        <is>
          <t>332</t>
        </is>
      </c>
      <c r="F61" s="394" t="n">
        <v>9826.200000000001</v>
      </c>
      <c r="G61" s="394" t="n">
        <v>6703.57</v>
      </c>
      <c r="H61" s="394" t="n">
        <v>376.55</v>
      </c>
      <c r="I61" s="394" t="n">
        <v>423.37</v>
      </c>
      <c r="J61" s="394" t="n">
        <v>2322.71</v>
      </c>
      <c r="K61" s="466" t="n">
        <v>2391.25</v>
      </c>
      <c r="L61" s="383" t="n">
        <v>0</v>
      </c>
      <c r="M61" s="466" t="n">
        <v>24.99</v>
      </c>
      <c r="N61" s="383" t="n">
        <v>0</v>
      </c>
      <c r="O61" s="389">
        <f>(K61-L61)+(M61-N61)</f>
        <v/>
      </c>
      <c r="P61" s="389">
        <f>SUM(G61,H61,I61,O61)</f>
        <v/>
      </c>
    </row>
    <row r="62">
      <c r="A62" s="394" t="inlineStr">
        <is>
          <t>Nov 10 - Nov 16 2025</t>
        </is>
      </c>
      <c r="B62" s="394" t="n">
        <v>10293.43</v>
      </c>
      <c r="C62" s="399">
        <f>(B62*0.06)*1.13</f>
        <v/>
      </c>
      <c r="D62" s="399">
        <f>(B62*0.02)*1.13</f>
        <v/>
      </c>
      <c r="E62" s="394" t="inlineStr">
        <is>
          <t>338</t>
        </is>
      </c>
      <c r="F62" s="394" t="n">
        <v>10223.77</v>
      </c>
      <c r="G62" s="394" t="n">
        <v>7228.089999999999</v>
      </c>
      <c r="H62" s="394" t="n">
        <v>209.55</v>
      </c>
      <c r="I62" s="394" t="n">
        <v>562.6799999999999</v>
      </c>
      <c r="J62" s="394" t="n">
        <v>2223.45</v>
      </c>
      <c r="K62" s="383" t="n">
        <v>2293.11</v>
      </c>
      <c r="L62" s="383" t="n">
        <v>0</v>
      </c>
      <c r="M62" s="383" t="n">
        <v>0</v>
      </c>
      <c r="N62" s="383" t="n">
        <v>0</v>
      </c>
      <c r="O62" s="389">
        <f>(K62-L62)+(M62-N62)</f>
        <v/>
      </c>
      <c r="P62" s="389">
        <f>SUM(G62,H62,I62,O62)</f>
        <v/>
      </c>
    </row>
    <row r="63">
      <c r="A63" s="2" t="inlineStr">
        <is>
          <t>Nov 17 - Nov 23 2025</t>
        </is>
      </c>
      <c r="B63" s="394" t="n">
        <v>10456.45</v>
      </c>
      <c r="C63" s="399">
        <f>(B63*0.06)*1.13</f>
        <v/>
      </c>
      <c r="D63" s="399">
        <f>(B63*0.02)*1.13</f>
        <v/>
      </c>
      <c r="E63" s="394" t="inlineStr">
        <is>
          <t>364</t>
        </is>
      </c>
      <c r="F63" s="394" t="n">
        <v>10559.6</v>
      </c>
      <c r="G63" s="394" t="n">
        <v>7664.56</v>
      </c>
      <c r="H63" s="394" t="n">
        <v>210.48</v>
      </c>
      <c r="I63" s="394" t="n">
        <v>322.35</v>
      </c>
      <c r="J63" s="394" t="n">
        <v>2362.21</v>
      </c>
      <c r="K63" s="383" t="n">
        <v>2422.08</v>
      </c>
      <c r="L63" s="383" t="n">
        <v>163.02</v>
      </c>
      <c r="M63" s="383" t="n">
        <v>0</v>
      </c>
      <c r="N63" s="383" t="n">
        <v>0</v>
      </c>
      <c r="O63" s="389">
        <f>(K63-L63)+(M63-N63)</f>
        <v/>
      </c>
      <c r="P63" s="389">
        <f>SUM(G63,H63,I63,O63)</f>
        <v/>
      </c>
    </row>
    <row r="64">
      <c r="A64" s="2" t="inlineStr">
        <is>
          <t>Nov 24 - Nov 30 2025</t>
        </is>
      </c>
      <c r="B64" s="394" t="n">
        <v>11747.29</v>
      </c>
      <c r="C64" s="399">
        <f>(B64*0.06)*1.13</f>
        <v/>
      </c>
      <c r="D64" s="399">
        <f>(B64*0.02)*1.13</f>
        <v/>
      </c>
      <c r="E64" s="304" t="n">
        <v>427</v>
      </c>
      <c r="F64" s="394" t="n">
        <v>11965.45</v>
      </c>
      <c r="G64" s="394" t="n">
        <v>8443.59</v>
      </c>
      <c r="H64" s="394" t="n">
        <v>205.09</v>
      </c>
      <c r="I64" s="394" t="n">
        <v>334.27</v>
      </c>
      <c r="J64" s="394" t="n">
        <v>2982.5</v>
      </c>
      <c r="K64" s="383" t="n">
        <v>2958.5</v>
      </c>
      <c r="L64" s="383" t="n">
        <v>194.16</v>
      </c>
      <c r="M64" s="383" t="n">
        <v>0</v>
      </c>
      <c r="N64" s="383" t="n">
        <v>0</v>
      </c>
      <c r="O64" s="389">
        <f>(K64-L64)+(M64-N64)</f>
        <v/>
      </c>
      <c r="P64" s="389">
        <f>SUM(G64,H64,I64,O64)</f>
        <v/>
      </c>
    </row>
    <row r="65">
      <c r="A65" s="2" t="inlineStr">
        <is>
          <t>Dec 01 - Dec 07 2025</t>
        </is>
      </c>
      <c r="B65" s="394" t="n">
        <v>10414.41</v>
      </c>
      <c r="C65" s="399">
        <f>(B65*0.06)*1.13</f>
        <v/>
      </c>
      <c r="D65" s="399">
        <f>(B65*0.02)*1.13</f>
        <v/>
      </c>
      <c r="E65" s="300" t="n">
        <v>354</v>
      </c>
      <c r="F65" s="394" t="n">
        <v>10538.43</v>
      </c>
      <c r="G65" s="394" t="n">
        <v>7191.91</v>
      </c>
      <c r="H65" s="394" t="n">
        <v>238.77</v>
      </c>
      <c r="I65" s="394" t="n">
        <v>319.2</v>
      </c>
      <c r="J65" s="394" t="n">
        <v>2788.55</v>
      </c>
      <c r="K65" s="383" t="n">
        <v>2812.55</v>
      </c>
      <c r="L65" s="383" t="n">
        <v>148.02</v>
      </c>
      <c r="M65" s="383" t="n">
        <v>0</v>
      </c>
      <c r="N65" s="383" t="n">
        <v>0</v>
      </c>
      <c r="O65" s="389">
        <f>(K65-L65)+(M65-N65)</f>
        <v/>
      </c>
      <c r="P65" s="389">
        <f>SUM(G65,H65,I65,O65)</f>
        <v/>
      </c>
    </row>
    <row r="66">
      <c r="A66" s="299" t="inlineStr">
        <is>
          <t>Dec 08 - Dec 14 2025</t>
        </is>
      </c>
      <c r="B66" s="394" t="n">
        <v>8793.000000000002</v>
      </c>
      <c r="C66" s="399">
        <f>(B66*0.06)*1.13</f>
        <v/>
      </c>
      <c r="D66" s="399">
        <f>(B66*0.02)*1.13</f>
        <v/>
      </c>
      <c r="E66" s="300" t="inlineStr">
        <is>
          <t>340</t>
        </is>
      </c>
      <c r="F66" s="394" t="n">
        <v>9132.060000000001</v>
      </c>
      <c r="G66" s="394" t="n">
        <v>5423.940000000001</v>
      </c>
      <c r="H66" s="394" t="n">
        <v>56.69</v>
      </c>
      <c r="I66" s="394" t="n">
        <v>343.8</v>
      </c>
      <c r="J66" s="394" t="n">
        <v>3307.63</v>
      </c>
      <c r="K66" s="383" t="n">
        <v>3306.44</v>
      </c>
      <c r="L66" s="148" t="n">
        <v>354.65</v>
      </c>
      <c r="M66" s="383" t="n">
        <v>16.78</v>
      </c>
      <c r="N66" s="383" t="n">
        <v>0</v>
      </c>
      <c r="O66" s="389">
        <f>(K66-L66)+(M66-N66)</f>
        <v/>
      </c>
      <c r="P66" s="389">
        <f>SUM(G66,H66,I66,O66)</f>
        <v/>
      </c>
    </row>
    <row r="67">
      <c r="A67" s="2" t="inlineStr">
        <is>
          <t>Dec 15 - Dec 21 2025</t>
        </is>
      </c>
      <c r="B67" s="394" t="n">
        <v>10031.9</v>
      </c>
      <c r="C67" s="399">
        <f>(B67*0.06)*1.13</f>
        <v/>
      </c>
      <c r="D67" s="399">
        <f>(B67*0.02)*1.13</f>
        <v/>
      </c>
      <c r="E67" s="300" t="inlineStr">
        <is>
          <t>342</t>
        </is>
      </c>
      <c r="F67" s="394" t="n">
        <v>10394.72</v>
      </c>
      <c r="G67" s="394" t="n">
        <v>7228.19</v>
      </c>
      <c r="H67" s="394" t="n">
        <v>287.48</v>
      </c>
      <c r="I67" s="394" t="n">
        <v>367.69</v>
      </c>
      <c r="J67" s="394" t="n">
        <v>2511.36</v>
      </c>
      <c r="K67" s="383" t="n">
        <v>2475.36</v>
      </c>
      <c r="L67" s="383" t="n">
        <v>326.82</v>
      </c>
      <c r="M67" s="383" t="n">
        <v>0</v>
      </c>
      <c r="N67" s="383" t="n">
        <v>0</v>
      </c>
      <c r="O67" s="389">
        <f>(K67-L67)+(M67-N67)</f>
        <v/>
      </c>
      <c r="P67" s="389">
        <f>SUM(G67,H67,I67,O67)</f>
        <v/>
      </c>
    </row>
    <row r="68">
      <c r="A68" s="2" t="inlineStr">
        <is>
          <t>Dec 22 - Dec 28 2025</t>
        </is>
      </c>
      <c r="B68" s="394" t="n">
        <v>12863.22</v>
      </c>
      <c r="C68" s="399">
        <f>(B68*0.06)*1.13</f>
        <v/>
      </c>
      <c r="D68" s="399">
        <f>(B68*0.02)*1.13</f>
        <v/>
      </c>
      <c r="E68" s="304" t="n">
        <v>405</v>
      </c>
      <c r="F68" s="394" t="n">
        <v>12852.93</v>
      </c>
      <c r="G68" s="394" t="n">
        <v>8913.5</v>
      </c>
      <c r="H68" s="394" t="n">
        <v>135.82</v>
      </c>
      <c r="I68" s="394" t="n">
        <v>202.3</v>
      </c>
      <c r="J68" s="394" t="n">
        <v>3601.31</v>
      </c>
      <c r="K68" s="383" t="n">
        <v>3675.92</v>
      </c>
      <c r="L68" s="383" t="n">
        <v>64.31999999999999</v>
      </c>
      <c r="M68" s="383" t="n">
        <v>0</v>
      </c>
      <c r="N68" s="383" t="n">
        <v>0</v>
      </c>
      <c r="O68" s="389">
        <f>(K68-L68)+(M68-N68)</f>
        <v/>
      </c>
      <c r="P68" s="389">
        <f>SUM(G68,H68,I68,O68)</f>
        <v/>
      </c>
    </row>
    <row r="69">
      <c r="A69" s="11" t="inlineStr">
        <is>
          <t>Dec 29 - Jan 04 2026</t>
        </is>
      </c>
      <c r="B69" s="394" t="n">
        <v>12578.52</v>
      </c>
      <c r="C69" s="399">
        <f>(B69*0.06)*1.13</f>
        <v/>
      </c>
      <c r="D69" s="399">
        <f>(B69*0.02)*1.13</f>
        <v/>
      </c>
      <c r="E69" s="300" t="inlineStr">
        <is>
          <t>385</t>
        </is>
      </c>
      <c r="F69" s="394" t="n">
        <v>12810.18</v>
      </c>
      <c r="G69" s="394" t="n">
        <v>9079.559999999999</v>
      </c>
      <c r="H69" s="394" t="n">
        <v>75.59999999999999</v>
      </c>
      <c r="I69" s="394" t="n">
        <v>141.6</v>
      </c>
      <c r="J69" s="394" t="n">
        <v>3513.42</v>
      </c>
      <c r="K69" s="383" t="n">
        <v>3566.22</v>
      </c>
      <c r="L69" s="383" t="n">
        <v>284.46</v>
      </c>
      <c r="M69" s="383" t="n">
        <v>0</v>
      </c>
      <c r="N69" s="383" t="n">
        <v>0</v>
      </c>
      <c r="O69" s="389">
        <f>(K69-L69)+(M69-N69)</f>
        <v/>
      </c>
      <c r="P69" s="389">
        <f>SUM(G69,H69,I69,O69)</f>
        <v/>
      </c>
    </row>
    <row r="70">
      <c r="A70" s="11" t="inlineStr">
        <is>
          <t>Jan 05 - Jan 11 2026</t>
        </is>
      </c>
      <c r="B70" s="394" t="n">
        <v>8868.83</v>
      </c>
      <c r="C70" s="399">
        <f>(B70*0.06)*1.13</f>
        <v/>
      </c>
      <c r="D70" s="399">
        <f>(B70*0.02)*1.13</f>
        <v/>
      </c>
      <c r="E70" s="300" t="inlineStr">
        <is>
          <t>310</t>
        </is>
      </c>
      <c r="F70" s="56" t="n">
        <v>9128.110000000001</v>
      </c>
      <c r="G70" s="394" t="n">
        <v>5883.24</v>
      </c>
      <c r="H70" s="394" t="n">
        <v>281.05</v>
      </c>
      <c r="I70" s="394" t="n">
        <v>172.07</v>
      </c>
      <c r="J70" s="394" t="n">
        <v>2791.75</v>
      </c>
      <c r="K70" s="383" t="n">
        <v>2818.54</v>
      </c>
      <c r="L70" s="383" t="n">
        <v>286.07</v>
      </c>
      <c r="M70" s="383" t="n">
        <v>0</v>
      </c>
      <c r="N70" s="383" t="n">
        <v>0</v>
      </c>
      <c r="O70" s="389">
        <f>(K70-L70)+(M70-N70)</f>
        <v/>
      </c>
      <c r="P70" s="389">
        <f>SUM(G70,H70,I70,O70)</f>
        <v/>
      </c>
    </row>
    <row r="71">
      <c r="A71" s="11" t="inlineStr">
        <is>
          <t>Jan 12 - Jan 18 2026</t>
        </is>
      </c>
      <c r="B71" s="394" t="n">
        <v>9229.77</v>
      </c>
      <c r="C71" s="399">
        <f>(B71*0.06)*1.13</f>
        <v/>
      </c>
      <c r="D71" s="399">
        <f>(B71*0.02)*1.13</f>
        <v/>
      </c>
      <c r="E71" s="300" t="inlineStr">
        <is>
          <t>319</t>
        </is>
      </c>
      <c r="F71" s="394" t="n">
        <v>9305.440000000001</v>
      </c>
      <c r="G71" s="394" t="n">
        <v>6888.94</v>
      </c>
      <c r="H71" s="394" t="n">
        <v>187.18</v>
      </c>
      <c r="I71" s="394" t="n">
        <v>275.5</v>
      </c>
      <c r="J71" s="394" t="n">
        <v>1953.82</v>
      </c>
      <c r="K71" s="383" t="n">
        <v>1989.81</v>
      </c>
      <c r="L71" s="383" t="n">
        <v>111.66</v>
      </c>
      <c r="M71" s="383" t="n">
        <v>0</v>
      </c>
      <c r="N71" s="383" t="n">
        <v>0</v>
      </c>
      <c r="O71" s="389">
        <f>(K71-L71)+(M71-N71)</f>
        <v/>
      </c>
      <c r="P71" s="389">
        <f>SUM(G71,H71,I71,O71)</f>
        <v/>
      </c>
    </row>
    <row r="72">
      <c r="A72" s="30" t="inlineStr">
        <is>
          <t>Jan 19 - Jan 25 2026</t>
        </is>
      </c>
      <c r="B72" s="394" t="n">
        <v>7852.34</v>
      </c>
      <c r="C72" s="399">
        <f>(B72*0.06)*1.13</f>
        <v/>
      </c>
      <c r="D72" s="399">
        <f>(B72*0.02)*1.13</f>
        <v/>
      </c>
      <c r="E72" s="300" t="inlineStr">
        <is>
          <t>280</t>
        </is>
      </c>
      <c r="F72" s="394" t="n">
        <v>8084.09</v>
      </c>
      <c r="G72" s="394" t="n">
        <v>4874.67</v>
      </c>
      <c r="H72" s="394" t="n">
        <v>191.39</v>
      </c>
      <c r="I72" s="394" t="n">
        <v>174.4</v>
      </c>
      <c r="J72" s="394" t="n">
        <v>2843.63</v>
      </c>
      <c r="K72" s="383" t="n">
        <v>2791.47</v>
      </c>
      <c r="L72" s="383" t="n">
        <v>192.18</v>
      </c>
      <c r="M72" s="383" t="n">
        <v>12.59</v>
      </c>
      <c r="N72" s="383" t="n">
        <v>0</v>
      </c>
      <c r="O72" s="389">
        <f>(K72-L72)+(M72-N72)</f>
        <v/>
      </c>
      <c r="P72" s="389">
        <f>SUM(G72,H72,I72,O72)</f>
        <v/>
      </c>
    </row>
    <row r="73">
      <c r="A73" s="30" t="inlineStr">
        <is>
          <t>Jan 26 - Feb 01 2026</t>
        </is>
      </c>
      <c r="B73" s="394" t="n">
        <v>9830.459999999999</v>
      </c>
      <c r="C73" s="399">
        <f>(B73*0.06)*1.13</f>
        <v/>
      </c>
      <c r="D73" s="399">
        <f>(B73*0.02)*1.13</f>
        <v/>
      </c>
      <c r="E73" s="300" t="inlineStr">
        <is>
          <t>310</t>
        </is>
      </c>
      <c r="F73" s="394" t="n">
        <v>9998.379999999999</v>
      </c>
      <c r="G73" s="394" t="n">
        <v>6859.64</v>
      </c>
      <c r="H73" s="394" t="n">
        <v>508.75</v>
      </c>
      <c r="I73" s="394" t="n">
        <v>310.27</v>
      </c>
      <c r="J73" s="394" t="n">
        <v>2319.72</v>
      </c>
      <c r="K73" s="383" t="n">
        <v>2419.9</v>
      </c>
      <c r="L73" s="383" t="n">
        <v>268.1</v>
      </c>
      <c r="M73" s="383" t="n">
        <v>0</v>
      </c>
      <c r="N73" s="383" t="n">
        <v>0</v>
      </c>
      <c r="O73" s="389">
        <f>(K73-L73)+(M73-N73)</f>
        <v/>
      </c>
      <c r="P73" s="389">
        <f>SUM(G73,H73,I73,O73)</f>
        <v/>
      </c>
    </row>
    <row r="74">
      <c r="A74" s="30" t="inlineStr">
        <is>
          <t>Feb 02 - Feb 08 2026</t>
        </is>
      </c>
      <c r="B74" s="394" t="n">
        <v>9165.949999999999</v>
      </c>
      <c r="C74" s="399">
        <f>(B74*0.06)*1.13</f>
        <v/>
      </c>
      <c r="D74" s="399">
        <f>(B74*0.02)*1.13</f>
        <v/>
      </c>
      <c r="E74" s="300" t="inlineStr">
        <is>
          <t>325</t>
        </is>
      </c>
      <c r="F74" s="394" t="n">
        <v>9231.469999999999</v>
      </c>
      <c r="G74" s="394" t="n">
        <v>6603.929999999999</v>
      </c>
      <c r="H74" s="394" t="n">
        <v>190.8</v>
      </c>
      <c r="I74" s="394" t="n">
        <v>171.33</v>
      </c>
      <c r="J74" s="394" t="n">
        <v>2265.41</v>
      </c>
      <c r="K74" s="383" t="n">
        <v>2265.41</v>
      </c>
      <c r="L74" s="383" t="n">
        <v>65.52</v>
      </c>
      <c r="M74" s="383" t="n">
        <v>0</v>
      </c>
      <c r="N74" s="383" t="n">
        <v>0</v>
      </c>
      <c r="O74" s="389">
        <f>(K74-L74)+(M74-N74)</f>
        <v/>
      </c>
      <c r="P74" s="389">
        <f>SUM(G74,H74,I74,O74)</f>
        <v/>
      </c>
    </row>
    <row r="75">
      <c r="A75" s="11" t="inlineStr">
        <is>
          <t>Feb 09 - Feb 15 2026</t>
        </is>
      </c>
      <c r="B75" s="394" t="n">
        <v>11030.31</v>
      </c>
      <c r="C75" s="399">
        <f>(B75*0.06)*1.13</f>
        <v/>
      </c>
      <c r="D75" s="399">
        <f>(B75*0.02)*1.13</f>
        <v/>
      </c>
      <c r="E75" s="300" t="inlineStr">
        <is>
          <t>355</t>
        </is>
      </c>
      <c r="F75" s="394" t="n">
        <v>11125.16</v>
      </c>
      <c r="G75" s="394" t="n">
        <v>8156.990000000001</v>
      </c>
      <c r="H75" s="394" t="n">
        <v>175.98</v>
      </c>
      <c r="I75" s="394" t="n">
        <v>384.06</v>
      </c>
      <c r="J75" s="394" t="n">
        <v>2408.13</v>
      </c>
      <c r="K75" s="389" t="n">
        <v>2405.13</v>
      </c>
      <c r="L75" s="389" t="n">
        <v>131.04</v>
      </c>
      <c r="M75" s="389" t="n">
        <v>56.17</v>
      </c>
      <c r="N75" s="389" t="n">
        <v>16.98</v>
      </c>
      <c r="O75" s="389">
        <f>(K75-L75)+(M75-N75)</f>
        <v/>
      </c>
      <c r="P75" s="389">
        <f>SUM(G75,H75,I75,O75)</f>
        <v/>
      </c>
    </row>
    <row r="76">
      <c r="A76" s="11" t="inlineStr">
        <is>
          <t>Feb 16 - Feb 22 2026</t>
        </is>
      </c>
      <c r="B76" s="394" t="n">
        <v>8359.949999999999</v>
      </c>
      <c r="C76" s="399">
        <f>(B76*0.06)*1.13</f>
        <v/>
      </c>
      <c r="D76" s="399">
        <f>(B76*0.02)*1.13</f>
        <v/>
      </c>
      <c r="E76" s="300" t="inlineStr">
        <is>
          <t>285</t>
        </is>
      </c>
      <c r="F76" s="394" t="n">
        <v>8579.509999999998</v>
      </c>
      <c r="G76" s="394" t="n">
        <v>5611.71</v>
      </c>
      <c r="H76" s="394" t="n">
        <v>156.19</v>
      </c>
      <c r="I76" s="394" t="n">
        <v>171.9</v>
      </c>
      <c r="J76" s="394" t="n">
        <v>2639.71</v>
      </c>
      <c r="K76" s="389" t="n">
        <v>2599.73</v>
      </c>
      <c r="L76" s="389" t="n">
        <v>179.58</v>
      </c>
      <c r="M76" s="383" t="n">
        <v>0</v>
      </c>
      <c r="N76" s="383" t="n">
        <v>0</v>
      </c>
      <c r="O76" s="389">
        <f>(K76-L76)+(M76-N76)</f>
        <v/>
      </c>
      <c r="P76" s="389">
        <f>SUM(G76,H76,I76,O76)</f>
        <v/>
      </c>
    </row>
    <row r="77">
      <c r="A77" s="11" t="inlineStr">
        <is>
          <t>Feb 23 - Mar 1 2026</t>
        </is>
      </c>
      <c r="B77" s="394" t="n">
        <v>8910.119999999999</v>
      </c>
      <c r="C77" s="399">
        <f>(B77*0.06)*1.13</f>
        <v/>
      </c>
      <c r="D77" s="399">
        <f>(B77*0.02)*1.13</f>
        <v/>
      </c>
      <c r="E77" s="300" t="inlineStr">
        <is>
          <t>317</t>
        </is>
      </c>
      <c r="F77" s="394" t="n">
        <v>9120.429999999998</v>
      </c>
      <c r="G77" s="394" t="n">
        <v>5696.299999999999</v>
      </c>
      <c r="H77" s="394" t="n">
        <v>96.06999999999999</v>
      </c>
      <c r="I77" s="394" t="n">
        <v>702.15</v>
      </c>
      <c r="J77" s="394" t="n">
        <v>2625.91</v>
      </c>
      <c r="K77" s="389" t="n">
        <v>2689.29</v>
      </c>
      <c r="L77" s="389" t="n">
        <v>273.69</v>
      </c>
      <c r="M77" s="383" t="n">
        <v>0</v>
      </c>
      <c r="N77" s="383" t="n">
        <v>0</v>
      </c>
      <c r="O77" s="389">
        <f>(K77-L77)+(M77-N77)</f>
        <v/>
      </c>
      <c r="P77" s="389">
        <f>SUM(G77,H77,I77,O77)</f>
        <v/>
      </c>
    </row>
    <row r="78">
      <c r="A78" s="11" t="inlineStr">
        <is>
          <t>Mar 02 - Mar 08 2026</t>
        </is>
      </c>
      <c r="B78" s="394" t="n">
        <v>8285.199999999999</v>
      </c>
      <c r="C78" s="399">
        <f>(B78*0.06)*1.13</f>
        <v/>
      </c>
      <c r="D78" s="399">
        <f>(B78*0.02)*1.13</f>
        <v/>
      </c>
      <c r="E78" s="300" t="inlineStr">
        <is>
          <t>302</t>
        </is>
      </c>
      <c r="F78" s="394" t="n">
        <v>8559.67</v>
      </c>
      <c r="G78" s="394" t="n">
        <v>5569.37</v>
      </c>
      <c r="H78" s="394" t="n">
        <v>233.21</v>
      </c>
      <c r="I78" s="394" t="n">
        <v>538.9</v>
      </c>
      <c r="J78" s="394" t="n">
        <v>2218.19</v>
      </c>
      <c r="K78" s="389" t="n">
        <v>2218.19</v>
      </c>
      <c r="L78" s="389" t="n">
        <v>274.47</v>
      </c>
      <c r="M78" s="383" t="n">
        <v>0</v>
      </c>
      <c r="N78" s="383" t="n">
        <v>0</v>
      </c>
      <c r="O78" s="389">
        <f>(K78-L78)+(M78-N78)</f>
        <v/>
      </c>
      <c r="P78" s="389">
        <f>SUM(G78,H78,I78,O78)</f>
        <v/>
      </c>
    </row>
    <row r="79">
      <c r="A79" s="11" t="inlineStr">
        <is>
          <t>Mar 09 - Mar 15 2026</t>
        </is>
      </c>
      <c r="B79" s="394" t="n">
        <v>9629.730000000001</v>
      </c>
      <c r="C79" s="399">
        <f>(B79*0.06)*1.13</f>
        <v/>
      </c>
      <c r="D79" s="399">
        <f>(B79*0.02)*1.13</f>
        <v/>
      </c>
      <c r="E79" s="300" t="inlineStr">
        <is>
          <t>316</t>
        </is>
      </c>
      <c r="F79" s="394" t="n">
        <v>9796.41</v>
      </c>
      <c r="G79" s="394" t="n">
        <v>5952.67</v>
      </c>
      <c r="H79" s="394" t="n">
        <v>108.85</v>
      </c>
      <c r="I79" s="394" t="n">
        <v>384.14</v>
      </c>
      <c r="J79" s="394" t="n">
        <v>3350.75</v>
      </c>
      <c r="K79" s="389" t="n">
        <v>3509.69</v>
      </c>
      <c r="L79" s="389" t="n">
        <v>325.62</v>
      </c>
      <c r="M79" s="383" t="n">
        <v>0</v>
      </c>
      <c r="N79" s="383" t="n">
        <v>0</v>
      </c>
      <c r="O79" s="389">
        <f>(K79-L79)+(M79-N79)</f>
        <v/>
      </c>
      <c r="P79" s="389">
        <f>SUM(G79,H79,I79,O79)</f>
        <v/>
      </c>
    </row>
    <row r="80">
      <c r="A80" s="11" t="inlineStr">
        <is>
          <t>Mar 16 - Mar 22 2026</t>
        </is>
      </c>
      <c r="B80" s="394" t="n">
        <v>11058.63</v>
      </c>
      <c r="C80" s="399">
        <f>(B80*0.06)*1.13</f>
        <v/>
      </c>
      <c r="D80" s="399">
        <f>(B80*0.02)*1.13</f>
        <v/>
      </c>
      <c r="E80" s="300" t="inlineStr">
        <is>
          <t>349</t>
        </is>
      </c>
      <c r="F80" s="394" t="n">
        <v>11351.4</v>
      </c>
      <c r="G80" s="394" t="n">
        <v>7770.23</v>
      </c>
      <c r="H80" s="394" t="n">
        <v>70.11</v>
      </c>
      <c r="I80" s="394" t="n">
        <v>330.16</v>
      </c>
      <c r="J80" s="394" t="n">
        <v>3180.9</v>
      </c>
      <c r="K80" s="312" t="n">
        <v>3197.19</v>
      </c>
      <c r="L80" s="118" t="n">
        <v>309.06</v>
      </c>
      <c r="M80" s="383" t="n">
        <v>0</v>
      </c>
      <c r="N80" s="383" t="n">
        <v>0</v>
      </c>
      <c r="O80" s="389">
        <f>(K80-L80)+(M80-N80)</f>
        <v/>
      </c>
      <c r="P80" s="389">
        <f>SUM(G80,H80,I80,O80)</f>
        <v/>
      </c>
    </row>
    <row r="81">
      <c r="A81" s="11" t="inlineStr">
        <is>
          <t>Mar 23 - Mar 29 2026</t>
        </is>
      </c>
      <c r="B81" s="394" t="n">
        <v>8345.030000000001</v>
      </c>
      <c r="C81" s="399">
        <f>(B81*0.06)*1.13</f>
        <v/>
      </c>
      <c r="D81" s="399">
        <f>(B81*0.02)*1.13</f>
        <v/>
      </c>
      <c r="E81" s="300" t="inlineStr">
        <is>
          <t>315</t>
        </is>
      </c>
      <c r="F81" s="394" t="n">
        <v>8426.400000000001</v>
      </c>
      <c r="G81" s="394" t="n">
        <v>5803.360000000001</v>
      </c>
      <c r="H81" s="394" t="n">
        <v>261.76</v>
      </c>
      <c r="I81" s="394" t="n">
        <v>302.05</v>
      </c>
      <c r="J81" s="394" t="n">
        <v>2059.23</v>
      </c>
      <c r="K81" s="312" t="n">
        <v>2093.12</v>
      </c>
      <c r="L81" s="118" t="n">
        <v>115.26</v>
      </c>
      <c r="M81" s="383" t="n">
        <v>0</v>
      </c>
      <c r="N81" s="383" t="n">
        <v>0</v>
      </c>
      <c r="O81" s="389">
        <f>(K81-L81)+(M81-N81)</f>
        <v/>
      </c>
      <c r="P81" s="389">
        <f>SUM(G81,H81,I81,O81)</f>
        <v/>
      </c>
    </row>
    <row r="82">
      <c r="A82" s="11" t="inlineStr">
        <is>
          <t>Mar 30 - Apr 05 2026</t>
        </is>
      </c>
      <c r="B82" s="394" t="n">
        <v>9875.25</v>
      </c>
      <c r="C82" s="399">
        <f>(B82*0.06)*1.13</f>
        <v/>
      </c>
      <c r="D82" s="399">
        <f>(B82*0.02)*1.13</f>
        <v/>
      </c>
      <c r="E82" s="300" t="inlineStr">
        <is>
          <t>346</t>
        </is>
      </c>
      <c r="F82" s="394" t="n">
        <v>10281.43</v>
      </c>
      <c r="G82" s="394" t="n">
        <v>6564.91</v>
      </c>
      <c r="H82" s="394" t="n">
        <v>124.8</v>
      </c>
      <c r="I82" s="394" t="n">
        <v>508.32</v>
      </c>
      <c r="J82" s="394" t="n">
        <v>3083.4</v>
      </c>
      <c r="K82" s="389" t="n">
        <v>3012.83</v>
      </c>
      <c r="L82" s="389" t="n">
        <v>335.61</v>
      </c>
      <c r="M82" s="383" t="n">
        <v>0</v>
      </c>
      <c r="N82" s="383" t="n">
        <v>0</v>
      </c>
      <c r="O82" s="389">
        <f>(K82-L82)+(M82-N82)</f>
        <v/>
      </c>
      <c r="P82" s="389">
        <f>SUM(G82,H82,I82,O82)</f>
        <v/>
      </c>
    </row>
    <row r="83">
      <c r="A83" s="2" t="inlineStr">
        <is>
          <t>Apr 06 - Apr 12</t>
        </is>
      </c>
      <c r="B83" s="394" t="n">
        <v>8969.310000000001</v>
      </c>
      <c r="C83" s="399">
        <f>(B83*0.06)*1.13</f>
        <v/>
      </c>
      <c r="D83" s="399">
        <f>(B83*0.02)*1.13</f>
        <v/>
      </c>
      <c r="E83" s="319" t="inlineStr">
        <is>
          <t>330</t>
        </is>
      </c>
      <c r="F83" s="401" t="n">
        <v>9224.030000000001</v>
      </c>
      <c r="G83" s="401" t="n">
        <v>5621.08</v>
      </c>
      <c r="H83" s="401" t="n">
        <v>116.55</v>
      </c>
      <c r="I83" s="401" t="n">
        <v>212.1</v>
      </c>
      <c r="J83" s="401" t="n">
        <v>3274.3</v>
      </c>
      <c r="K83" s="389" t="n">
        <v>3234.32</v>
      </c>
      <c r="L83" s="389" t="n">
        <v>214.74</v>
      </c>
      <c r="M83" s="383" t="n">
        <v>0</v>
      </c>
      <c r="N83" s="383" t="n">
        <v>0</v>
      </c>
      <c r="O83" s="389">
        <f>(K83-L83)+(M83-N83)</f>
        <v/>
      </c>
      <c r="P83" s="389">
        <f>SUM(G83,H83,I83,O83)</f>
        <v/>
      </c>
    </row>
    <row r="84">
      <c r="A84" s="11" t="inlineStr">
        <is>
          <t>Apr 13 - Apr 19</t>
        </is>
      </c>
      <c r="B84" s="394" t="n">
        <v>8563.719999999999</v>
      </c>
      <c r="C84" s="399">
        <f>(B84*0.06)*1.13</f>
        <v/>
      </c>
      <c r="D84" s="399">
        <f>(B84*0.02)*1.13</f>
        <v/>
      </c>
      <c r="E84" s="322" t="inlineStr">
        <is>
          <t>285</t>
        </is>
      </c>
      <c r="F84" s="550" t="n">
        <v>8802.25</v>
      </c>
      <c r="G84" s="550" t="n">
        <v>5794.76</v>
      </c>
      <c r="H84" s="550" t="n">
        <v>93.59</v>
      </c>
      <c r="I84" s="550" t="n">
        <v>240.98</v>
      </c>
      <c r="J84" s="550" t="n">
        <v>2672.92</v>
      </c>
      <c r="K84" s="389" t="n">
        <v>2672.92</v>
      </c>
      <c r="L84" s="389" t="n">
        <v>238.53</v>
      </c>
      <c r="M84" s="383" t="n">
        <v>0</v>
      </c>
      <c r="N84" s="383" t="n">
        <v>0</v>
      </c>
      <c r="O84" s="389">
        <f>(K84-L84)+(M84-N84)</f>
        <v/>
      </c>
      <c r="P84" s="389">
        <f>SUM(G84,H84,I84,O84)</f>
        <v/>
      </c>
    </row>
    <row r="85">
      <c r="A85" s="11" t="inlineStr">
        <is>
          <t>Apr 20 - Apr 26</t>
        </is>
      </c>
      <c r="B85" s="394" t="n">
        <v>7472.82</v>
      </c>
      <c r="C85" s="399">
        <f>(B85*0.06)*1.13</f>
        <v/>
      </c>
      <c r="D85" s="399">
        <f>(B85*0.02)*1.13</f>
        <v/>
      </c>
      <c r="E85" s="322" t="inlineStr">
        <is>
          <t>267</t>
        </is>
      </c>
      <c r="F85" s="550" t="n">
        <v>7626.34</v>
      </c>
      <c r="G85" s="550" t="n">
        <v>4612.74</v>
      </c>
      <c r="H85" s="550" t="n">
        <v>61.37</v>
      </c>
      <c r="I85" s="550" t="n">
        <v>378.76</v>
      </c>
      <c r="J85" s="550" t="n">
        <v>2573.47</v>
      </c>
      <c r="K85" s="389" t="n">
        <v>2615.52</v>
      </c>
      <c r="L85" s="389" t="n">
        <v>195.57</v>
      </c>
      <c r="M85" s="383" t="n">
        <v>0</v>
      </c>
      <c r="N85" s="383" t="n">
        <v>0</v>
      </c>
      <c r="O85" s="389">
        <f>(K85-L85)+(M85-N85)</f>
        <v/>
      </c>
      <c r="P85" s="389">
        <f>SUM(G85,H85,I85,O85)</f>
        <v/>
      </c>
    </row>
    <row r="86">
      <c r="A86" s="11" t="inlineStr">
        <is>
          <t>Apr 27 - May 03</t>
        </is>
      </c>
      <c r="B86" s="394" t="n">
        <v>8601.07</v>
      </c>
      <c r="C86" s="399">
        <f>(B86*0.06)*1.13</f>
        <v/>
      </c>
      <c r="D86" s="399">
        <f>(B86*0.02)*1.13</f>
        <v/>
      </c>
      <c r="E86" s="322" t="inlineStr">
        <is>
          <t>301</t>
        </is>
      </c>
      <c r="F86" s="550" t="n">
        <v>8714.610000000001</v>
      </c>
      <c r="G86" s="550" t="n">
        <v>5886.52</v>
      </c>
      <c r="H86" s="550" t="n">
        <v>143.13</v>
      </c>
      <c r="I86" s="550" t="n">
        <v>228.97</v>
      </c>
      <c r="J86" s="550" t="n">
        <v>2455.99</v>
      </c>
      <c r="K86" s="338" t="inlineStr">
        <is>
          <t>$2,474.69</t>
        </is>
      </c>
      <c r="L86" s="338" t="inlineStr">
        <is>
          <t>$132.24</t>
        </is>
      </c>
      <c r="M86" s="550" t="n">
        <v>0</v>
      </c>
      <c r="N86" s="550" t="n">
        <v>0</v>
      </c>
      <c r="O86" s="389">
        <f>(K86-L86)+(M86-N86)</f>
        <v/>
      </c>
      <c r="P86" s="389">
        <f>SUM(G86,H86,I86,O86)</f>
        <v/>
      </c>
      <c r="Q86" s="550" t="n"/>
      <c r="R86" s="550" t="n"/>
      <c r="S86" s="550" t="n"/>
      <c r="T86" s="550" t="n"/>
      <c r="U86" s="550" t="n"/>
      <c r="V86" s="550" t="n"/>
      <c r="W86" s="550" t="n"/>
      <c r="X86" s="550" t="n"/>
      <c r="Y86" s="550" t="n"/>
      <c r="Z86" s="550" t="n"/>
      <c r="AA86" s="550" t="n"/>
      <c r="AB86" s="550" t="n"/>
      <c r="AC86" s="550" t="n"/>
    </row>
    <row r="87">
      <c r="A87" s="334" t="inlineStr">
        <is>
          <t>May 4 - May 10</t>
        </is>
      </c>
      <c r="B87" s="471" t="n">
        <v>9769.83</v>
      </c>
      <c r="C87" s="399">
        <f>(B87*0.06)*1.13</f>
        <v/>
      </c>
      <c r="D87" s="399">
        <f>(B87*0.02)*1.13</f>
        <v/>
      </c>
      <c r="E87" s="322" t="n">
        <v>344</v>
      </c>
      <c r="F87" s="550" t="n">
        <v>9754.83</v>
      </c>
      <c r="G87" s="550" t="n">
        <v>7064.21</v>
      </c>
      <c r="H87" s="550" t="n">
        <v>26.38</v>
      </c>
      <c r="I87" s="550" t="n">
        <v>343.65</v>
      </c>
      <c r="J87" s="550" t="n">
        <v>2320.59</v>
      </c>
      <c r="K87" s="550" t="n">
        <v>2335.59</v>
      </c>
      <c r="L87" s="550" t="n">
        <v>0</v>
      </c>
      <c r="M87" s="550" t="n">
        <v>0</v>
      </c>
      <c r="N87" s="550" t="n">
        <v>0</v>
      </c>
      <c r="O87" s="389">
        <f>(K87-L87)+(M87-N87)</f>
        <v/>
      </c>
      <c r="P87" s="389">
        <f>SUM(G87,H87,I87,O87)</f>
        <v/>
      </c>
      <c r="Q87" s="550" t="n"/>
      <c r="R87" s="550" t="n"/>
      <c r="S87" s="550" t="n"/>
      <c r="T87" s="550" t="n"/>
      <c r="U87" s="550" t="n"/>
      <c r="V87" s="550" t="n"/>
      <c r="W87" s="550" t="n"/>
      <c r="X87" s="550" t="n"/>
      <c r="Y87" s="550" t="n"/>
      <c r="Z87" s="550" t="n"/>
      <c r="AA87" s="550" t="n"/>
      <c r="AB87" s="550" t="n"/>
      <c r="AC87" s="550" t="n"/>
    </row>
    <row r="88">
      <c r="A88" s="334" t="inlineStr">
        <is>
          <t>May 11 - May 17</t>
        </is>
      </c>
      <c r="B88" s="471" t="n"/>
      <c r="C88" s="399" t="n"/>
      <c r="D88" s="399" t="n"/>
      <c r="E88" s="322" t="n">
        <v>275</v>
      </c>
      <c r="F88" s="550" t="n">
        <v>9049.299999999999</v>
      </c>
      <c r="G88" s="550" t="n">
        <v>6214.83</v>
      </c>
      <c r="H88" s="550" t="n">
        <v>158.35</v>
      </c>
      <c r="I88" s="550" t="n">
        <v>363.29</v>
      </c>
      <c r="J88" s="550" t="n">
        <v>2312.83</v>
      </c>
      <c r="K88" s="550" t="n"/>
      <c r="L88" s="550" t="n"/>
      <c r="M88" s="550" t="n"/>
      <c r="N88" s="550" t="n"/>
      <c r="O88" s="472" t="n"/>
      <c r="P88" s="472" t="n"/>
      <c r="Q88" s="550" t="n"/>
      <c r="R88" s="550" t="n"/>
      <c r="S88" s="550" t="n"/>
      <c r="T88" s="550" t="n"/>
      <c r="U88" s="550" t="n"/>
      <c r="V88" s="550" t="n"/>
      <c r="W88" s="550" t="n"/>
      <c r="X88" s="550" t="n"/>
      <c r="Y88" s="550" t="n"/>
      <c r="Z88" s="550" t="n"/>
      <c r="AA88" s="550" t="n"/>
      <c r="AB88" s="550" t="n"/>
      <c r="AC88" s="550" t="n"/>
    </row>
    <row r="89" ht="27.6" customHeight="1">
      <c r="A89" s="334" t="n"/>
      <c r="B89" s="471" t="n"/>
      <c r="C89" s="399" t="n"/>
      <c r="D89" s="399" t="n"/>
      <c r="E89" s="322" t="n"/>
      <c r="F89" s="550" t="n"/>
      <c r="G89" s="550" t="n"/>
      <c r="H89" s="550" t="n"/>
      <c r="I89" s="550" t="n"/>
      <c r="J89" s="550" t="n"/>
      <c r="K89" s="550" t="n"/>
      <c r="L89" s="550" t="n"/>
      <c r="M89" s="550" t="n"/>
      <c r="N89" s="550" t="n"/>
      <c r="O89" s="472" t="n"/>
      <c r="P89" s="472" t="n"/>
      <c r="Q89" s="550" t="n"/>
      <c r="R89" s="550" t="n"/>
      <c r="S89" s="550" t="n"/>
      <c r="T89" s="550" t="n"/>
      <c r="U89" s="550" t="n"/>
      <c r="V89" s="550" t="n"/>
      <c r="W89" s="550" t="n"/>
      <c r="X89" s="550" t="n"/>
      <c r="Y89" s="550" t="n"/>
      <c r="Z89" s="550" t="n"/>
      <c r="AA89" s="550" t="n"/>
      <c r="AB89" s="550" t="n"/>
      <c r="AC89" s="550" t="n"/>
    </row>
    <row r="90" ht="27.6" customHeight="1">
      <c r="A90" s="353" t="inlineStr">
        <is>
          <t>May 11 - May 17</t>
        </is>
      </c>
      <c r="B90" s="474" t="n">
        <v>8235.099999999999</v>
      </c>
      <c r="C90" s="399">
        <f>(B88*0.06)*1.13</f>
        <v/>
      </c>
      <c r="D90" s="399">
        <f>(B88*0.02)*1.13</f>
        <v/>
      </c>
      <c r="E90" s="322" t="n">
        <v>306</v>
      </c>
      <c r="F90" s="550" t="n">
        <v>8136.72</v>
      </c>
      <c r="G90" s="550" t="n">
        <v>5798.02</v>
      </c>
      <c r="H90" s="550" t="n">
        <v>68.40000000000001</v>
      </c>
      <c r="I90" s="550" t="n">
        <v>522.5599999999999</v>
      </c>
      <c r="J90" s="550" t="n">
        <v>1747.74</v>
      </c>
      <c r="K90" s="405" t="n">
        <v>1846.12</v>
      </c>
      <c r="L90" s="550" t="n">
        <v>0</v>
      </c>
      <c r="M90" s="550" t="n">
        <v>0</v>
      </c>
      <c r="N90" s="550" t="n">
        <v>0</v>
      </c>
      <c r="O90" s="472">
        <f>(K88-L88)+(M88-N88)</f>
        <v/>
      </c>
      <c r="P90" s="472">
        <f>SUM(G88,H88,I88,O88)</f>
        <v/>
      </c>
      <c r="Q90" s="550" t="n"/>
      <c r="R90" s="550" t="n"/>
      <c r="S90" s="550" t="n"/>
      <c r="T90" s="550" t="n"/>
      <c r="U90" s="550" t="n"/>
      <c r="V90" s="550" t="n"/>
      <c r="W90" s="550" t="n"/>
      <c r="X90" s="550" t="n"/>
      <c r="Y90" s="550" t="n"/>
      <c r="Z90" s="550" t="n"/>
      <c r="AA90" s="550" t="n"/>
      <c r="AB90" s="550" t="n"/>
      <c r="AC90" s="550" t="n"/>
    </row>
    <row r="91" ht="27.6" customHeight="1">
      <c r="A91" s="353" t="inlineStr">
        <is>
          <t>May 18 - May 24</t>
        </is>
      </c>
      <c r="B91" s="474" t="n">
        <v>9724.809999999999</v>
      </c>
      <c r="C91" s="399">
        <f>(B89*0.06)*1.13</f>
        <v/>
      </c>
      <c r="D91" s="399">
        <f>(B89*0.02)*1.13</f>
        <v/>
      </c>
      <c r="E91" s="322" t="n">
        <v>302</v>
      </c>
      <c r="F91" s="550" t="n">
        <v>9698.120000000001</v>
      </c>
      <c r="G91" s="550" t="n">
        <v>6969.83</v>
      </c>
      <c r="H91" s="550" t="n">
        <v>83.16</v>
      </c>
      <c r="I91" s="550" t="n">
        <v>367.88</v>
      </c>
      <c r="J91" s="550" t="n">
        <v>2277.25</v>
      </c>
      <c r="K91" s="405" t="n">
        <v>2303.94</v>
      </c>
      <c r="L91" s="550" t="n">
        <v>0</v>
      </c>
      <c r="M91" s="550" t="n">
        <v>0</v>
      </c>
      <c r="N91" s="550" t="n">
        <v>0</v>
      </c>
      <c r="O91" s="472">
        <f>(K89-L89)+(M89-N89)</f>
        <v/>
      </c>
      <c r="P91" s="472">
        <f>SUM(G89,H89,I89,O89)</f>
        <v/>
      </c>
      <c r="Q91" s="550" t="n"/>
      <c r="R91" s="550" t="n"/>
      <c r="S91" s="550" t="n"/>
      <c r="T91" s="550" t="n"/>
      <c r="U91" s="550" t="n"/>
      <c r="V91" s="550" t="n"/>
      <c r="W91" s="550" t="n"/>
      <c r="X91" s="550" t="n"/>
      <c r="Y91" s="550" t="n"/>
      <c r="Z91" s="550" t="n"/>
      <c r="AA91" s="550" t="n"/>
      <c r="AB91" s="550" t="n"/>
      <c r="AC91" s="550" t="n"/>
    </row>
    <row r="92" ht="27.6" customHeight="1">
      <c r="A92" s="353" t="inlineStr">
        <is>
          <t>May 25 - May 31</t>
        </is>
      </c>
      <c r="B92" s="474" t="n"/>
      <c r="C92" s="399" t="n"/>
      <c r="D92" s="399" t="n"/>
      <c r="E92" s="322" t="n">
        <v>275</v>
      </c>
      <c r="F92" s="550" t="n">
        <v>9049.299999999999</v>
      </c>
      <c r="G92" s="550" t="n">
        <v>6214.83</v>
      </c>
      <c r="H92" s="550" t="n">
        <v>158.35</v>
      </c>
      <c r="I92" s="550" t="n">
        <v>363.29</v>
      </c>
      <c r="J92" s="550" t="n">
        <v>2312.83</v>
      </c>
      <c r="K92" s="405" t="n"/>
      <c r="L92" s="550" t="n"/>
      <c r="M92" s="550" t="n"/>
      <c r="N92" s="550" t="n"/>
      <c r="O92" s="472" t="n"/>
      <c r="P92" s="472" t="n"/>
      <c r="Q92" s="550" t="n"/>
      <c r="R92" s="550" t="n"/>
      <c r="S92" s="550" t="n"/>
      <c r="T92" s="550" t="n"/>
      <c r="U92" s="550" t="n"/>
      <c r="V92" s="550" t="n"/>
      <c r="W92" s="550" t="n"/>
      <c r="X92" s="550" t="n"/>
      <c r="Y92" s="550" t="n"/>
      <c r="Z92" s="550" t="n"/>
      <c r="AA92" s="550" t="n"/>
      <c r="AB92" s="550" t="n"/>
      <c r="AC92" s="550" t="n"/>
    </row>
    <row r="93">
      <c r="A93" s="353" t="n"/>
      <c r="B93" s="474" t="n"/>
      <c r="C93" s="399" t="n"/>
      <c r="D93" s="399" t="n"/>
      <c r="E93" s="322" t="n"/>
      <c r="F93" s="550" t="n"/>
      <c r="G93" s="550" t="n"/>
      <c r="H93" s="550" t="n"/>
      <c r="I93" s="550" t="n"/>
      <c r="J93" s="550" t="n"/>
      <c r="K93" s="405" t="n"/>
      <c r="L93" s="550" t="n"/>
      <c r="M93" s="550" t="n"/>
      <c r="N93" s="550" t="n"/>
      <c r="O93" s="472" t="n"/>
      <c r="P93" s="472" t="n"/>
      <c r="Q93" s="550" t="n"/>
      <c r="R93" s="550" t="n"/>
      <c r="S93" s="550" t="n"/>
      <c r="T93" s="550" t="n"/>
      <c r="U93" s="550" t="n"/>
      <c r="V93" s="550" t="n"/>
      <c r="W93" s="550" t="n"/>
      <c r="X93" s="550" t="n"/>
      <c r="Y93" s="550" t="n"/>
      <c r="Z93" s="550" t="n"/>
      <c r="AA93" s="550" t="n"/>
      <c r="AB93" s="550" t="n"/>
      <c r="AC93" s="550" t="n"/>
    </row>
    <row r="94">
      <c r="A94" s="399" t="inlineStr">
        <is>
          <t>Ajax</t>
        </is>
      </c>
      <c r="B94" s="358" t="n"/>
      <c r="C94" s="358" t="n"/>
      <c r="D94" s="355" t="n"/>
      <c r="E94" s="45" t="n"/>
      <c r="F94" s="45" t="n"/>
      <c r="G94" s="389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</row>
    <row r="95">
      <c r="A95" s="479" t="inlineStr">
        <is>
          <t>Statement For Selected Period</t>
        </is>
      </c>
      <c r="B95" s="479" t="inlineStr">
        <is>
          <t>Total Revenue (Net Sales)</t>
        </is>
      </c>
      <c r="C95" s="479" t="inlineStr">
        <is>
          <t>Royalties
(6%) +HST</t>
        </is>
      </c>
      <c r="D95" s="479" t="inlineStr">
        <is>
          <t>Marketing
(2%) +HST</t>
        </is>
      </c>
      <c r="E95" s="30" t="n"/>
      <c r="F95" s="30" t="n"/>
      <c r="G95" s="389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</row>
    <row r="96">
      <c r="A96" s="11" t="inlineStr">
        <is>
          <t>Mar 09 - Mar 15 2026</t>
        </is>
      </c>
      <c r="B96" s="394" t="n">
        <v>9629.730000000001</v>
      </c>
      <c r="C96" s="399">
        <f>(B90*0.06)*1.13</f>
        <v/>
      </c>
      <c r="D96" s="399">
        <f>(B90*0.02)*1.13</f>
        <v/>
      </c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</row>
    <row r="97">
      <c r="A97" s="11" t="inlineStr">
        <is>
          <t>Mar 16 - Mar 22 2026</t>
        </is>
      </c>
      <c r="B97" s="394" t="n">
        <v>11058.63</v>
      </c>
      <c r="C97" s="399">
        <f>(B91*0.06)*1.13</f>
        <v/>
      </c>
      <c r="D97" s="399">
        <f>(B91*0.02)*1.13</f>
        <v/>
      </c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</row>
    <row r="98">
      <c r="A98" s="11" t="inlineStr">
        <is>
          <t>Mar 23 - Mar 29 2026</t>
        </is>
      </c>
      <c r="B98" s="394" t="n">
        <v>8345.030000000001</v>
      </c>
      <c r="C98" s="399">
        <f>(B92*0.06)*1.13</f>
        <v/>
      </c>
      <c r="D98" s="399">
        <f>(B92*0.02)*1.13</f>
        <v/>
      </c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</row>
    <row r="99">
      <c r="A99" s="11" t="inlineStr">
        <is>
          <t>Mar 30 - Apr 05 2026</t>
        </is>
      </c>
      <c r="B99" s="394" t="n">
        <v>9875.25</v>
      </c>
      <c r="C99" s="399">
        <f>(B93*0.06)*1.13</f>
        <v/>
      </c>
      <c r="D99" s="399">
        <f>(B93*0.02)*1.13</f>
        <v/>
      </c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</row>
    <row r="100">
      <c r="A100" s="2" t="inlineStr">
        <is>
          <t>Apr 06 - Apr 12</t>
        </is>
      </c>
      <c r="B100" s="394" t="n">
        <v>8969.310000000001</v>
      </c>
      <c r="C100" s="399">
        <f>(B94*0.06)*1.13</f>
        <v/>
      </c>
      <c r="D100" s="399">
        <f>(B94*0.02)*1.13</f>
        <v/>
      </c>
    </row>
    <row r="101">
      <c r="A101" s="11" t="inlineStr">
        <is>
          <t>Apr 13 - Apr 19</t>
        </is>
      </c>
      <c r="B101" s="394" t="n">
        <v>8563.719999999999</v>
      </c>
      <c r="C101" s="399">
        <f>(B95*0.06)*1.13</f>
        <v/>
      </c>
      <c r="D101" s="399">
        <f>(B95*0.02)*1.13</f>
        <v/>
      </c>
    </row>
    <row r="102">
      <c r="A102" s="11" t="inlineStr">
        <is>
          <t>Apr 20 - Apr 26</t>
        </is>
      </c>
      <c r="B102" s="394" t="n">
        <v>7472.82</v>
      </c>
      <c r="C102" s="399">
        <f>(B96*0.06)*1.13</f>
        <v/>
      </c>
      <c r="D102" s="399">
        <f>(B96*0.02)*1.13</f>
        <v/>
      </c>
    </row>
    <row r="103">
      <c r="A103" s="11" t="inlineStr">
        <is>
          <t>Apr 27 - May 03</t>
        </is>
      </c>
      <c r="B103" s="394" t="n">
        <v>8601.07</v>
      </c>
      <c r="C103" s="399">
        <f>(B98*0.06)*1.13</f>
        <v/>
      </c>
      <c r="D103" s="399">
        <f>(B98*0.02)*1.13</f>
        <v/>
      </c>
    </row>
    <row r="104">
      <c r="A104" s="334" t="inlineStr">
        <is>
          <t>May 4 - May 10</t>
        </is>
      </c>
      <c r="B104" s="471" t="n">
        <v>9769.83</v>
      </c>
      <c r="C104" s="399">
        <f>(B99*0.06)*1.13</f>
        <v/>
      </c>
      <c r="D104" s="399">
        <f>(B99*0.02)*1.13</f>
        <v/>
      </c>
    </row>
    <row r="105">
      <c r="A105" s="353" t="inlineStr">
        <is>
          <t>May 11 - May 17</t>
        </is>
      </c>
      <c r="B105" s="474" t="n">
        <v>8235.099999999999</v>
      </c>
      <c r="C105" s="399">
        <f>(B101*0.06)*1.13</f>
        <v/>
      </c>
      <c r="D105" s="399">
        <f>(B101*0.02)*1.13</f>
        <v/>
      </c>
    </row>
    <row r="106">
      <c r="A106" s="334" t="inlineStr">
        <is>
          <t>May 18 - May 24</t>
        </is>
      </c>
      <c r="B106" s="471" t="n">
        <v>9724.809999999999</v>
      </c>
      <c r="C106" s="399" t="n">
        <v>659.3421179999998</v>
      </c>
      <c r="D106" s="399" t="n">
        <v>219.780706</v>
      </c>
    </row>
    <row r="107">
      <c r="A107" s="353" t="n"/>
      <c r="B107" s="474" t="n"/>
      <c r="C107" s="399" t="n"/>
      <c r="D107" s="399" t="n"/>
    </row>
    <row r="108">
      <c r="A108" s="334" t="n"/>
      <c r="B108" s="471" t="n"/>
      <c r="C108" s="399" t="n"/>
      <c r="D108" s="399" t="n"/>
    </row>
    <row r="109">
      <c r="A109" s="353" t="n"/>
      <c r="B109" s="474" t="n"/>
      <c r="C109" s="399" t="n"/>
      <c r="D109" s="399" t="n"/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8"/>
  <sheetViews>
    <sheetView topLeftCell="A9" zoomScaleNormal="100" workbookViewId="0">
      <pane ySplit="10" topLeftCell="A84" activePane="bottomLeft" state="frozen"/>
      <selection activeCell="A9" sqref="A9"/>
      <selection pane="bottomLeft" activeCell="E103" sqref="E103"/>
    </sheetView>
  </sheetViews>
  <sheetFormatPr baseColWidth="8" defaultRowHeight="14.4"/>
  <cols>
    <col width="39.6640625" customWidth="1" min="1" max="1"/>
    <col width="21" customWidth="1" style="68" min="2" max="2"/>
    <col width="15.109375" customWidth="1" min="3" max="3"/>
    <col width="16.44140625" customWidth="1" min="4" max="6"/>
    <col width="18.33203125" customWidth="1" min="7" max="7"/>
    <col width="19.109375" customWidth="1" min="8" max="8"/>
    <col width="16.6640625" customWidth="1" min="9" max="9"/>
    <col width="17.109375" customWidth="1" min="10" max="10"/>
    <col width="23.5546875" customWidth="1" min="11" max="11"/>
    <col width="26" customWidth="1" min="12" max="12"/>
    <col width="19" customWidth="1" min="13" max="13"/>
    <col width="24.5546875" customWidth="1" min="14" max="16"/>
    <col width="16.33203125" customWidth="1" min="17" max="17"/>
    <col width="17.109375" customWidth="1" min="18" max="18"/>
  </cols>
  <sheetData>
    <row r="1">
      <c r="A1" s="364" t="inlineStr">
        <is>
          <t>PK Queen St.</t>
        </is>
      </c>
      <c r="B1" s="358" t="n"/>
      <c r="C1" s="358" t="n"/>
      <c r="D1" s="355" t="n"/>
      <c r="E1" s="162" t="n"/>
      <c r="F1" s="162" t="n"/>
    </row>
    <row r="2" ht="27.6" customHeight="1">
      <c r="A2" s="103" t="inlineStr">
        <is>
          <t>Statement For Selected Period</t>
        </is>
      </c>
      <c r="B2" s="361" t="inlineStr">
        <is>
          <t>Total Revenue (Net Sales)</t>
        </is>
      </c>
      <c r="C2" s="361" t="inlineStr">
        <is>
          <t>Royalties
(6%)</t>
        </is>
      </c>
      <c r="D2" s="361" t="inlineStr">
        <is>
          <t>Marketing
(2%)</t>
        </is>
      </c>
      <c r="E2" s="163" t="n"/>
      <c r="F2" s="163" t="n"/>
    </row>
    <row r="3">
      <c r="A3" s="2" t="inlineStr">
        <is>
          <t>Oct 21 - Oct 27 2024</t>
        </is>
      </c>
      <c r="B3" s="389" t="n"/>
      <c r="C3" s="398">
        <f>(B3*0.06)*1.13</f>
        <v/>
      </c>
      <c r="D3" s="398">
        <f>(B3*0.02)*1.13</f>
        <v/>
      </c>
      <c r="E3" s="539" t="n"/>
      <c r="F3" s="539" t="n"/>
    </row>
    <row r="4">
      <c r="A4" s="2" t="inlineStr">
        <is>
          <t>Oct 28 - Nov 03 2024</t>
        </is>
      </c>
      <c r="B4" s="389" t="n">
        <v>2261.82</v>
      </c>
      <c r="C4" s="398">
        <f>(B4*0.06)*1.13</f>
        <v/>
      </c>
      <c r="D4" s="398">
        <f>(B4*0.02)*1.13</f>
        <v/>
      </c>
      <c r="E4" s="539" t="n"/>
      <c r="F4" s="539" t="n"/>
    </row>
    <row r="5">
      <c r="A5" s="2" t="inlineStr">
        <is>
          <t>Nov 4 - Nov 10 2024</t>
        </is>
      </c>
      <c r="B5" s="389" t="n">
        <v>5128.36</v>
      </c>
      <c r="C5" s="398">
        <f>(B5*0.06)*1.13</f>
        <v/>
      </c>
      <c r="D5" s="398">
        <f>(B5*0.02)*1.13</f>
        <v/>
      </c>
      <c r="E5" s="539" t="n"/>
      <c r="F5" s="539" t="n"/>
    </row>
    <row r="6" ht="15" customHeight="1" thickBot="1">
      <c r="A6" s="2" t="inlineStr">
        <is>
          <t>Nov 11 - Nov 17 2024</t>
        </is>
      </c>
      <c r="B6" s="389" t="n">
        <v>6350.06</v>
      </c>
      <c r="C6" s="398">
        <f>(B6*0.06)*1.13</f>
        <v/>
      </c>
      <c r="D6" s="398">
        <f>(B6*0.02)*1.13</f>
        <v/>
      </c>
      <c r="E6" s="539" t="n"/>
      <c r="F6" s="539" t="n"/>
    </row>
    <row r="7" ht="18" customHeight="1" thickBot="1">
      <c r="A7" s="2" t="inlineStr">
        <is>
          <t>Nov 18 - Nov 24 2024</t>
        </is>
      </c>
      <c r="B7" s="389" t="n">
        <v>7297.6</v>
      </c>
      <c r="C7" s="398">
        <f>(B7*0.06)*1.13</f>
        <v/>
      </c>
      <c r="D7" s="398">
        <f>(B7*0.02)*1.13</f>
        <v/>
      </c>
      <c r="E7" s="539" t="n"/>
      <c r="F7" s="539" t="n"/>
      <c r="H7" s="121" t="n"/>
      <c r="I7" s="122" t="n"/>
      <c r="J7" s="475" t="n"/>
    </row>
    <row r="8" ht="18" customHeight="1" thickBot="1">
      <c r="A8" s="2" t="inlineStr">
        <is>
          <t>Nov 25 - Dec 01 2024</t>
        </is>
      </c>
      <c r="B8" s="389" t="n">
        <v>6278.52</v>
      </c>
      <c r="C8" s="398">
        <f>(B8*0.06)*1.13</f>
        <v/>
      </c>
      <c r="D8" s="398">
        <f>(B8*0.02)*1.13</f>
        <v/>
      </c>
      <c r="E8" s="539" t="n"/>
      <c r="F8" s="539" t="n"/>
      <c r="H8" s="126" t="n"/>
      <c r="I8" s="127" t="n"/>
      <c r="J8" s="551" t="n"/>
    </row>
    <row r="9" ht="18" customHeight="1" thickBot="1">
      <c r="A9" s="2" t="inlineStr">
        <is>
          <t>Dec 02 - Dec 08 2024</t>
        </is>
      </c>
      <c r="B9" s="389" t="n">
        <v>7318.83</v>
      </c>
      <c r="C9" s="398">
        <f>(B9*0.06)*1.13</f>
        <v/>
      </c>
      <c r="D9" s="398">
        <f>(B9*0.02)*1.13</f>
        <v/>
      </c>
      <c r="E9" s="539" t="n"/>
      <c r="F9" s="539" t="n"/>
      <c r="H9" s="129" t="n"/>
      <c r="I9" s="130" t="n"/>
      <c r="J9" s="552" t="n"/>
    </row>
    <row r="10">
      <c r="A10" s="2" t="inlineStr">
        <is>
          <t>Dec 09 - Dec 15 2024</t>
        </is>
      </c>
      <c r="B10" s="389" t="n">
        <v>8909.290000000001</v>
      </c>
      <c r="C10" s="398">
        <f>(B10*0.06)*1.13</f>
        <v/>
      </c>
      <c r="D10" s="398">
        <f>(B10*0.02)*1.13</f>
        <v/>
      </c>
      <c r="E10" s="539" t="n"/>
      <c r="F10" s="539" t="n"/>
      <c r="J10" s="460" t="n"/>
    </row>
    <row r="11">
      <c r="A11" s="2" t="inlineStr">
        <is>
          <t>Dec 16 - Dec 22 2024</t>
        </is>
      </c>
      <c r="B11" s="389" t="n">
        <v>9881.16</v>
      </c>
      <c r="C11" s="398">
        <f>(B11*0.06)*1.13</f>
        <v/>
      </c>
      <c r="D11" s="398">
        <f>(B11*0.02)*1.13</f>
        <v/>
      </c>
      <c r="E11" s="539" t="n"/>
      <c r="F11" s="539" t="n"/>
    </row>
    <row r="12" ht="17.4" customHeight="1">
      <c r="A12" s="2" t="inlineStr">
        <is>
          <t>Dec 23 - Dec 29 2024</t>
        </is>
      </c>
      <c r="B12" s="389" t="n">
        <v>10740.81</v>
      </c>
      <c r="C12" s="398">
        <f>(B12*0.06)*1.13</f>
        <v/>
      </c>
      <c r="D12" s="398">
        <f>(B12*0.02)*1.13</f>
        <v/>
      </c>
      <c r="E12" s="539" t="n"/>
      <c r="F12" s="539" t="n"/>
      <c r="G12" s="553" t="n">
        <v>3794.73</v>
      </c>
      <c r="H12" s="553" t="n">
        <v>5063.33</v>
      </c>
      <c r="I12" s="553" t="n">
        <v>172.65</v>
      </c>
      <c r="J12" s="553" t="n">
        <v>1710.1</v>
      </c>
    </row>
    <row r="13" ht="17.4" customHeight="1">
      <c r="A13" s="27" t="inlineStr">
        <is>
          <t>Dec 30 - Jan 05 2025</t>
        </is>
      </c>
      <c r="B13" s="505" t="n">
        <v>11526.52</v>
      </c>
      <c r="C13" s="554">
        <f>(B13*0.06)*1.13</f>
        <v/>
      </c>
      <c r="D13" s="554">
        <f>(B13*0.02)*1.13</f>
        <v/>
      </c>
      <c r="E13" s="539" t="n"/>
      <c r="F13" s="539" t="n"/>
      <c r="G13" s="553" t="n">
        <v>5010.36</v>
      </c>
      <c r="H13" s="553" t="n">
        <v>5289.89</v>
      </c>
      <c r="I13" s="553" t="n">
        <v>137.1</v>
      </c>
      <c r="J13" s="553" t="n">
        <v>1089.17</v>
      </c>
    </row>
    <row r="14">
      <c r="A14" s="2" t="inlineStr">
        <is>
          <t>Jan 06 - Jan 12 2025</t>
        </is>
      </c>
      <c r="B14" s="389" t="n">
        <v>7725.15</v>
      </c>
      <c r="C14" s="398">
        <f>(B14*0.06)*1.13</f>
        <v/>
      </c>
      <c r="D14" s="398">
        <f>(B14*0.02)*1.13</f>
        <v/>
      </c>
      <c r="E14" s="398" t="n"/>
      <c r="F14" s="398" t="n"/>
      <c r="G14" s="56" t="inlineStr">
        <is>
          <t>In-Store</t>
        </is>
      </c>
      <c r="H14" s="56" t="inlineStr">
        <is>
          <t>Skip</t>
        </is>
      </c>
      <c r="I14" s="56" t="inlineStr">
        <is>
          <t>DD</t>
        </is>
      </c>
      <c r="J14" s="56" t="inlineStr">
        <is>
          <t>Uber (TB)</t>
        </is>
      </c>
      <c r="K14" s="56" t="inlineStr">
        <is>
          <t>Uber (Website)</t>
        </is>
      </c>
      <c r="L14" s="56" t="inlineStr">
        <is>
          <t>Subtract</t>
        </is>
      </c>
      <c r="M14" s="56" t="inlineStr">
        <is>
          <t>Final uber</t>
        </is>
      </c>
      <c r="N14" s="56" t="inlineStr">
        <is>
          <t>Total</t>
        </is>
      </c>
      <c r="O14" s="56" t="n"/>
      <c r="P14" s="56" t="n"/>
      <c r="Q14" s="56" t="n"/>
      <c r="R14" s="56" t="n"/>
    </row>
    <row r="15">
      <c r="A15" s="2" t="inlineStr">
        <is>
          <t>Jan 13 - Jan 19 2025</t>
        </is>
      </c>
      <c r="B15" s="389" t="n">
        <v>10708.9</v>
      </c>
      <c r="C15" s="398">
        <f>(B15*0.06)*1.13</f>
        <v/>
      </c>
      <c r="D15" s="398">
        <f>(B15*0.02)*1.13</f>
        <v/>
      </c>
      <c r="E15" s="398" t="n"/>
      <c r="F15" s="398" t="n"/>
      <c r="G15" s="389" t="n">
        <v>4115.66</v>
      </c>
      <c r="H15" s="373" t="n">
        <v>141.98</v>
      </c>
      <c r="I15" s="373" t="n">
        <v>618.91</v>
      </c>
      <c r="J15" s="373" t="n">
        <v>6167.33</v>
      </c>
      <c r="K15" s="373" t="n">
        <v>6498</v>
      </c>
      <c r="L15" s="390" t="n">
        <v>665.65</v>
      </c>
      <c r="M15" s="373">
        <f>K15-L15</f>
        <v/>
      </c>
      <c r="N15" s="373">
        <f>SUM(G15,H15,I15,M15)</f>
        <v/>
      </c>
      <c r="O15" s="373" t="n"/>
      <c r="P15" s="373" t="n"/>
      <c r="Q15" s="56" t="n"/>
      <c r="R15" s="56" t="n"/>
    </row>
    <row r="16">
      <c r="A16" s="2" t="inlineStr">
        <is>
          <t>Jan 20 - Jan 26 2025</t>
        </is>
      </c>
      <c r="B16" s="389" t="n">
        <v>9536.83</v>
      </c>
      <c r="C16" s="398">
        <f>(B16*0.06)*1.13</f>
        <v/>
      </c>
      <c r="D16" s="398">
        <f>(B16*0.02)*1.13</f>
        <v/>
      </c>
      <c r="E16" s="398" t="n"/>
      <c r="F16" s="398" t="n"/>
      <c r="G16" s="373" t="n">
        <v>3288.21</v>
      </c>
      <c r="H16" s="373" t="n">
        <v>360.78</v>
      </c>
      <c r="I16" s="373" t="n">
        <v>922.87</v>
      </c>
      <c r="J16" s="373" t="n">
        <v>5886.81</v>
      </c>
      <c r="K16" s="390" t="n">
        <v>5487.98</v>
      </c>
      <c r="L16" s="383" t="n">
        <v>523.01</v>
      </c>
      <c r="M16" s="373">
        <f>K16-L16</f>
        <v/>
      </c>
      <c r="N16" s="373">
        <f>SUM(G16,H16,I16,M16)</f>
        <v/>
      </c>
      <c r="O16" s="373" t="n"/>
      <c r="P16" s="373" t="n"/>
      <c r="Q16" s="56" t="n"/>
      <c r="R16" s="56" t="n"/>
    </row>
    <row r="17">
      <c r="A17" s="2" t="inlineStr">
        <is>
          <t>Jan 27 - Feb 02 2025</t>
        </is>
      </c>
      <c r="B17" s="389" t="n">
        <v>10031.3</v>
      </c>
      <c r="C17" s="398">
        <f>(B17*0.06)*1.13</f>
        <v/>
      </c>
      <c r="D17" s="398">
        <f>(B17*0.02)*1.13</f>
        <v/>
      </c>
      <c r="E17" s="398" t="n"/>
      <c r="F17" s="398" t="n"/>
      <c r="G17" s="373" t="n">
        <v>3134.86</v>
      </c>
      <c r="H17" s="373" t="n">
        <v>116.27</v>
      </c>
      <c r="I17" s="373" t="n">
        <v>892.3099999999999</v>
      </c>
      <c r="J17" s="373" t="n">
        <v>6608.49</v>
      </c>
      <c r="K17" s="383" t="n">
        <v>6546.71</v>
      </c>
      <c r="L17" s="148" t="n">
        <v>658.85</v>
      </c>
      <c r="M17" s="373">
        <f>K17-L17</f>
        <v/>
      </c>
      <c r="N17" s="373">
        <f>SUM(G17,H17,I17,M17)</f>
        <v/>
      </c>
      <c r="O17" s="373" t="n"/>
      <c r="P17" s="373" t="n"/>
      <c r="Q17" s="56" t="n"/>
      <c r="R17" s="56" t="n"/>
    </row>
    <row r="18">
      <c r="A18" s="2" t="n"/>
      <c r="B18" s="389" t="n"/>
      <c r="C18" s="398">
        <f>(B18*0.06)*1.13</f>
        <v/>
      </c>
      <c r="D18" s="398">
        <f>(B18*0.02)*1.13</f>
        <v/>
      </c>
      <c r="E18" s="398" t="inlineStr">
        <is>
          <t>Bill Count</t>
        </is>
      </c>
      <c r="F18" s="540" t="inlineStr">
        <is>
          <t>TB Total</t>
        </is>
      </c>
      <c r="G18" s="170" t="inlineStr">
        <is>
          <t>In-Store</t>
        </is>
      </c>
      <c r="H18" s="170" t="inlineStr">
        <is>
          <t>Skip</t>
        </is>
      </c>
      <c r="I18" s="170" t="inlineStr">
        <is>
          <t>DD</t>
        </is>
      </c>
      <c r="J18" s="170" t="inlineStr">
        <is>
          <t>Uber (TB)</t>
        </is>
      </c>
      <c r="K18" s="170" t="inlineStr">
        <is>
          <t>PK Uber (Rev)</t>
        </is>
      </c>
      <c r="L18" s="170" t="inlineStr">
        <is>
          <t>PK Uber (Marketing)</t>
        </is>
      </c>
      <c r="M18" s="170" t="inlineStr">
        <is>
          <t>Ox Uber (Rev)</t>
        </is>
      </c>
      <c r="N18" s="170" t="inlineStr">
        <is>
          <t>Ox Uber (Marketing)</t>
        </is>
      </c>
      <c r="O18" s="170" t="inlineStr">
        <is>
          <t>Chickentarian Uber (Rev)</t>
        </is>
      </c>
      <c r="P18" s="170" t="inlineStr">
        <is>
          <t>Chickentarian Uber (Marketing)</t>
        </is>
      </c>
      <c r="Q18" s="170" t="inlineStr">
        <is>
          <t>Final Uber</t>
        </is>
      </c>
      <c r="R18" s="170" t="inlineStr">
        <is>
          <t>Total</t>
        </is>
      </c>
    </row>
    <row r="19">
      <c r="A19" s="2" t="inlineStr">
        <is>
          <t>Feb 03 - Feb 09 2025</t>
        </is>
      </c>
      <c r="B19" s="389" t="n">
        <v>9989.900000000001</v>
      </c>
      <c r="C19" s="398">
        <f>(B19*0.06)*1.13</f>
        <v/>
      </c>
      <c r="D19" s="398">
        <f>(B19*0.02)*1.13</f>
        <v/>
      </c>
      <c r="E19" s="398" t="n"/>
      <c r="F19" s="398" t="n"/>
      <c r="G19" s="389" t="n">
        <v>3046.85</v>
      </c>
      <c r="H19" s="389" t="n">
        <v>191.24</v>
      </c>
      <c r="I19" s="389" t="n">
        <v>1554.46</v>
      </c>
      <c r="J19" s="389" t="n">
        <v>6048.37</v>
      </c>
      <c r="K19" s="541" t="n">
        <v>5985.12</v>
      </c>
      <c r="L19" s="542" t="n">
        <v>764.08</v>
      </c>
      <c r="M19" s="389" t="n">
        <v>0</v>
      </c>
      <c r="N19" s="160" t="n">
        <v>23.69</v>
      </c>
      <c r="O19" s="160" t="n"/>
      <c r="P19" s="160" t="n"/>
      <c r="Q19" s="373">
        <f>((K19-L19)+(M19-N19))</f>
        <v/>
      </c>
      <c r="R19" s="373">
        <f>SUM(G19,H19,I19,Q19)</f>
        <v/>
      </c>
    </row>
    <row r="20">
      <c r="A20" s="2" t="inlineStr">
        <is>
          <t>Feb 10 - Feb 16 2025</t>
        </is>
      </c>
      <c r="B20" s="389" t="n">
        <v>10366.24</v>
      </c>
      <c r="C20" s="398">
        <f>(B20*0.06)*1.13</f>
        <v/>
      </c>
      <c r="D20" s="398">
        <f>(B20*0.02)*1.13</f>
        <v/>
      </c>
      <c r="E20" s="398" t="n"/>
      <c r="F20" s="398" t="n"/>
      <c r="G20" s="389" t="n">
        <v>3813.2</v>
      </c>
      <c r="H20" s="389" t="n">
        <v>258.86</v>
      </c>
      <c r="I20" s="389" t="n">
        <v>1318.63</v>
      </c>
      <c r="J20" s="389" t="n">
        <v>5465.37</v>
      </c>
      <c r="K20" s="541" t="n">
        <v>5711.49</v>
      </c>
      <c r="L20" s="542" t="n">
        <v>726.3099999999999</v>
      </c>
      <c r="M20" s="56" t="n">
        <v>0</v>
      </c>
      <c r="N20" s="542" t="n">
        <v>9.630000000000001</v>
      </c>
      <c r="O20" s="542" t="n"/>
      <c r="P20" s="542" t="n"/>
      <c r="Q20" s="373">
        <f>((K20-L20)+(M20-N20))</f>
        <v/>
      </c>
      <c r="R20" s="373">
        <f>SUM(G20,H20,I20,Q20)</f>
        <v/>
      </c>
    </row>
    <row r="21">
      <c r="A21" s="2" t="inlineStr">
        <is>
          <t>Feb 17 - Feb 23 2025</t>
        </is>
      </c>
      <c r="B21" s="389" t="n">
        <v>11016.59</v>
      </c>
      <c r="C21" s="398">
        <f>(B21*0.06)*1.13</f>
        <v/>
      </c>
      <c r="D21" s="398">
        <f>(B21*0.02)*1.13</f>
        <v/>
      </c>
      <c r="E21" s="398" t="n"/>
      <c r="F21" s="398" t="n"/>
      <c r="G21" s="389" t="n">
        <v>3713.38</v>
      </c>
      <c r="H21" s="389" t="n">
        <v>144.94</v>
      </c>
      <c r="I21" s="389" t="n">
        <v>1470.88</v>
      </c>
      <c r="J21" s="389" t="n">
        <v>6566.33</v>
      </c>
      <c r="K21" s="383" t="n">
        <v>6441.86</v>
      </c>
      <c r="L21" s="148" t="n">
        <v>749.27</v>
      </c>
      <c r="M21" s="56" t="n">
        <v>0</v>
      </c>
      <c r="N21" s="383" t="n">
        <v>5.2</v>
      </c>
      <c r="O21" s="383" t="n"/>
      <c r="P21" s="383" t="n"/>
      <c r="Q21" s="373">
        <f>((K21-L21)+(M21-N21))</f>
        <v/>
      </c>
      <c r="R21" s="373">
        <f>SUM(G21,H21,I21,Q21)</f>
        <v/>
      </c>
    </row>
    <row r="22" customFormat="1" s="68">
      <c r="A22" s="2" t="inlineStr">
        <is>
          <t>Feb 24 - Mar 02 2025</t>
        </is>
      </c>
      <c r="B22" s="389" t="n">
        <v>10510.49</v>
      </c>
      <c r="C22" s="398">
        <f>(B22*0.06)*1.13</f>
        <v/>
      </c>
      <c r="D22" s="398">
        <f>(B22*0.02)*1.13</f>
        <v/>
      </c>
      <c r="E22" s="398" t="n"/>
      <c r="F22" s="398" t="n"/>
      <c r="G22" s="389" t="n">
        <v>3365.12</v>
      </c>
      <c r="H22" s="389" t="n">
        <v>325.87</v>
      </c>
      <c r="I22" s="389" t="n">
        <v>1385.13</v>
      </c>
      <c r="J22" s="389" t="n">
        <v>6210.1</v>
      </c>
      <c r="K22" s="390" t="n">
        <v>6477.34</v>
      </c>
      <c r="L22" s="148" t="n">
        <v>1033.6</v>
      </c>
      <c r="M22" s="389" t="n">
        <v>0</v>
      </c>
      <c r="N22" s="148" t="n">
        <v>9.369999999999999</v>
      </c>
      <c r="O22" s="148" t="n"/>
      <c r="P22" s="148" t="n"/>
      <c r="Q22" s="373">
        <f>((K22-L22)+(M22-N22))</f>
        <v/>
      </c>
      <c r="R22" s="373">
        <f>SUM(G22,H22,I22,Q22)</f>
        <v/>
      </c>
    </row>
    <row r="23" customFormat="1" s="68">
      <c r="A23" s="2" t="inlineStr">
        <is>
          <t>Mar 03 - Mar 09 2025</t>
        </is>
      </c>
      <c r="B23" s="389" t="n">
        <v>9931.58</v>
      </c>
      <c r="C23" s="398">
        <f>(B23*0.06)*1.13</f>
        <v/>
      </c>
      <c r="D23" s="398">
        <f>(B23*0.02)*1.13</f>
        <v/>
      </c>
      <c r="E23" s="398" t="n"/>
      <c r="F23" s="398" t="n"/>
      <c r="G23" s="389" t="n">
        <v>2763.72</v>
      </c>
      <c r="H23" s="389" t="n">
        <v>141.2</v>
      </c>
      <c r="I23" s="389" t="n">
        <v>1103.87</v>
      </c>
      <c r="J23" s="389" t="n">
        <v>6882.12</v>
      </c>
      <c r="K23" s="383" t="n">
        <v>6856.92</v>
      </c>
      <c r="L23" s="383" t="n">
        <v>919.0599999999999</v>
      </c>
      <c r="M23" s="389" t="n">
        <v>0</v>
      </c>
      <c r="N23" s="383" t="n">
        <v>15.07</v>
      </c>
      <c r="O23" s="383" t="n"/>
      <c r="P23" s="383" t="n"/>
      <c r="Q23" s="373">
        <f>((K23-L23)+(M23-N23))</f>
        <v/>
      </c>
      <c r="R23" s="373">
        <f>SUM(G23,H23,I23,Q23)</f>
        <v/>
      </c>
    </row>
    <row r="24" customFormat="1" s="68">
      <c r="A24" s="2" t="inlineStr">
        <is>
          <t>Mar 10 - Mar 16 2025</t>
        </is>
      </c>
      <c r="B24" s="389" t="n">
        <v>10702.22</v>
      </c>
      <c r="C24" s="398">
        <f>(B24*0.06)*1.13</f>
        <v/>
      </c>
      <c r="D24" s="398">
        <f>(B24*0.02)*1.13</f>
        <v/>
      </c>
      <c r="E24" s="398" t="n"/>
      <c r="F24" s="398" t="n"/>
      <c r="G24" s="389" t="n">
        <v>3579.99</v>
      </c>
      <c r="H24" s="389" t="n">
        <v>241.88</v>
      </c>
      <c r="I24" s="389" t="n">
        <v>1197.78</v>
      </c>
      <c r="J24" s="389" t="n">
        <v>6516.21</v>
      </c>
      <c r="K24" s="390" t="n">
        <v>6558.71</v>
      </c>
      <c r="L24" s="383" t="n">
        <v>857.84</v>
      </c>
      <c r="M24" s="389" t="n">
        <v>0</v>
      </c>
      <c r="N24" s="383" t="n">
        <v>18.3</v>
      </c>
      <c r="O24" s="383" t="n"/>
      <c r="P24" s="383" t="n"/>
      <c r="Q24" s="373">
        <f>((K24-L24)+(M24-N24))</f>
        <v/>
      </c>
      <c r="R24" s="373">
        <f>SUM(G24,H24,I24,Q24)</f>
        <v/>
      </c>
    </row>
    <row r="25" customFormat="1" s="68">
      <c r="A25" s="2" t="inlineStr">
        <is>
          <t>Mar 17 - Mar 23 2025</t>
        </is>
      </c>
      <c r="B25" s="389" t="n">
        <v>12097.52</v>
      </c>
      <c r="C25" s="398">
        <f>(B25*0.06)*1.13</f>
        <v/>
      </c>
      <c r="D25" s="398">
        <f>(B25*0.02)*1.13</f>
        <v/>
      </c>
      <c r="E25" s="398" t="n"/>
      <c r="F25" s="398" t="n"/>
      <c r="G25" s="389" t="n">
        <v>4509.91</v>
      </c>
      <c r="H25" s="389" t="n">
        <v>419.45</v>
      </c>
      <c r="I25" s="389" t="n">
        <v>1168.6</v>
      </c>
      <c r="J25" s="389" t="n">
        <v>7059.11</v>
      </c>
      <c r="K25" s="390" t="n">
        <v>7134.45</v>
      </c>
      <c r="L25" s="383" t="n">
        <v>1110.23</v>
      </c>
      <c r="M25" s="389" t="n">
        <v>0</v>
      </c>
      <c r="N25" s="390" t="n">
        <v>24.66</v>
      </c>
      <c r="O25" s="390" t="n"/>
      <c r="P25" s="390" t="n"/>
      <c r="Q25" s="373">
        <f>((K25-L25)+(M25-N25))</f>
        <v/>
      </c>
      <c r="R25" s="373">
        <f>SUM(G25,H25,I25,Q25)</f>
        <v/>
      </c>
    </row>
    <row r="26" customFormat="1" s="68">
      <c r="A26" s="382" t="inlineStr">
        <is>
          <t>Mar 24 - Mar 30 2025</t>
        </is>
      </c>
      <c r="B26" s="389" t="n">
        <v>12606.67</v>
      </c>
      <c r="C26" s="398">
        <f>(B26*0.06)*1.13</f>
        <v/>
      </c>
      <c r="D26" s="398">
        <f>(B26*0.02)*1.13</f>
        <v/>
      </c>
      <c r="E26" s="398" t="n"/>
      <c r="F26" s="398" t="n"/>
      <c r="G26" s="389" t="n">
        <v>3955.85</v>
      </c>
      <c r="H26" s="389" t="n">
        <v>247.58</v>
      </c>
      <c r="I26" s="389" t="n">
        <v>1820.72</v>
      </c>
      <c r="J26" s="389" t="n">
        <v>7729.27</v>
      </c>
      <c r="K26" s="390" t="n">
        <v>7752.39</v>
      </c>
      <c r="L26" s="390" t="n">
        <v>1004.83</v>
      </c>
      <c r="M26" s="555" t="n">
        <v>194.23</v>
      </c>
      <c r="N26" s="390" t="n">
        <v>359.27</v>
      </c>
      <c r="O26" s="390" t="n"/>
      <c r="P26" s="390" t="n"/>
      <c r="Q26" s="373">
        <f>((K26-L26)+(M26-N26))</f>
        <v/>
      </c>
      <c r="R26" s="373">
        <f>SUM(G26,H26,I26,Q26)</f>
        <v/>
      </c>
    </row>
    <row r="27" customFormat="1" s="68">
      <c r="A27" s="382" t="inlineStr">
        <is>
          <t>Mar 31 - Apr 6 2025</t>
        </is>
      </c>
      <c r="B27" s="389">
        <f>(10523.76 - 620.37)</f>
        <v/>
      </c>
      <c r="C27" s="398">
        <f>(B27*0.06)*1.13</f>
        <v/>
      </c>
      <c r="D27" s="398">
        <f>(B27*0.02)*1.13</f>
        <v/>
      </c>
      <c r="E27" s="398" t="n"/>
      <c r="F27" s="398" t="n"/>
      <c r="G27" s="389" t="n">
        <v>3779.47</v>
      </c>
      <c r="H27" s="389" t="n">
        <v>149.6</v>
      </c>
      <c r="I27" s="389" t="n">
        <v>1433.27</v>
      </c>
      <c r="J27" s="389" t="n">
        <v>5337.88</v>
      </c>
      <c r="K27" s="390" t="n">
        <v>5351.37</v>
      </c>
      <c r="L27" s="383" t="n">
        <v>153.5</v>
      </c>
      <c r="M27" s="390" t="n">
        <v>0</v>
      </c>
      <c r="N27" s="390" t="n">
        <v>36.45</v>
      </c>
      <c r="O27" s="390" t="n"/>
      <c r="P27" s="390" t="n"/>
      <c r="Q27" s="373">
        <f>((K27-L27)+(M27-N27))</f>
        <v/>
      </c>
      <c r="R27" s="373">
        <f>SUM(G27,H27,I27,Q27)</f>
        <v/>
      </c>
    </row>
    <row r="28" customFormat="1" s="68">
      <c r="A28" s="382" t="inlineStr">
        <is>
          <t>Apr 7 - Apr 13 2025</t>
        </is>
      </c>
      <c r="B28" s="389" t="n">
        <v>11452.13</v>
      </c>
      <c r="C28" s="398">
        <f>(B28*0.06)*1.13</f>
        <v/>
      </c>
      <c r="D28" s="398">
        <f>(B28*0.02)*1.13</f>
        <v/>
      </c>
      <c r="E28" s="398" t="n"/>
      <c r="F28" s="398" t="n"/>
      <c r="G28" s="389" t="n">
        <v>3535.88</v>
      </c>
      <c r="H28" s="389" t="n">
        <v>330.28</v>
      </c>
      <c r="I28" s="389" t="n">
        <v>1380.22</v>
      </c>
      <c r="J28" s="389" t="n">
        <v>6641.72</v>
      </c>
      <c r="K28" s="390" t="n">
        <v>6639.96</v>
      </c>
      <c r="L28" s="383" t="n">
        <v>437.83</v>
      </c>
      <c r="M28" s="383" t="n">
        <v>29.37</v>
      </c>
      <c r="N28" s="383" t="n">
        <v>25.75</v>
      </c>
      <c r="O28" s="383" t="n"/>
      <c r="P28" s="383" t="n"/>
      <c r="Q28" s="373">
        <f>((K28-L28)+(M28-N28))</f>
        <v/>
      </c>
      <c r="R28" s="373">
        <f>SUM(G28,H28,I28,Q28)</f>
        <v/>
      </c>
    </row>
    <row r="29" customFormat="1" s="68">
      <c r="A29" s="382" t="inlineStr">
        <is>
          <t>Apr 14 - Apr 20 2025</t>
        </is>
      </c>
      <c r="B29" s="389" t="n">
        <v>11997.78</v>
      </c>
      <c r="C29" s="398">
        <f>(B29*0.06)*1.13</f>
        <v/>
      </c>
      <c r="D29" s="398">
        <f>(B29*0.02)*1.13</f>
        <v/>
      </c>
      <c r="E29" s="398" t="n"/>
      <c r="F29" s="398" t="n"/>
      <c r="G29" s="389" t="n">
        <v>3757.69</v>
      </c>
      <c r="H29" s="389" t="n">
        <v>151.2</v>
      </c>
      <c r="I29" s="389" t="n">
        <v>1978.17</v>
      </c>
      <c r="J29" s="389" t="n">
        <v>6624.85</v>
      </c>
      <c r="K29" s="390" t="n">
        <v>6589.1</v>
      </c>
      <c r="L29" s="383" t="n">
        <v>455.9</v>
      </c>
      <c r="M29" s="389" t="n">
        <v>0</v>
      </c>
      <c r="N29" s="383" t="n">
        <v>22.48</v>
      </c>
      <c r="O29" s="383" t="n"/>
      <c r="P29" s="383" t="n"/>
      <c r="Q29" s="373">
        <f>((K29-L29)+(M29-N29))</f>
        <v/>
      </c>
      <c r="R29" s="373">
        <f>SUM(G29,H29,I29,Q29)</f>
        <v/>
      </c>
    </row>
    <row r="30" customFormat="1" s="68">
      <c r="A30" s="382" t="inlineStr">
        <is>
          <t>Apr 21 - Apr 27 2025</t>
        </is>
      </c>
      <c r="B30" s="389" t="n">
        <v>12128</v>
      </c>
      <c r="C30" s="398">
        <f>(B30*0.06)*1.13</f>
        <v/>
      </c>
      <c r="D30" s="398">
        <f>(B30*0.02)*1.13</f>
        <v/>
      </c>
      <c r="E30" s="398" t="n"/>
      <c r="F30" s="398" t="n"/>
      <c r="G30" s="389" t="n">
        <v>4046.75</v>
      </c>
      <c r="H30" s="389" t="n">
        <v>338.98</v>
      </c>
      <c r="I30" s="389" t="n">
        <v>1511.3</v>
      </c>
      <c r="J30" s="389" t="n">
        <v>6616</v>
      </c>
      <c r="K30" s="390" t="n">
        <v>6678.47</v>
      </c>
      <c r="L30" s="383" t="n">
        <v>451.43</v>
      </c>
      <c r="M30" s="390" t="n">
        <v>23.98</v>
      </c>
      <c r="N30" s="383" t="n">
        <v>20.05</v>
      </c>
      <c r="O30" s="383" t="n"/>
      <c r="P30" s="383" t="n"/>
      <c r="Q30" s="373">
        <f>((K30-L30)+(M30-N30))</f>
        <v/>
      </c>
      <c r="R30" s="373">
        <f>SUM(G30,H30,I30,Q30)</f>
        <v/>
      </c>
    </row>
    <row r="31" customFormat="1" s="68">
      <c r="A31" s="382" t="inlineStr">
        <is>
          <t>Apr 28 - May 04 2025</t>
        </is>
      </c>
      <c r="B31" s="389" t="n">
        <v>13751.65</v>
      </c>
      <c r="C31" s="398">
        <f>(B31*0.06)*1.13</f>
        <v/>
      </c>
      <c r="D31" s="398">
        <f>(B31*0.02)*1.13</f>
        <v/>
      </c>
      <c r="E31" s="398" t="n"/>
      <c r="F31" s="391" t="n">
        <v>14143.37</v>
      </c>
      <c r="G31" s="389" t="n">
        <v>5084.33</v>
      </c>
      <c r="H31" s="389" t="n">
        <v>264.78</v>
      </c>
      <c r="I31" s="389" t="n">
        <v>1538.62</v>
      </c>
      <c r="J31" s="389" t="n">
        <v>7255.64</v>
      </c>
      <c r="K31" s="390" t="n">
        <v>7340.46</v>
      </c>
      <c r="L31" s="383" t="n">
        <v>446.72</v>
      </c>
      <c r="M31" s="389" t="n">
        <v>0</v>
      </c>
      <c r="N31" s="383" t="n">
        <v>29.82</v>
      </c>
      <c r="O31" s="383" t="n"/>
      <c r="P31" s="383" t="n"/>
      <c r="Q31" s="373">
        <f>((K31-L31)+(M31-N31))</f>
        <v/>
      </c>
      <c r="R31" s="373">
        <f>SUM(G31,H31,I31,Q31)</f>
        <v/>
      </c>
    </row>
    <row r="32" customFormat="1" s="68">
      <c r="A32" s="382" t="inlineStr">
        <is>
          <t>May 05 - May 11 2025</t>
        </is>
      </c>
      <c r="B32" s="389" t="n">
        <v>13226.86</v>
      </c>
      <c r="C32" s="398">
        <f>(B32*0.06)*1.13</f>
        <v/>
      </c>
      <c r="D32" s="398">
        <f>(B32*0.02)*1.13</f>
        <v/>
      </c>
      <c r="E32" s="398" t="n"/>
      <c r="F32" s="391" t="n">
        <v>13618.49</v>
      </c>
      <c r="G32" s="389" t="n">
        <v>4056.91</v>
      </c>
      <c r="H32" s="389" t="n">
        <v>375.69</v>
      </c>
      <c r="I32" s="389" t="n">
        <v>2037.02</v>
      </c>
      <c r="J32" s="389" t="n">
        <v>7148.87</v>
      </c>
      <c r="K32" s="390" t="n">
        <v>7294.01</v>
      </c>
      <c r="L32" s="383" t="n">
        <v>517.46</v>
      </c>
      <c r="M32" s="389" t="n">
        <v>0</v>
      </c>
      <c r="N32" s="383" t="n">
        <v>19.31</v>
      </c>
      <c r="O32" s="383" t="n"/>
      <c r="P32" s="383" t="n"/>
      <c r="Q32" s="373">
        <f>((K32-L32)+(M32-N32))</f>
        <v/>
      </c>
      <c r="R32" s="373">
        <f>SUM(G32,H32,I32,Q32)</f>
        <v/>
      </c>
    </row>
    <row r="33" customFormat="1" s="68">
      <c r="A33" s="382" t="inlineStr">
        <is>
          <t>May 12 - May 18 2025</t>
        </is>
      </c>
      <c r="B33" s="389" t="n">
        <v>12254.64</v>
      </c>
      <c r="C33" s="398">
        <f>(B33*0.06)*1.13</f>
        <v/>
      </c>
      <c r="D33" s="398">
        <f>(B33*0.02)*1.13</f>
        <v/>
      </c>
      <c r="E33" s="398" t="n"/>
      <c r="F33" s="391" t="n">
        <v>12877.68</v>
      </c>
      <c r="G33" s="389" t="n">
        <v>4131.83</v>
      </c>
      <c r="H33" s="389" t="n">
        <v>369.6</v>
      </c>
      <c r="I33" s="389" t="n">
        <v>1855.22</v>
      </c>
      <c r="J33" s="389" t="n">
        <v>6521.03</v>
      </c>
      <c r="K33" s="383" t="n">
        <v>6362.97</v>
      </c>
      <c r="L33" s="383" t="n">
        <v>441.1</v>
      </c>
      <c r="M33" s="389" t="n">
        <v>0</v>
      </c>
      <c r="N33" s="383" t="n">
        <v>23.88</v>
      </c>
      <c r="O33" s="383" t="n"/>
      <c r="P33" s="383" t="n"/>
      <c r="Q33" s="373">
        <f>((K33-L33)+(M33-N33))</f>
        <v/>
      </c>
      <c r="R33" s="373">
        <f>SUM(G33,H33,I33,Q33)</f>
        <v/>
      </c>
    </row>
    <row r="34" customFormat="1" s="68">
      <c r="A34" s="382" t="inlineStr">
        <is>
          <t>May 19 - May 25 2025</t>
        </is>
      </c>
      <c r="B34" s="389" t="n">
        <v>13263.23</v>
      </c>
      <c r="C34" s="398">
        <f>(B34*0.06)*1.13</f>
        <v/>
      </c>
      <c r="D34" s="398">
        <f>(B34*0.02)*1.13</f>
        <v/>
      </c>
      <c r="E34" s="398" t="n"/>
      <c r="F34" s="391" t="n">
        <v>13643.37</v>
      </c>
      <c r="G34" s="389" t="n">
        <v>3511.71</v>
      </c>
      <c r="H34" s="389" t="n">
        <v>186.97</v>
      </c>
      <c r="I34" s="389" t="n">
        <v>2082.91</v>
      </c>
      <c r="J34" s="389" t="n">
        <v>7861.78</v>
      </c>
      <c r="K34" s="383" t="n">
        <v>8006.63</v>
      </c>
      <c r="L34" s="383" t="n">
        <v>517.01</v>
      </c>
      <c r="M34" s="383" t="n">
        <v>0</v>
      </c>
      <c r="N34" s="383" t="n">
        <v>7.98</v>
      </c>
      <c r="O34" s="383" t="n"/>
      <c r="P34" s="383" t="n"/>
      <c r="Q34" s="373">
        <f>((K34-L34)+(M34-N34))</f>
        <v/>
      </c>
      <c r="R34" s="373">
        <f>SUM(G34,H34,I34,Q34)</f>
        <v/>
      </c>
    </row>
    <row r="35" customFormat="1" s="68">
      <c r="A35" s="382" t="inlineStr">
        <is>
          <t>May 26 - June 01 2025</t>
        </is>
      </c>
      <c r="B35" s="389" t="n">
        <v>12676.84</v>
      </c>
      <c r="C35" s="398">
        <f>(B35*0.06)*1.13</f>
        <v/>
      </c>
      <c r="D35" s="398">
        <f>(B35*0.02)*1.13</f>
        <v/>
      </c>
      <c r="E35" s="398" t="n"/>
      <c r="F35" s="391" t="n">
        <v>12886.76</v>
      </c>
      <c r="G35" s="389" t="n">
        <v>4188.9</v>
      </c>
      <c r="H35" s="389" t="n">
        <v>311.05</v>
      </c>
      <c r="I35" s="389" t="n">
        <v>1659.35</v>
      </c>
      <c r="J35" s="389" t="n">
        <v>6727.46</v>
      </c>
      <c r="K35" s="383" t="n">
        <v>6929.81</v>
      </c>
      <c r="L35" s="383" t="n">
        <v>411.48</v>
      </c>
      <c r="M35" s="390" t="n">
        <v>15.58</v>
      </c>
      <c r="N35" s="383" t="n">
        <v>16.37</v>
      </c>
      <c r="O35" s="383" t="n"/>
      <c r="P35" s="383" t="n"/>
      <c r="Q35" s="373">
        <f>((K35-L35)+(M35-N35))</f>
        <v/>
      </c>
      <c r="R35" s="373">
        <f>SUM(G35,H35,I35,Q35)</f>
        <v/>
      </c>
    </row>
    <row r="36" customFormat="1" s="68">
      <c r="A36" s="382" t="inlineStr">
        <is>
          <t>June 02 - June 08 2025</t>
        </is>
      </c>
      <c r="B36" s="389" t="n">
        <v>12445.2</v>
      </c>
      <c r="C36" s="398">
        <f>(B36*0.06)*1.13</f>
        <v/>
      </c>
      <c r="D36" s="398">
        <f>(B36*0.02)*1.13</f>
        <v/>
      </c>
      <c r="E36" s="398" t="n"/>
      <c r="F36" s="391" t="n">
        <v>12956.18</v>
      </c>
      <c r="G36" s="389" t="n">
        <v>3756.92</v>
      </c>
      <c r="H36" s="389" t="n">
        <v>162.3</v>
      </c>
      <c r="I36" s="389" t="n">
        <v>1535.15</v>
      </c>
      <c r="J36" s="389" t="n">
        <v>7501.81</v>
      </c>
      <c r="K36" s="390" t="n">
        <v>7508.04</v>
      </c>
      <c r="L36" s="383" t="n">
        <v>485.05</v>
      </c>
      <c r="M36" s="389" t="n">
        <v>0</v>
      </c>
      <c r="N36" s="383" t="n">
        <v>32.16</v>
      </c>
      <c r="O36" s="383" t="n"/>
      <c r="P36" s="383" t="n"/>
      <c r="Q36" s="373">
        <f>((K36-L36)+(M36-N36))</f>
        <v/>
      </c>
      <c r="R36" s="373">
        <f>SUM(G36,H36,I36,Q36)</f>
        <v/>
      </c>
    </row>
    <row r="37" customFormat="1" s="68">
      <c r="A37" s="382" t="inlineStr">
        <is>
          <t>June 09 - June 15 2025</t>
        </is>
      </c>
      <c r="B37" s="389" t="n">
        <v>13944</v>
      </c>
      <c r="C37" s="398">
        <f>(B37*0.06)*1.13</f>
        <v/>
      </c>
      <c r="D37" s="398">
        <f>(B37*0.02)*1.13</f>
        <v/>
      </c>
      <c r="E37" s="398" t="n"/>
      <c r="F37" s="391" t="n">
        <v>14232.26</v>
      </c>
      <c r="G37" s="389" t="n">
        <v>4461.48</v>
      </c>
      <c r="H37" s="389" t="n">
        <v>424.48</v>
      </c>
      <c r="I37" s="389" t="n">
        <v>1637.19</v>
      </c>
      <c r="J37" s="389" t="n">
        <v>7709.11</v>
      </c>
      <c r="K37" s="390" t="n">
        <v>7863.61</v>
      </c>
      <c r="L37" s="383" t="n">
        <v>460.53</v>
      </c>
      <c r="M37" s="390" t="n">
        <v>32.77</v>
      </c>
      <c r="N37" s="383" t="n">
        <v>15</v>
      </c>
      <c r="O37" s="383" t="n"/>
      <c r="P37" s="383" t="n"/>
      <c r="Q37" s="373">
        <f>((K37-L37)+(M37-N37))</f>
        <v/>
      </c>
      <c r="R37" s="373">
        <f>SUM(G37,H37,I37,Q37)</f>
        <v/>
      </c>
    </row>
    <row r="38" customFormat="1" s="68">
      <c r="A38" s="382" t="inlineStr">
        <is>
          <t>June 16 - June 22 2025</t>
        </is>
      </c>
      <c r="B38" s="389" t="n">
        <v>14173.26</v>
      </c>
      <c r="C38" s="398">
        <f>(B38*0.06)*1.13</f>
        <v/>
      </c>
      <c r="D38" s="398">
        <f>(B38*0.02)*1.13</f>
        <v/>
      </c>
      <c r="E38" s="398" t="n"/>
      <c r="F38" s="391" t="n">
        <v>14632.14</v>
      </c>
      <c r="G38" s="389" t="n">
        <v>4942.68</v>
      </c>
      <c r="H38" s="389" t="n">
        <v>177.18</v>
      </c>
      <c r="I38" s="389" t="n">
        <v>1703.43</v>
      </c>
      <c r="J38" s="389" t="n">
        <v>7808.85</v>
      </c>
      <c r="K38" s="392" t="n">
        <v>7803.71</v>
      </c>
      <c r="L38" s="393" t="n">
        <v>448.28</v>
      </c>
      <c r="M38" s="392" t="n">
        <v>21.98</v>
      </c>
      <c r="N38" s="393" t="n">
        <v>27.44</v>
      </c>
      <c r="O38" s="393" t="n"/>
      <c r="P38" s="393" t="n"/>
      <c r="Q38" s="373">
        <f>((K38-L38)+(M38-N38))</f>
        <v/>
      </c>
      <c r="R38" s="373">
        <f>SUM(G38,H38,I38,Q38)</f>
        <v/>
      </c>
    </row>
    <row r="39" customFormat="1" s="68">
      <c r="A39" s="382" t="inlineStr">
        <is>
          <t>June 23 - June 29 2025</t>
        </is>
      </c>
      <c r="B39" s="389" t="n">
        <v>13029.85</v>
      </c>
      <c r="C39" s="398">
        <f>(B39*0.06)*1.13</f>
        <v/>
      </c>
      <c r="D39" s="398">
        <f>(B39*0.02)*1.13</f>
        <v/>
      </c>
      <c r="E39" s="398" t="n"/>
      <c r="F39" s="391" t="n">
        <v>13312.48</v>
      </c>
      <c r="G39" s="389" t="n">
        <v>4305.79</v>
      </c>
      <c r="H39" s="389" t="n">
        <v>137.19</v>
      </c>
      <c r="I39" s="389" t="n">
        <v>2011.49</v>
      </c>
      <c r="J39" s="389" t="n">
        <v>6858.01</v>
      </c>
      <c r="K39" s="390" t="n">
        <v>6806.83</v>
      </c>
      <c r="L39" s="383" t="n">
        <v>210.74</v>
      </c>
      <c r="M39" s="383" t="n">
        <v>0</v>
      </c>
      <c r="N39" s="383" t="n">
        <v>20.71</v>
      </c>
      <c r="O39" s="383" t="n"/>
      <c r="P39" s="383" t="n"/>
      <c r="Q39" s="373">
        <f>((K39-L39)+(M39-N39))</f>
        <v/>
      </c>
      <c r="R39" s="373">
        <f>SUM(G39,H39,I39,Q39)</f>
        <v/>
      </c>
    </row>
    <row r="40" customFormat="1" s="68">
      <c r="A40" s="382" t="inlineStr">
        <is>
          <t>June 30 - July 06 2025</t>
        </is>
      </c>
      <c r="B40" s="389" t="n">
        <v>15688.35</v>
      </c>
      <c r="C40" s="398">
        <f>(B40*0.06)*1.13</f>
        <v/>
      </c>
      <c r="D40" s="398">
        <f>(B40*0.02)*1.13</f>
        <v/>
      </c>
      <c r="E40" s="398" t="n"/>
      <c r="F40" s="391" t="n">
        <v>15865.18</v>
      </c>
      <c r="G40" s="389" t="n">
        <v>5143.43</v>
      </c>
      <c r="H40" s="389" t="n">
        <v>235.46</v>
      </c>
      <c r="I40" s="389" t="n">
        <v>2363.68</v>
      </c>
      <c r="J40" s="389" t="n">
        <v>8122.61</v>
      </c>
      <c r="K40" s="390" t="n">
        <v>8164.91</v>
      </c>
      <c r="L40" s="383" t="n">
        <v>200.01</v>
      </c>
      <c r="M40" s="390" t="n">
        <v>0</v>
      </c>
      <c r="N40" s="383" t="n">
        <v>19.12</v>
      </c>
      <c r="O40" s="383" t="n"/>
      <c r="P40" s="383" t="n"/>
      <c r="Q40" s="373">
        <f>((K40-L40)+(M40-N40))</f>
        <v/>
      </c>
      <c r="R40" s="373">
        <f>SUM(G40,H40,I40,Q40)</f>
        <v/>
      </c>
    </row>
    <row r="41" customFormat="1" s="68">
      <c r="A41" s="394" t="inlineStr">
        <is>
          <t>July 07 - July 13 2025</t>
        </is>
      </c>
      <c r="B41" s="389" t="n">
        <v>13629.86</v>
      </c>
      <c r="C41" s="398">
        <f>(B41*0.06)*1.13</f>
        <v/>
      </c>
      <c r="D41" s="398">
        <f>(B41*0.02)*1.13</f>
        <v/>
      </c>
      <c r="E41" s="398" t="n"/>
      <c r="F41" s="391" t="n">
        <v>14043.35</v>
      </c>
      <c r="G41" s="389" t="n">
        <v>4001.28</v>
      </c>
      <c r="H41" s="389" t="n">
        <v>434.28</v>
      </c>
      <c r="I41" s="389" t="n">
        <v>2145.82</v>
      </c>
      <c r="J41" s="389" t="n">
        <v>7461.97</v>
      </c>
      <c r="K41" s="390" t="n">
        <v>7550.49</v>
      </c>
      <c r="L41" s="383" t="n">
        <v>494.95</v>
      </c>
      <c r="M41" s="390" t="n">
        <v>0</v>
      </c>
      <c r="N41" s="383" t="n">
        <v>7.06</v>
      </c>
      <c r="O41" s="383" t="n"/>
      <c r="P41" s="383" t="n"/>
      <c r="Q41" s="373">
        <f>((K41-L41)+(M41-N41))</f>
        <v/>
      </c>
      <c r="R41" s="373">
        <f>SUM(G41,H41,I41,Q41)</f>
        <v/>
      </c>
    </row>
    <row r="42" customFormat="1" s="68">
      <c r="A42" s="394" t="inlineStr">
        <is>
          <t>July 14 - July 20 2025</t>
        </is>
      </c>
      <c r="B42" s="389" t="n">
        <v>13979.17</v>
      </c>
      <c r="C42" s="398">
        <f>(B42*0.06)*1.13</f>
        <v/>
      </c>
      <c r="D42" s="398">
        <f>(B42*0.02)*1.13</f>
        <v/>
      </c>
      <c r="E42" s="11" t="n">
        <v>497</v>
      </c>
      <c r="F42" s="391" t="n">
        <v>14374.45</v>
      </c>
      <c r="G42" s="389" t="n">
        <v>4204.22</v>
      </c>
      <c r="H42" s="389" t="n">
        <v>227.68</v>
      </c>
      <c r="I42" s="389" t="n">
        <v>1761.07</v>
      </c>
      <c r="J42" s="389" t="n">
        <v>8181.48</v>
      </c>
      <c r="K42" s="390" t="n">
        <v>8253.879999999999</v>
      </c>
      <c r="L42" s="383" t="n">
        <v>489.06</v>
      </c>
      <c r="M42" s="390" t="n">
        <v>34.77</v>
      </c>
      <c r="N42" s="383" t="n">
        <v>13.39</v>
      </c>
      <c r="O42" s="383" t="n"/>
      <c r="P42" s="383" t="n"/>
      <c r="Q42" s="373">
        <f>((K42-L42)+(M42-N42))</f>
        <v/>
      </c>
      <c r="R42" s="373">
        <f>SUM(G42,H42,I42,Q42)</f>
        <v/>
      </c>
    </row>
    <row r="43" customFormat="1" s="68">
      <c r="A43" s="394" t="inlineStr">
        <is>
          <t>July 21 - July 27 2025</t>
        </is>
      </c>
      <c r="B43" s="389" t="n">
        <v>13594.48</v>
      </c>
      <c r="C43" s="398">
        <f>(B43*0.06)*1.13</f>
        <v/>
      </c>
      <c r="D43" s="398">
        <f>(B43*0.02)*1.13</f>
        <v/>
      </c>
      <c r="E43" s="56" t="n">
        <v>510</v>
      </c>
      <c r="F43" s="391" t="n">
        <v>14059.62</v>
      </c>
      <c r="G43" s="389" t="n">
        <v>4887.65</v>
      </c>
      <c r="H43" s="389" t="n">
        <v>452.43</v>
      </c>
      <c r="I43" s="389" t="n">
        <v>2190.45</v>
      </c>
      <c r="J43" s="389" t="n">
        <v>6529.09</v>
      </c>
      <c r="K43" s="383" t="n">
        <v>6561.89</v>
      </c>
      <c r="L43" s="383" t="n">
        <v>486.92</v>
      </c>
      <c r="M43" s="383" t="n">
        <v>16.18</v>
      </c>
      <c r="N43" s="383" t="n">
        <v>27.2</v>
      </c>
      <c r="O43" s="383" t="n"/>
      <c r="P43" s="383" t="n"/>
      <c r="Q43" s="373">
        <f>((K43-L43)+(M43-N43))</f>
        <v/>
      </c>
      <c r="R43" s="373">
        <f>SUM(G43,H43,I43,Q43)</f>
        <v/>
      </c>
    </row>
    <row r="44" customFormat="1" s="68">
      <c r="A44" s="394" t="inlineStr">
        <is>
          <t>July 28 - Aug 03 2025</t>
        </is>
      </c>
      <c r="B44" s="389" t="n">
        <v>14246.77</v>
      </c>
      <c r="C44" s="398">
        <f>(B44*0.06)*1.13</f>
        <v/>
      </c>
      <c r="D44" s="398">
        <f>(B44*0.02)*1.13</f>
        <v/>
      </c>
      <c r="E44" s="11" t="n">
        <v>541</v>
      </c>
      <c r="F44" s="391" t="n">
        <v>14524.74</v>
      </c>
      <c r="G44" s="389" t="n">
        <v>4297.22</v>
      </c>
      <c r="H44" s="389" t="n">
        <v>378.75</v>
      </c>
      <c r="I44" s="389" t="n">
        <v>2019.45</v>
      </c>
      <c r="J44" s="389" t="n">
        <v>7829.32</v>
      </c>
      <c r="K44" s="390" t="n">
        <v>7931.91</v>
      </c>
      <c r="L44" s="383" t="n">
        <v>465.44</v>
      </c>
      <c r="M44" s="383" t="n">
        <v>95.12</v>
      </c>
      <c r="N44" s="383" t="n">
        <v>10.24</v>
      </c>
      <c r="O44" s="383" t="n"/>
      <c r="P44" s="383" t="n"/>
      <c r="Q44" s="373">
        <f>((K44-L44)+(M44-N44))</f>
        <v/>
      </c>
      <c r="R44" s="373">
        <f>SUM(G44,H44,I44,Q44)</f>
        <v/>
      </c>
    </row>
    <row r="45" customFormat="1" s="68">
      <c r="A45" s="394" t="inlineStr">
        <is>
          <t>Aug 04 - Aug 10 2025</t>
        </is>
      </c>
      <c r="B45" s="389" t="n">
        <v>14740.27</v>
      </c>
      <c r="C45" s="398">
        <f>(B45*0.06)*1.13</f>
        <v/>
      </c>
      <c r="D45" s="398">
        <f>(B45*0.02)*1.13</f>
        <v/>
      </c>
      <c r="E45" s="11" t="n">
        <v>539</v>
      </c>
      <c r="F45" s="391" t="n">
        <v>14988.93</v>
      </c>
      <c r="G45" s="389" t="n">
        <v>4262.86</v>
      </c>
      <c r="H45" s="389" t="n">
        <v>474.54</v>
      </c>
      <c r="I45" s="389" t="n">
        <v>1822.52</v>
      </c>
      <c r="J45" s="389" t="n">
        <v>8429.01</v>
      </c>
      <c r="K45" s="390" t="n">
        <v>8791.360000000001</v>
      </c>
      <c r="L45" s="383" t="n">
        <v>611.01</v>
      </c>
      <c r="M45" s="383" t="n">
        <v>0</v>
      </c>
      <c r="N45" s="383" t="n">
        <v>0</v>
      </c>
      <c r="O45" s="383" t="n"/>
      <c r="P45" s="383" t="n"/>
      <c r="Q45" s="373">
        <f>((K45-L45)+(M45-N45))</f>
        <v/>
      </c>
      <c r="R45" s="373">
        <f>SUM(G45,H45,I45,Q45)</f>
        <v/>
      </c>
    </row>
    <row r="46" customFormat="1" s="68">
      <c r="A46" s="394" t="inlineStr">
        <is>
          <t>Aug 11 - Aug 17 2025</t>
        </is>
      </c>
      <c r="B46" s="389" t="n">
        <v>14038.04</v>
      </c>
      <c r="C46" s="398">
        <f>(B46*0.06)*1.13</f>
        <v/>
      </c>
      <c r="D46" s="398">
        <f>(B46*0.02)*1.13</f>
        <v/>
      </c>
      <c r="E46" s="56" t="n">
        <v>536</v>
      </c>
      <c r="F46" s="391" t="n">
        <v>14502.32</v>
      </c>
      <c r="G46" s="389" t="n">
        <v>4401.66</v>
      </c>
      <c r="H46" s="389" t="n">
        <v>318.97</v>
      </c>
      <c r="I46" s="389" t="n">
        <v>2060.22</v>
      </c>
      <c r="J46" s="389" t="n">
        <v>7721.47</v>
      </c>
      <c r="K46" s="390" t="n">
        <v>7787.71</v>
      </c>
      <c r="L46" s="383" t="n">
        <v>515.22</v>
      </c>
      <c r="M46" s="383" t="n">
        <v>0</v>
      </c>
      <c r="N46" s="390" t="n">
        <v>15.3</v>
      </c>
      <c r="O46" s="390" t="n"/>
      <c r="P46" s="390" t="n"/>
      <c r="Q46" s="373">
        <f>((K46-L46)+(M46-N46))</f>
        <v/>
      </c>
      <c r="R46" s="373">
        <f>SUM(G46,H46,I46,Q46)</f>
        <v/>
      </c>
    </row>
    <row r="47" customFormat="1" s="68">
      <c r="A47" s="394" t="inlineStr">
        <is>
          <t>Aug 18 - Aug 24 2025</t>
        </is>
      </c>
      <c r="B47" s="389" t="n">
        <v>15466.5</v>
      </c>
      <c r="C47" s="398">
        <f>(B47*0.06)*1.13</f>
        <v/>
      </c>
      <c r="D47" s="398">
        <f>(B47*0.02)*1.13</f>
        <v/>
      </c>
      <c r="E47" s="11" t="n">
        <v>588</v>
      </c>
      <c r="F47" s="391" t="n">
        <v>15996.94</v>
      </c>
      <c r="G47" s="389" t="n">
        <v>5524.64</v>
      </c>
      <c r="H47" s="389" t="n">
        <v>248.38</v>
      </c>
      <c r="I47" s="389" t="n">
        <v>2308.81</v>
      </c>
      <c r="J47" s="389" t="n">
        <v>7915.11</v>
      </c>
      <c r="K47" s="390" t="n">
        <v>7920.44</v>
      </c>
      <c r="L47" s="383" t="n">
        <v>582.38</v>
      </c>
      <c r="M47" s="390" t="n">
        <v>83.72</v>
      </c>
      <c r="N47" s="383" t="n">
        <v>37.11</v>
      </c>
      <c r="O47" s="383" t="n"/>
      <c r="P47" s="383" t="n"/>
      <c r="Q47" s="373">
        <f>((K47-L47)+(M47-N47))</f>
        <v/>
      </c>
      <c r="R47" s="373">
        <f>SUM(G47,H47,I47,Q47)</f>
        <v/>
      </c>
    </row>
    <row r="48" customFormat="1" s="68">
      <c r="A48" s="394" t="inlineStr">
        <is>
          <t>Aug 25 - Aug 31 2025</t>
        </is>
      </c>
      <c r="B48" s="389" t="n">
        <v>15746.22</v>
      </c>
      <c r="C48" s="398">
        <f>(B48*0.06)*1.13</f>
        <v/>
      </c>
      <c r="D48" s="398">
        <f>(B48*0.02)*1.13</f>
        <v/>
      </c>
      <c r="E48" s="11" t="n">
        <v>595</v>
      </c>
      <c r="F48" s="391" t="n">
        <v>16456.65</v>
      </c>
      <c r="G48" s="389" t="n">
        <v>5612.57</v>
      </c>
      <c r="H48" s="389" t="n">
        <v>275.86</v>
      </c>
      <c r="I48" s="389" t="n">
        <v>1831.86</v>
      </c>
      <c r="J48" s="389" t="n">
        <v>8736.360000000001</v>
      </c>
      <c r="K48" s="390" t="n">
        <v>8524.16</v>
      </c>
      <c r="L48" s="383" t="n">
        <v>547.66</v>
      </c>
      <c r="M48" s="390" t="n">
        <v>78.13</v>
      </c>
      <c r="N48" s="383" t="n">
        <v>28.7</v>
      </c>
      <c r="O48" s="383" t="n"/>
      <c r="P48" s="383" t="n"/>
      <c r="Q48" s="373">
        <f>((K48-L48)+(M48-N48))</f>
        <v/>
      </c>
      <c r="R48" s="373">
        <f>SUM(G48,H48,I48,Q48)</f>
        <v/>
      </c>
    </row>
    <row r="49" customFormat="1" s="68">
      <c r="A49" s="394" t="inlineStr">
        <is>
          <t>Sep 01 - Sep 07 2025</t>
        </is>
      </c>
      <c r="B49" s="389" t="n">
        <v>15591.35</v>
      </c>
      <c r="C49" s="398">
        <f>(B49*0.06)*1.13</f>
        <v/>
      </c>
      <c r="D49" s="398">
        <f>(B49*0.02)*1.13</f>
        <v/>
      </c>
      <c r="E49" s="11" t="n">
        <v>582</v>
      </c>
      <c r="F49" s="391" t="n">
        <v>16037.12</v>
      </c>
      <c r="G49" s="389" t="n">
        <v>5152.11</v>
      </c>
      <c r="H49" s="389" t="n">
        <v>253.6</v>
      </c>
      <c r="I49" s="389" t="n">
        <v>2286.43</v>
      </c>
      <c r="J49" s="389" t="n">
        <v>8344.98</v>
      </c>
      <c r="K49" s="390" t="n">
        <v>8525.07</v>
      </c>
      <c r="L49" s="383" t="n">
        <v>604.05</v>
      </c>
      <c r="M49" s="383" t="n">
        <v>0</v>
      </c>
      <c r="N49" s="383" t="n">
        <v>21.81</v>
      </c>
      <c r="O49" s="383" t="n"/>
      <c r="P49" s="383" t="n"/>
      <c r="Q49" s="373">
        <f>((K49-L49)+(M49-N49))</f>
        <v/>
      </c>
      <c r="R49" s="373">
        <f>SUM(G49,H49,I49,Q49)</f>
        <v/>
      </c>
    </row>
    <row r="50" customFormat="1" s="68">
      <c r="A50" s="394" t="inlineStr">
        <is>
          <t>Sep 08 - Sep 14 2025</t>
        </is>
      </c>
      <c r="B50" s="389" t="n">
        <v>14303.51</v>
      </c>
      <c r="C50" s="398">
        <f>(B50*0.06)*1.13</f>
        <v/>
      </c>
      <c r="D50" s="398">
        <f>(B50*0.02)*1.13</f>
        <v/>
      </c>
      <c r="E50" s="11" t="n">
        <v>561</v>
      </c>
      <c r="F50" s="391" t="n">
        <v>14383.2</v>
      </c>
      <c r="G50" s="389" t="n">
        <v>5311.31</v>
      </c>
      <c r="H50" s="389" t="n">
        <v>288.16</v>
      </c>
      <c r="I50" s="389" t="n">
        <v>1789.2</v>
      </c>
      <c r="J50" s="389" t="n">
        <v>6994.53</v>
      </c>
      <c r="K50" s="390" t="n">
        <v>7071.81</v>
      </c>
      <c r="L50" s="383" t="n">
        <v>217.45</v>
      </c>
      <c r="M50" s="390" t="n">
        <v>113.31</v>
      </c>
      <c r="N50" s="383" t="n">
        <v>52.83</v>
      </c>
      <c r="O50" s="383" t="n"/>
      <c r="P50" s="383" t="n"/>
      <c r="Q50" s="373">
        <f>((K50-L50)+(M50-N50))</f>
        <v/>
      </c>
      <c r="R50" s="373">
        <f>SUM(G50,H50,I50,Q50)</f>
        <v/>
      </c>
    </row>
    <row r="51" customFormat="1" s="68">
      <c r="A51" s="394" t="inlineStr">
        <is>
          <t>Sep 15 - Sep 21 2025</t>
        </is>
      </c>
      <c r="B51" s="389" t="n">
        <v>14290.72</v>
      </c>
      <c r="C51" s="398">
        <f>(B51*0.06)*1.13</f>
        <v/>
      </c>
      <c r="D51" s="398">
        <f>(B51*0.02)*1.13</f>
        <v/>
      </c>
      <c r="E51" s="11" t="n">
        <v>532</v>
      </c>
      <c r="F51" s="391" t="n">
        <v>14277.18</v>
      </c>
      <c r="G51" s="389" t="n">
        <v>5225.7</v>
      </c>
      <c r="H51" s="389" t="n">
        <v>368.71</v>
      </c>
      <c r="I51" s="389" t="n">
        <v>2444.64</v>
      </c>
      <c r="J51" s="389" t="n">
        <v>6238.13</v>
      </c>
      <c r="K51" s="390" t="n">
        <v>6314.84</v>
      </c>
      <c r="L51" s="383" t="n">
        <v>97.81999999999999</v>
      </c>
      <c r="M51" s="390" t="n">
        <v>84.31999999999999</v>
      </c>
      <c r="N51" s="383" t="n">
        <v>49.67</v>
      </c>
      <c r="O51" s="383" t="n"/>
      <c r="P51" s="383" t="n"/>
      <c r="Q51" s="373">
        <f>((K51-L51)+(M51-N51))</f>
        <v/>
      </c>
      <c r="R51" s="373">
        <f>SUM(G51,H51,I51,Q51)</f>
        <v/>
      </c>
    </row>
    <row r="52" customFormat="1" s="68">
      <c r="A52" s="394" t="inlineStr">
        <is>
          <t>Sep 22 - Sep 28 2025</t>
        </is>
      </c>
      <c r="B52" s="389" t="n">
        <v>14411.99</v>
      </c>
      <c r="C52" s="398">
        <f>(B52*0.06)*1.13</f>
        <v/>
      </c>
      <c r="D52" s="398">
        <f>(B52*0.02)*1.13</f>
        <v/>
      </c>
      <c r="E52" s="56" t="n">
        <v>531</v>
      </c>
      <c r="F52" s="391" t="n">
        <v>14750.47</v>
      </c>
      <c r="G52" s="389" t="n">
        <v>5722.28</v>
      </c>
      <c r="H52" s="389" t="n">
        <v>275.05</v>
      </c>
      <c r="I52" s="389" t="n">
        <v>2688.11</v>
      </c>
      <c r="J52" s="389" t="n">
        <v>6065.03</v>
      </c>
      <c r="K52" s="390" t="n">
        <v>5830.62</v>
      </c>
      <c r="L52" s="383" t="n">
        <v>96.23</v>
      </c>
      <c r="M52" s="390" t="n">
        <v>54.36</v>
      </c>
      <c r="N52" s="383" t="n">
        <v>62.2</v>
      </c>
      <c r="O52" s="383" t="n">
        <v>0</v>
      </c>
      <c r="P52" s="383" t="n">
        <v>0</v>
      </c>
      <c r="Q52" s="373">
        <f>((K52-L52)+(M52-N52))</f>
        <v/>
      </c>
      <c r="R52" s="373">
        <f>SUM(G52,H52,I52,Q52)</f>
        <v/>
      </c>
    </row>
    <row r="53" customFormat="1" s="68">
      <c r="A53" s="394" t="inlineStr">
        <is>
          <t>Sep 29 - Oct 05 2025</t>
        </is>
      </c>
      <c r="B53" s="389" t="n">
        <v>15349.09</v>
      </c>
      <c r="C53" s="398">
        <f>(B53*0.06)*1.13</f>
        <v/>
      </c>
      <c r="D53" s="398">
        <f>(B53*0.02)*1.13</f>
        <v/>
      </c>
      <c r="E53" s="11" t="n">
        <v>568</v>
      </c>
      <c r="F53" s="391" t="n">
        <v>15936.55</v>
      </c>
      <c r="G53" s="389" t="n">
        <v>6124.68</v>
      </c>
      <c r="H53" s="389" t="n">
        <v>404.22</v>
      </c>
      <c r="I53" s="389" t="n">
        <v>2324.93</v>
      </c>
      <c r="J53" s="389" t="n">
        <v>7082.72</v>
      </c>
      <c r="K53" s="383" t="n">
        <v>7344.28</v>
      </c>
      <c r="L53" s="383" t="n">
        <v>857.1900000000001</v>
      </c>
      <c r="M53" s="390" t="n">
        <v>73.54000000000001</v>
      </c>
      <c r="N53" s="383" t="n">
        <v>65.37</v>
      </c>
      <c r="O53" s="383" t="n">
        <v>1.5</v>
      </c>
      <c r="P53" s="383" t="n">
        <v>0</v>
      </c>
      <c r="Q53" s="373">
        <f>((K53-L53)+(M53-N53))</f>
        <v/>
      </c>
      <c r="R53" s="373">
        <f>SUM(G53,H53,I53,Q53)</f>
        <v/>
      </c>
    </row>
    <row r="54" customFormat="1" s="68">
      <c r="A54" s="394" t="inlineStr">
        <is>
          <t>Oct 6 - Oct 12 2025</t>
        </is>
      </c>
      <c r="B54" s="389" t="n">
        <v>14123.37</v>
      </c>
      <c r="C54" s="398">
        <f>(B54*0.06)*1.13</f>
        <v/>
      </c>
      <c r="D54" s="398">
        <f>(B54*0.02)*1.13</f>
        <v/>
      </c>
      <c r="E54" s="11" t="n">
        <v>549</v>
      </c>
      <c r="F54" s="391" t="n">
        <v>15243.53</v>
      </c>
      <c r="G54" s="389" t="n">
        <v>4903.59</v>
      </c>
      <c r="H54" s="389" t="n">
        <v>361.26</v>
      </c>
      <c r="I54" s="389" t="n">
        <v>2206.9</v>
      </c>
      <c r="J54" s="389" t="n">
        <v>7771.78</v>
      </c>
      <c r="K54" s="383" t="n">
        <v>7649.43</v>
      </c>
      <c r="L54" s="383" t="n">
        <v>970.38</v>
      </c>
      <c r="M54" s="390" t="n">
        <v>0</v>
      </c>
      <c r="N54" s="383" t="n">
        <v>27.43</v>
      </c>
      <c r="O54" s="383" t="n">
        <v>0</v>
      </c>
      <c r="P54" s="383" t="n">
        <v>0</v>
      </c>
      <c r="Q54" s="373">
        <f>((K54-L54)+(M54-N54))</f>
        <v/>
      </c>
      <c r="R54" s="373">
        <f>SUM(G54,H54,I54,Q54)</f>
        <v/>
      </c>
    </row>
    <row r="55" customFormat="1" s="68">
      <c r="A55" s="394" t="inlineStr">
        <is>
          <t>Oct 13 - Oct 19 2025</t>
        </is>
      </c>
      <c r="B55" s="389" t="n">
        <v>13972.31</v>
      </c>
      <c r="C55" s="398">
        <f>(B55*0.06)*1.13</f>
        <v/>
      </c>
      <c r="D55" s="398">
        <f>(B55*0.02)*1.13</f>
        <v/>
      </c>
      <c r="E55" s="11" t="n"/>
      <c r="F55" s="394" t="n">
        <v>14616.12</v>
      </c>
      <c r="G55" s="394" t="n">
        <v>4897.89</v>
      </c>
      <c r="H55" s="394" t="n">
        <v>285.84</v>
      </c>
      <c r="I55" s="394" t="n">
        <v>2361.54</v>
      </c>
      <c r="J55" s="394" t="n">
        <v>7070.85</v>
      </c>
      <c r="K55" s="447" t="n">
        <v>7283.07</v>
      </c>
      <c r="L55" s="447" t="n">
        <v>885.05</v>
      </c>
      <c r="M55" s="390" t="n">
        <v>0</v>
      </c>
      <c r="N55" s="447" t="n">
        <v>54.32</v>
      </c>
      <c r="O55" s="447" t="n">
        <v>83.34</v>
      </c>
      <c r="P55" s="383" t="n">
        <v>0</v>
      </c>
      <c r="Q55" s="373">
        <f>((K55-L55)+(M55-N55)+(O55-P55))</f>
        <v/>
      </c>
      <c r="R55" s="373">
        <f>SUM(G55,H55,I55,Q55)</f>
        <v/>
      </c>
    </row>
    <row r="56" customFormat="1" s="68">
      <c r="A56" s="394" t="inlineStr">
        <is>
          <t>Oct 20 - Oct 26 2025</t>
        </is>
      </c>
      <c r="B56" s="389" t="n">
        <v>15697.34</v>
      </c>
      <c r="C56" s="398">
        <f>(B56*0.06)*1.13</f>
        <v/>
      </c>
      <c r="D56" s="398">
        <f>(B56*0.02)*1.13</f>
        <v/>
      </c>
      <c r="E56" s="11" t="n"/>
      <c r="F56" s="394" t="n">
        <v>16085.22</v>
      </c>
      <c r="G56" s="394" t="n">
        <v>4864.93</v>
      </c>
      <c r="H56" s="394" t="n">
        <v>268.54</v>
      </c>
      <c r="I56" s="394" t="n">
        <v>2891.47</v>
      </c>
      <c r="J56" s="394" t="n">
        <v>8060.28</v>
      </c>
      <c r="K56" s="383" t="n">
        <v>8493.49</v>
      </c>
      <c r="L56" s="383" t="n">
        <v>816.33</v>
      </c>
      <c r="M56" s="383" t="n">
        <v>28.76</v>
      </c>
      <c r="N56" s="383" t="n">
        <v>33.52</v>
      </c>
      <c r="O56" s="383" t="n">
        <v>0</v>
      </c>
      <c r="P56" s="383" t="n">
        <v>0</v>
      </c>
      <c r="Q56" s="373">
        <f>((K56-L56)+(M56-N56)+(O56-P56))</f>
        <v/>
      </c>
      <c r="R56" s="373">
        <f>SUM(G56,H56,I56,Q56)</f>
        <v/>
      </c>
    </row>
    <row r="57" customFormat="1" s="68">
      <c r="A57" s="394" t="inlineStr">
        <is>
          <t>Oct 27 - Nov 02 2025</t>
        </is>
      </c>
      <c r="B57" s="389" t="n">
        <v>18104.04</v>
      </c>
      <c r="C57" s="398">
        <f>(B57*0.06)*1.13</f>
        <v/>
      </c>
      <c r="D57" s="398">
        <f>(B57*0.02)*1.13</f>
        <v/>
      </c>
      <c r="E57" s="300" t="n">
        <v>646</v>
      </c>
      <c r="F57" s="394" t="n">
        <v>19146.18</v>
      </c>
      <c r="G57" s="394" t="n">
        <v>5857.52</v>
      </c>
      <c r="H57" s="394" t="n">
        <v>682.53</v>
      </c>
      <c r="I57" s="394" t="n">
        <v>2155.16</v>
      </c>
      <c r="J57" s="394" t="n">
        <v>10450.97</v>
      </c>
      <c r="K57" s="383" t="n">
        <v>10781.5</v>
      </c>
      <c r="L57" s="383" t="n">
        <v>1371.33</v>
      </c>
      <c r="M57" s="390" t="n">
        <v>0</v>
      </c>
      <c r="N57" s="383" t="n">
        <v>1.34</v>
      </c>
      <c r="O57" s="383" t="n">
        <v>0</v>
      </c>
      <c r="P57" s="383" t="n">
        <v>0</v>
      </c>
      <c r="Q57" s="373">
        <f>((K57-L57)+(M57-N57)+(O57-P57))</f>
        <v/>
      </c>
      <c r="R57" s="373">
        <f>SUM(G57,H57,I57,Q57)</f>
        <v/>
      </c>
    </row>
    <row r="58" customFormat="1" s="68">
      <c r="A58" s="394" t="inlineStr">
        <is>
          <t>Nov 03 - Nov 09 2025</t>
        </is>
      </c>
      <c r="B58" s="389" t="n">
        <v>13482.43</v>
      </c>
      <c r="C58" s="398">
        <f>(B58*0.06)*1.13</f>
        <v/>
      </c>
      <c r="D58" s="398">
        <f>(B58*0.02)*1.13</f>
        <v/>
      </c>
      <c r="E58" s="118" t="n">
        <v>472</v>
      </c>
      <c r="F58" s="394" t="n">
        <v>14414.4</v>
      </c>
      <c r="G58" s="394" t="n">
        <v>4023.23</v>
      </c>
      <c r="H58" s="394" t="n">
        <v>176.3</v>
      </c>
      <c r="I58" s="394" t="n">
        <v>1988.43</v>
      </c>
      <c r="J58" s="394" t="n">
        <v>8226.440000000001</v>
      </c>
      <c r="K58" s="383" t="n">
        <v>8241.559999999999</v>
      </c>
      <c r="L58" s="383" t="n">
        <v>1019.43</v>
      </c>
      <c r="M58" s="383" t="n">
        <v>31.16</v>
      </c>
      <c r="N58" s="383" t="n">
        <v>0</v>
      </c>
      <c r="O58" s="383" t="n">
        <v>41.18</v>
      </c>
      <c r="P58" s="383" t="n">
        <v>0</v>
      </c>
      <c r="Q58" s="373">
        <f>((K58-L58)+(M58-N58)+(O58-P58))</f>
        <v/>
      </c>
      <c r="R58" s="373">
        <f>SUM(G58,H58,I58,Q58)</f>
        <v/>
      </c>
    </row>
    <row r="59" customFormat="1" s="68">
      <c r="A59" s="394" t="inlineStr">
        <is>
          <t>Nov 10 - Nov 16 2025</t>
        </is>
      </c>
      <c r="B59" s="389" t="n">
        <v>15113.06</v>
      </c>
      <c r="C59" s="398">
        <f>(B59*0.06)*1.13</f>
        <v/>
      </c>
      <c r="D59" s="398">
        <f>(B59*0.02)*1.13</f>
        <v/>
      </c>
      <c r="E59" s="300" t="inlineStr">
        <is>
          <t>583</t>
        </is>
      </c>
      <c r="F59" s="394" t="n">
        <v>16282.4</v>
      </c>
      <c r="G59" s="394" t="n">
        <v>5185.84</v>
      </c>
      <c r="H59" s="394" t="n">
        <v>333.54</v>
      </c>
      <c r="I59" s="394" t="n">
        <v>2764.88</v>
      </c>
      <c r="J59" s="394" t="n">
        <v>7998.14</v>
      </c>
      <c r="K59" s="383" t="n">
        <v>8020.34</v>
      </c>
      <c r="L59" s="383" t="n">
        <v>1191.54</v>
      </c>
      <c r="M59" s="383" t="n">
        <v>0</v>
      </c>
      <c r="N59" s="383" t="n">
        <v>0</v>
      </c>
      <c r="O59" s="383" t="n">
        <v>0</v>
      </c>
      <c r="P59" s="383" t="n">
        <v>0</v>
      </c>
      <c r="Q59" s="373">
        <f>((K59-L59)+(M59-N59)+(O59-P59))</f>
        <v/>
      </c>
      <c r="R59" s="373">
        <f>SUM(G59,H59,I59,Q59)</f>
        <v/>
      </c>
    </row>
    <row r="60" customFormat="1" s="68">
      <c r="A60" s="2" t="inlineStr">
        <is>
          <t>Nov 17 - Nov 23 2025</t>
        </is>
      </c>
      <c r="B60" s="389" t="n">
        <v>15151.53</v>
      </c>
      <c r="C60" s="398">
        <f>(B60*0.06)*1.13</f>
        <v/>
      </c>
      <c r="D60" s="398">
        <f>(B60*0.02)*1.13</f>
        <v/>
      </c>
      <c r="E60" s="300" t="inlineStr">
        <is>
          <t>551</t>
        </is>
      </c>
      <c r="F60" s="394" t="n">
        <v>16411.18</v>
      </c>
      <c r="G60" s="394" t="n">
        <v>4361.81</v>
      </c>
      <c r="H60" s="394" t="n">
        <v>336.43</v>
      </c>
      <c r="I60" s="394" t="n">
        <v>2789.42</v>
      </c>
      <c r="J60" s="394" t="n">
        <v>8923.52</v>
      </c>
      <c r="K60" s="383" t="n">
        <v>8948.41</v>
      </c>
      <c r="L60" s="383" t="n">
        <v>1284.54</v>
      </c>
      <c r="M60" s="383" t="n">
        <v>0</v>
      </c>
      <c r="N60" s="383" t="n">
        <v>0</v>
      </c>
      <c r="O60" s="383" t="n">
        <v>0</v>
      </c>
      <c r="P60" s="383" t="n">
        <v>0</v>
      </c>
      <c r="Q60" s="373">
        <f>((K60-L60)+(M60-N60)+(O60-P60))</f>
        <v/>
      </c>
      <c r="R60" s="373">
        <f>SUM(G60,H60,I60,Q60)</f>
        <v/>
      </c>
    </row>
    <row r="61" customFormat="1" s="68">
      <c r="A61" s="2" t="inlineStr">
        <is>
          <t>Nov 24 - Nov 30 2025</t>
        </is>
      </c>
      <c r="B61" s="389" t="n">
        <v>14775.71</v>
      </c>
      <c r="C61" s="398">
        <f>(B61*0.06)*1.13</f>
        <v/>
      </c>
      <c r="D61" s="398">
        <f>(B61*0.02)*1.13</f>
        <v/>
      </c>
      <c r="E61" s="300" t="n">
        <v>517</v>
      </c>
      <c r="F61" s="394" t="n">
        <v>15736.51</v>
      </c>
      <c r="G61" s="300" t="n">
        <v>4182.18</v>
      </c>
      <c r="H61" s="394" t="n">
        <v>293.19</v>
      </c>
      <c r="I61" s="394" t="n">
        <v>2856.44</v>
      </c>
      <c r="J61" s="394" t="n">
        <v>8404.700000000001</v>
      </c>
      <c r="K61" s="383" t="n">
        <v>8353.82</v>
      </c>
      <c r="L61" s="383" t="n">
        <v>939.89</v>
      </c>
      <c r="M61" s="383" t="n">
        <v>29.97</v>
      </c>
      <c r="N61" s="383" t="n">
        <v>0</v>
      </c>
      <c r="O61" s="383" t="n">
        <v>0</v>
      </c>
      <c r="P61" s="383" t="n">
        <v>0</v>
      </c>
      <c r="Q61" s="373">
        <f>((K61-L61)+(M61-N61)+(O61-P61))</f>
        <v/>
      </c>
      <c r="R61" s="373">
        <f>SUM(G61,H61,I61,Q61)</f>
        <v/>
      </c>
    </row>
    <row r="62" customFormat="1" s="68">
      <c r="A62" s="2" t="inlineStr">
        <is>
          <t>Dec 01 - Dec 07 2025</t>
        </is>
      </c>
      <c r="B62" s="389" t="n">
        <v>16102.93</v>
      </c>
      <c r="C62" s="398">
        <f>(B62*0.06)*1.13</f>
        <v/>
      </c>
      <c r="D62" s="398">
        <f>(B62*0.02)*1.13</f>
        <v/>
      </c>
      <c r="E62" s="300" t="n">
        <v>527</v>
      </c>
      <c r="F62" s="394" t="n">
        <v>17534.8</v>
      </c>
      <c r="G62" s="300" t="n">
        <v>3355.88</v>
      </c>
      <c r="H62" s="394" t="n">
        <v>239.48</v>
      </c>
      <c r="I62" s="394" t="n">
        <v>2668.25</v>
      </c>
      <c r="J62" s="394" t="n">
        <v>11271.19</v>
      </c>
      <c r="K62" s="383" t="n">
        <v>11384.08</v>
      </c>
      <c r="L62" s="383" t="n">
        <v>1544.76</v>
      </c>
      <c r="M62" s="383" t="n">
        <v>0</v>
      </c>
      <c r="N62" s="383" t="n">
        <v>0</v>
      </c>
      <c r="O62" s="383" t="n">
        <v>0</v>
      </c>
      <c r="P62" s="383" t="n">
        <v>0</v>
      </c>
      <c r="Q62" s="373">
        <f>((K62-L62)+(M62-N62)+(O62-P62))</f>
        <v/>
      </c>
      <c r="R62" s="373">
        <f>SUM(G62,H62,I62,Q62)</f>
        <v/>
      </c>
    </row>
    <row r="63" customFormat="1" s="68">
      <c r="A63" s="299" t="inlineStr">
        <is>
          <t>Dec 08 - Dec 14 2025</t>
        </is>
      </c>
      <c r="B63" s="389" t="n">
        <v>14416.25</v>
      </c>
      <c r="C63" s="398">
        <f>(B63*0.06)*1.13</f>
        <v/>
      </c>
      <c r="D63" s="398">
        <f>(B63*0.02)*1.13</f>
        <v/>
      </c>
      <c r="E63" s="300" t="inlineStr">
        <is>
          <t>503</t>
        </is>
      </c>
      <c r="F63" s="394" t="n">
        <v>15700.42</v>
      </c>
      <c r="G63" s="394" t="n">
        <v>4130.92</v>
      </c>
      <c r="H63" s="394" t="n">
        <v>337.92</v>
      </c>
      <c r="I63" s="394" t="n">
        <v>2475.19</v>
      </c>
      <c r="J63" s="394" t="n">
        <v>8756.389999999999</v>
      </c>
      <c r="K63" s="383" t="n">
        <v>8952.200000000001</v>
      </c>
      <c r="L63" s="383" t="n">
        <v>1479.98</v>
      </c>
      <c r="M63" s="383" t="n">
        <v>0</v>
      </c>
      <c r="N63" s="383" t="n">
        <v>0</v>
      </c>
      <c r="O63" s="383" t="n">
        <v>0</v>
      </c>
      <c r="P63" s="383" t="n">
        <v>0</v>
      </c>
      <c r="Q63" s="373">
        <f>((K63-L63)+(M63-N63)+(O63-P63))</f>
        <v/>
      </c>
      <c r="R63" s="373">
        <f>SUM(G63,H63,I63,Q63)</f>
        <v/>
      </c>
    </row>
    <row r="64" customFormat="1" s="68">
      <c r="A64" s="2" t="inlineStr">
        <is>
          <t>Dec 15 - Dec 21 2025</t>
        </is>
      </c>
      <c r="B64" s="389" t="n">
        <v>16929.6</v>
      </c>
      <c r="C64" s="398">
        <f>(B64*0.06)*1.13</f>
        <v/>
      </c>
      <c r="D64" s="398">
        <f>(B64*0.02)*1.13</f>
        <v/>
      </c>
      <c r="E64" s="300" t="inlineStr">
        <is>
          <t>603</t>
        </is>
      </c>
      <c r="F64" s="394" t="n">
        <v>18287.58</v>
      </c>
      <c r="G64" s="394" t="n">
        <v>4828.2</v>
      </c>
      <c r="H64" s="394" t="n">
        <v>444.34</v>
      </c>
      <c r="I64" s="394" t="n">
        <v>3392.98</v>
      </c>
      <c r="J64" s="394" t="n">
        <v>9622.059999999999</v>
      </c>
      <c r="K64" s="467" t="n">
        <v>9498.389999999999</v>
      </c>
      <c r="L64" s="467" t="n">
        <v>1258.3</v>
      </c>
      <c r="M64" s="467" t="n">
        <v>23.99</v>
      </c>
      <c r="N64" s="383" t="n">
        <v>0</v>
      </c>
      <c r="O64" s="383" t="n">
        <v>0</v>
      </c>
      <c r="P64" s="383" t="n">
        <v>0</v>
      </c>
      <c r="Q64" s="373">
        <f>((K64-L64)+(M64-N64)+(O64-P64))</f>
        <v/>
      </c>
      <c r="R64" s="373">
        <f>SUM(G64,H64,I64,Q64)</f>
        <v/>
      </c>
    </row>
    <row r="65" customFormat="1" s="68">
      <c r="A65" s="2" t="inlineStr">
        <is>
          <t>Dec 22 - Dec 28 2025</t>
        </is>
      </c>
      <c r="B65" s="389" t="n">
        <v>17682.99</v>
      </c>
      <c r="C65" s="398">
        <f>(B65*0.06)*1.13</f>
        <v/>
      </c>
      <c r="D65" s="398">
        <f>(B65*0.02)*1.13</f>
        <v/>
      </c>
      <c r="E65" s="304" t="n">
        <v>598</v>
      </c>
      <c r="F65" s="394" t="n">
        <v>19207.39</v>
      </c>
      <c r="G65" s="394" t="n">
        <v>5110.45</v>
      </c>
      <c r="H65" s="394" t="n">
        <v>550.96</v>
      </c>
      <c r="I65" s="394" t="n">
        <v>3326.17</v>
      </c>
      <c r="J65" s="394" t="n">
        <v>10219.81</v>
      </c>
      <c r="K65" s="383" t="n">
        <v>10255.11</v>
      </c>
      <c r="L65" s="383" t="n">
        <v>1559.7</v>
      </c>
      <c r="M65" s="383" t="n">
        <v>0</v>
      </c>
      <c r="N65" s="383" t="n">
        <v>0</v>
      </c>
      <c r="O65" s="383" t="n">
        <v>0</v>
      </c>
      <c r="P65" s="383" t="n">
        <v>0</v>
      </c>
      <c r="Q65" s="373">
        <f>((K65-L65)+(M65-N65)+(O65-P65))</f>
        <v/>
      </c>
      <c r="R65" s="373">
        <f>SUM(G65,H65,I65,Q65)</f>
        <v/>
      </c>
    </row>
    <row r="66" customFormat="1" s="68">
      <c r="A66" s="11" t="inlineStr">
        <is>
          <t>Dec 29 - Jan 04 2026</t>
        </is>
      </c>
      <c r="B66" s="389" t="n">
        <v>19321.66</v>
      </c>
      <c r="C66" s="398">
        <f>(B66*0.06)*1.13</f>
        <v/>
      </c>
      <c r="D66" s="398">
        <f>(B66*0.02)*1.13</f>
        <v/>
      </c>
      <c r="E66" s="300" t="inlineStr">
        <is>
          <t>673</t>
        </is>
      </c>
      <c r="F66" s="394" t="n">
        <v>21062.7</v>
      </c>
      <c r="G66" s="394" t="n">
        <v>5611.34</v>
      </c>
      <c r="H66" s="394" t="n">
        <v>289.97</v>
      </c>
      <c r="I66" s="394" t="n">
        <v>2908.89</v>
      </c>
      <c r="J66" s="394" t="n">
        <v>12252.5</v>
      </c>
      <c r="K66" s="383" t="n">
        <v>12375.8</v>
      </c>
      <c r="L66" s="383" t="n">
        <v>1864.34</v>
      </c>
      <c r="M66" s="383" t="n">
        <v>0</v>
      </c>
      <c r="N66" s="383" t="n">
        <v>0</v>
      </c>
      <c r="O66" s="383" t="n">
        <v>0</v>
      </c>
      <c r="P66" s="383" t="n">
        <v>0</v>
      </c>
      <c r="Q66" s="373">
        <f>((K66-L66)+(M66-N66)+(O66-P66))</f>
        <v/>
      </c>
      <c r="R66" s="373">
        <f>SUM(G66,H66,I66,Q66)</f>
        <v/>
      </c>
    </row>
    <row r="67" customFormat="1" s="68">
      <c r="A67" s="11" t="inlineStr">
        <is>
          <t>Jan 05 - Jan 11 2026</t>
        </is>
      </c>
      <c r="B67" s="389" t="n">
        <v>14161.67</v>
      </c>
      <c r="C67" s="398">
        <f>(B67*0.06)*1.13</f>
        <v/>
      </c>
      <c r="D67" s="398">
        <f>(B67*0.02)*1.13</f>
        <v/>
      </c>
      <c r="E67" s="300" t="inlineStr">
        <is>
          <t>520</t>
        </is>
      </c>
      <c r="F67" s="394" t="n">
        <v>15596.32</v>
      </c>
      <c r="G67" s="394" t="n">
        <v>4027.45</v>
      </c>
      <c r="H67" s="394" t="n">
        <v>304.4</v>
      </c>
      <c r="I67" s="394" t="n">
        <v>2650.29</v>
      </c>
      <c r="J67" s="394" t="n">
        <v>8614.18</v>
      </c>
      <c r="K67" s="383" t="n">
        <v>8722.43</v>
      </c>
      <c r="L67" s="383" t="n">
        <v>1542.9</v>
      </c>
      <c r="M67" s="383" t="n">
        <v>0</v>
      </c>
      <c r="N67" s="383" t="n">
        <v>0</v>
      </c>
      <c r="O67" s="383" t="n">
        <v>0</v>
      </c>
      <c r="P67" s="383" t="n">
        <v>0</v>
      </c>
      <c r="Q67" s="373">
        <f>((K67-L67)+(M67-N67)+(O67-P67))</f>
        <v/>
      </c>
      <c r="R67" s="373">
        <f>SUM(G67,H67,I67,Q67)</f>
        <v/>
      </c>
    </row>
    <row r="68" customFormat="1" s="68">
      <c r="A68" s="11" t="inlineStr">
        <is>
          <t>Jan 12 - Jan 18 2026</t>
        </is>
      </c>
      <c r="B68" s="389" t="n">
        <v>14412.41</v>
      </c>
      <c r="C68" s="398">
        <f>(B68*0.06)*1.13</f>
        <v/>
      </c>
      <c r="D68" s="398">
        <f>(B68*0.02)*1.13</f>
        <v/>
      </c>
      <c r="E68" s="300" t="inlineStr">
        <is>
          <t>535</t>
        </is>
      </c>
      <c r="F68" s="394" t="n">
        <v>15755.66</v>
      </c>
      <c r="G68" s="394" t="n">
        <v>3847.33</v>
      </c>
      <c r="H68" s="394" t="n">
        <v>206.04</v>
      </c>
      <c r="I68" s="394" t="n">
        <v>2793.87</v>
      </c>
      <c r="J68" s="394" t="n">
        <v>8908.42</v>
      </c>
      <c r="K68" s="383" t="n">
        <v>8861.41</v>
      </c>
      <c r="L68" s="383" t="n">
        <v>1333.82</v>
      </c>
      <c r="M68" s="383" t="n">
        <v>0</v>
      </c>
      <c r="N68" s="383" t="n">
        <v>0</v>
      </c>
      <c r="O68" s="383" t="n">
        <v>58.56</v>
      </c>
      <c r="P68" s="383" t="n">
        <v>20.98</v>
      </c>
      <c r="Q68" s="373">
        <f>((K68-L68)+(M68-N68)+(O68-P68))</f>
        <v/>
      </c>
      <c r="R68" s="373">
        <f>SUM(G68,H68,I68,Q68)</f>
        <v/>
      </c>
    </row>
    <row r="69" customFormat="1" s="68">
      <c r="A69" s="30" t="inlineStr">
        <is>
          <t>Jan 19 - Jan 25 2026</t>
        </is>
      </c>
      <c r="B69" s="389" t="n">
        <v>15090.76</v>
      </c>
      <c r="C69" s="398">
        <f>(B69*0.06)*1.13</f>
        <v/>
      </c>
      <c r="D69" s="398">
        <f>(B69*0.02)*1.13</f>
        <v/>
      </c>
      <c r="E69" s="300" t="inlineStr">
        <is>
          <t>523</t>
        </is>
      </c>
      <c r="F69" s="394" t="n">
        <v>16471.79</v>
      </c>
      <c r="G69" s="394" t="n">
        <v>3305.09</v>
      </c>
      <c r="H69" s="394" t="n">
        <v>382.33</v>
      </c>
      <c r="I69" s="394" t="n">
        <v>3515.47</v>
      </c>
      <c r="J69" s="394" t="n">
        <v>9268.9</v>
      </c>
      <c r="K69" s="383" t="n">
        <v>9140.799999999999</v>
      </c>
      <c r="L69" s="383" t="n">
        <v>1252.93</v>
      </c>
      <c r="M69" s="383" t="n">
        <v>0</v>
      </c>
      <c r="N69" s="383" t="n">
        <v>0</v>
      </c>
      <c r="O69" s="383" t="n">
        <v>0</v>
      </c>
      <c r="P69" s="383" t="n">
        <v>0</v>
      </c>
      <c r="Q69" s="373">
        <f>((K69-L69)+(M69-N69)+(O69-P69))</f>
        <v/>
      </c>
      <c r="R69" s="373">
        <f>SUM(G69,H69,I69,Q69)</f>
        <v/>
      </c>
    </row>
    <row r="70" customFormat="1" s="68">
      <c r="A70" s="30" t="inlineStr">
        <is>
          <t>Jan 26 - Feb 01 2026</t>
        </is>
      </c>
      <c r="B70" s="389" t="n">
        <v>16414.45</v>
      </c>
      <c r="C70" s="398">
        <f>(B70*0.06)*1.13</f>
        <v/>
      </c>
      <c r="D70" s="398">
        <f>(B70*0.02)*1.13</f>
        <v/>
      </c>
      <c r="E70" s="300" t="inlineStr">
        <is>
          <t>552</t>
        </is>
      </c>
      <c r="F70" s="394" t="n">
        <v>17620.16</v>
      </c>
      <c r="G70" s="394" t="n">
        <v>4598.74</v>
      </c>
      <c r="H70" s="394" t="n">
        <v>504.36</v>
      </c>
      <c r="I70" s="394" t="n">
        <v>3179.34</v>
      </c>
      <c r="J70" s="394" t="n">
        <v>9337.719999999999</v>
      </c>
      <c r="K70" s="383" t="n">
        <v>9480.790000000001</v>
      </c>
      <c r="L70" s="383" t="n">
        <v>1371.56</v>
      </c>
      <c r="M70" s="383" t="n">
        <v>22.78</v>
      </c>
      <c r="N70" s="383" t="n">
        <v>0</v>
      </c>
      <c r="O70" s="383" t="n">
        <v>0</v>
      </c>
      <c r="P70" s="383" t="n">
        <v>0</v>
      </c>
      <c r="Q70" s="373">
        <f>((K70-L70)+(M70-N70)+(O70-P70))</f>
        <v/>
      </c>
      <c r="R70" s="373">
        <f>SUM(G70,H70,I70,Q70)</f>
        <v/>
      </c>
    </row>
    <row r="71" customFormat="1" s="68">
      <c r="A71" s="30" t="inlineStr">
        <is>
          <t>Feb 02 - Feb 08 2026</t>
        </is>
      </c>
      <c r="B71" s="389" t="n">
        <v>15697.18</v>
      </c>
      <c r="C71" s="398">
        <f>(B71*0.06)*1.13</f>
        <v/>
      </c>
      <c r="D71" s="398">
        <f>(B71*0.02)*1.13</f>
        <v/>
      </c>
      <c r="E71" s="300" t="inlineStr">
        <is>
          <t>524</t>
        </is>
      </c>
      <c r="F71" s="394" t="n">
        <v>16752.89</v>
      </c>
      <c r="G71" s="394" t="n">
        <v>4242.85</v>
      </c>
      <c r="H71" s="394" t="n">
        <v>477.89</v>
      </c>
      <c r="I71" s="394" t="n">
        <v>2710.88</v>
      </c>
      <c r="J71" s="394" t="n">
        <v>9321.27</v>
      </c>
      <c r="K71" s="383" t="n">
        <v>9527.709999999999</v>
      </c>
      <c r="L71" s="383" t="n">
        <v>1314.33</v>
      </c>
      <c r="M71" s="383" t="n">
        <v>67.56</v>
      </c>
      <c r="N71" s="383" t="n">
        <v>15.38</v>
      </c>
      <c r="O71" s="383" t="n">
        <v>0</v>
      </c>
      <c r="P71" s="383" t="n">
        <v>0</v>
      </c>
      <c r="Q71" s="373">
        <f>((K71-L71)+(M71-N71)+(O71-P71))</f>
        <v/>
      </c>
      <c r="R71" s="373">
        <f>SUM(G71,H71,I71,Q71)</f>
        <v/>
      </c>
    </row>
    <row r="72" customFormat="1" s="68">
      <c r="A72" s="11" t="inlineStr">
        <is>
          <t>Feb 09 - Feb 15 2026</t>
        </is>
      </c>
      <c r="B72" s="389" t="n">
        <v>16905.03</v>
      </c>
      <c r="C72" s="398">
        <f>(B72*0.06)*1.13</f>
        <v/>
      </c>
      <c r="D72" s="398">
        <f>(B72*0.02)*1.13</f>
        <v/>
      </c>
      <c r="E72" s="300" t="inlineStr">
        <is>
          <t>567</t>
        </is>
      </c>
      <c r="F72" s="394" t="n">
        <v>17757.49</v>
      </c>
      <c r="G72" s="394" t="n">
        <v>5128.11</v>
      </c>
      <c r="H72" s="394" t="n">
        <v>373.34</v>
      </c>
      <c r="I72" s="394" t="n">
        <v>3874</v>
      </c>
      <c r="J72" s="394" t="n">
        <v>8382.040000000001</v>
      </c>
      <c r="K72" s="389" t="n">
        <v>8311.27</v>
      </c>
      <c r="L72" s="389" t="n">
        <v>802.29</v>
      </c>
      <c r="M72" s="389" t="n">
        <v>35.98</v>
      </c>
      <c r="N72" s="389" t="n">
        <v>15.38</v>
      </c>
      <c r="O72" s="383" t="n">
        <v>0</v>
      </c>
      <c r="P72" s="383" t="n">
        <v>0</v>
      </c>
      <c r="Q72" s="373">
        <f>((K72-L72)+(M72-N72)+(O72-P72))</f>
        <v/>
      </c>
      <c r="R72" s="373">
        <f>SUM(G72,H72,I72,Q72)</f>
        <v/>
      </c>
    </row>
    <row r="73" customFormat="1" s="68">
      <c r="A73" s="11" t="inlineStr">
        <is>
          <t>Feb 16 - Feb 22 2026</t>
        </is>
      </c>
      <c r="B73" s="389" t="n">
        <v>14559.85</v>
      </c>
      <c r="C73" s="398">
        <f>(B73*0.06)*1.13</f>
        <v/>
      </c>
      <c r="D73" s="398">
        <f>(B73*0.02)*1.13</f>
        <v/>
      </c>
      <c r="E73" s="300" t="inlineStr">
        <is>
          <t>502</t>
        </is>
      </c>
      <c r="F73" s="394" t="n">
        <v>15221.08</v>
      </c>
      <c r="G73" s="394" t="n">
        <v>4454.4</v>
      </c>
      <c r="H73" s="394" t="n">
        <v>406</v>
      </c>
      <c r="I73" s="394" t="n">
        <v>2533.52</v>
      </c>
      <c r="J73" s="394" t="n">
        <v>7827.16</v>
      </c>
      <c r="K73" s="389" t="n">
        <v>8219.549999999999</v>
      </c>
      <c r="L73" s="389" t="n">
        <v>1074.22</v>
      </c>
      <c r="M73" s="389" t="n">
        <v>35.98</v>
      </c>
      <c r="N73" s="389" t="n">
        <v>15.38</v>
      </c>
      <c r="O73" s="383" t="n">
        <v>0</v>
      </c>
      <c r="P73" s="383" t="n">
        <v>0</v>
      </c>
      <c r="Q73" s="373">
        <f>((K73-L73)+(M73-N73)+(O73-P73))</f>
        <v/>
      </c>
      <c r="R73" s="373">
        <f>SUM(G73,H73,I73,Q73)</f>
        <v/>
      </c>
    </row>
    <row r="74" customFormat="1" s="68">
      <c r="A74" s="11" t="inlineStr">
        <is>
          <t>Feb 23 - Mar 1 2026</t>
        </is>
      </c>
      <c r="B74" s="389" t="n">
        <v>14119.95</v>
      </c>
      <c r="C74" s="398">
        <f>(B74*0.06)*1.13</f>
        <v/>
      </c>
      <c r="D74" s="398">
        <f>(B74*0.02)*1.13</f>
        <v/>
      </c>
      <c r="E74" s="300" t="inlineStr">
        <is>
          <t>516</t>
        </is>
      </c>
      <c r="F74" s="394" t="n">
        <v>14981.57</v>
      </c>
      <c r="G74" s="394" t="n">
        <v>3577.18</v>
      </c>
      <c r="H74" s="394" t="n">
        <v>211.32</v>
      </c>
      <c r="I74" s="394" t="n">
        <v>2833.46</v>
      </c>
      <c r="J74" s="394" t="n">
        <v>8359.610000000001</v>
      </c>
      <c r="K74" s="389" t="n">
        <v>8504.48</v>
      </c>
      <c r="L74" s="389" t="n">
        <v>1006.49</v>
      </c>
      <c r="M74" s="383" t="n">
        <v>0</v>
      </c>
      <c r="N74" s="383" t="n">
        <v>0</v>
      </c>
      <c r="O74" s="383" t="n">
        <v>0</v>
      </c>
      <c r="P74" s="383" t="n">
        <v>0</v>
      </c>
      <c r="Q74" s="373">
        <f>((K74-L74)+(M74-N74)+(O74-P74))</f>
        <v/>
      </c>
      <c r="R74" s="373">
        <f>SUM(G74,H74,I74,Q74)</f>
        <v/>
      </c>
    </row>
    <row r="75" customFormat="1" s="68">
      <c r="A75" s="11" t="inlineStr">
        <is>
          <t>Mar 02 - Mar 08 2026</t>
        </is>
      </c>
      <c r="B75" s="389" t="n">
        <v>15045.01</v>
      </c>
      <c r="C75" s="398">
        <f>(B75*0.06)*1.13</f>
        <v/>
      </c>
      <c r="D75" s="398">
        <f>(B75*0.02)*1.13</f>
        <v/>
      </c>
      <c r="E75" s="300" t="inlineStr">
        <is>
          <t>520</t>
        </is>
      </c>
      <c r="F75" s="394" t="n">
        <v>15899.01</v>
      </c>
      <c r="G75" s="394" t="n">
        <v>3850.88</v>
      </c>
      <c r="H75" s="394" t="n">
        <v>513.71</v>
      </c>
      <c r="I75" s="394" t="n">
        <v>2919.66</v>
      </c>
      <c r="J75" s="394" t="n">
        <v>8614.76</v>
      </c>
      <c r="K75" s="389" t="n">
        <v>8715.389999999999</v>
      </c>
      <c r="L75" s="389" t="n">
        <v>1008.5</v>
      </c>
      <c r="M75" s="389" t="n">
        <v>45.57</v>
      </c>
      <c r="N75" s="389" t="n">
        <v>15.38</v>
      </c>
      <c r="O75" s="389" t="n">
        <v>23.68</v>
      </c>
      <c r="P75" s="383" t="n">
        <v>0</v>
      </c>
      <c r="Q75" s="373">
        <f>((K75-L75)+(M75-N75)+(O75-P75))</f>
        <v/>
      </c>
      <c r="R75" s="373">
        <f>SUM(G75,H75,I75,Q75)</f>
        <v/>
      </c>
    </row>
    <row r="76" customFormat="1" s="68">
      <c r="A76" s="11" t="inlineStr">
        <is>
          <t>Mar 09 - Mar 15 2026</t>
        </is>
      </c>
      <c r="B76" s="389" t="n">
        <v>14325.5</v>
      </c>
      <c r="C76" s="398">
        <f>(B76*0.06)*1.13</f>
        <v/>
      </c>
      <c r="D76" s="398">
        <f>(B76*0.02)*1.13</f>
        <v/>
      </c>
      <c r="E76" s="300" t="inlineStr">
        <is>
          <t>501</t>
        </is>
      </c>
      <c r="F76" s="394" t="n">
        <v>15308.32</v>
      </c>
      <c r="G76" s="394" t="n">
        <v>4091.21</v>
      </c>
      <c r="H76" s="394" t="n">
        <v>314.74</v>
      </c>
      <c r="I76" s="394" t="n">
        <v>2842.76</v>
      </c>
      <c r="J76" s="394" t="n">
        <v>8059.61</v>
      </c>
      <c r="K76" s="389" t="n">
        <v>8105.03</v>
      </c>
      <c r="L76" s="389" t="n">
        <v>1047.64</v>
      </c>
      <c r="M76" s="389" t="n">
        <v>33.98</v>
      </c>
      <c r="N76" s="389" t="n">
        <v>14.58</v>
      </c>
      <c r="O76" s="383" t="n">
        <v>0</v>
      </c>
      <c r="P76" s="383" t="n">
        <v>0</v>
      </c>
      <c r="Q76" s="373">
        <f>((K76-L76)+(M76-N76)+(O76-P76))</f>
        <v/>
      </c>
      <c r="R76" s="373">
        <f>SUM(G76,H76,I76,Q76)</f>
        <v/>
      </c>
    </row>
    <row r="77" customFormat="1" s="68">
      <c r="A77" s="11" t="inlineStr">
        <is>
          <t>Mar 16 - Mar 22 2026</t>
        </is>
      </c>
      <c r="B77" s="389" t="n">
        <v>15858.82</v>
      </c>
      <c r="C77" s="398">
        <f>(B77*0.06)*1.13</f>
        <v/>
      </c>
      <c r="D77" s="398">
        <f>(B77*0.02)*1.13</f>
        <v/>
      </c>
      <c r="E77" s="300" t="inlineStr">
        <is>
          <t>511</t>
        </is>
      </c>
      <c r="F77" s="394" t="n">
        <v>16675.07</v>
      </c>
      <c r="G77" s="394" t="n">
        <v>3829.3</v>
      </c>
      <c r="H77" s="394" t="n">
        <v>271.45</v>
      </c>
      <c r="I77" s="394" t="n">
        <v>2129.81</v>
      </c>
      <c r="J77" s="394" t="n">
        <v>10444.51</v>
      </c>
      <c r="K77" s="312" t="n">
        <v>10831.8</v>
      </c>
      <c r="L77" s="312" t="n">
        <v>1268.72</v>
      </c>
      <c r="M77" s="118" t="n">
        <v>97.54000000000001</v>
      </c>
      <c r="N77" s="118" t="n">
        <v>32.36</v>
      </c>
      <c r="O77" s="383" t="n">
        <v>0</v>
      </c>
      <c r="P77" s="383" t="n">
        <v>0</v>
      </c>
      <c r="Q77" s="373">
        <f>((K77-L77)+(M77-N77)+(O77-P77))</f>
        <v/>
      </c>
      <c r="R77" s="373">
        <f>SUM(G77,H77,I77,Q77)</f>
        <v/>
      </c>
    </row>
    <row r="78" customFormat="1" s="68">
      <c r="A78" s="11" t="inlineStr">
        <is>
          <t>Mar 23 - Mar 29 2026</t>
        </is>
      </c>
      <c r="B78" s="389" t="n">
        <v>17564.11</v>
      </c>
      <c r="C78" s="398">
        <f>(B78*0.06)*1.13</f>
        <v/>
      </c>
      <c r="D78" s="398">
        <f>(B78*0.02)*1.13</f>
        <v/>
      </c>
      <c r="E78" s="300" t="inlineStr">
        <is>
          <t>562</t>
        </is>
      </c>
      <c r="F78" s="394" t="n">
        <v>18516.18</v>
      </c>
      <c r="G78" s="394" t="n">
        <v>5526.11</v>
      </c>
      <c r="H78" s="394" t="n">
        <v>321.08</v>
      </c>
      <c r="I78" s="394" t="n">
        <v>2961.97</v>
      </c>
      <c r="J78" s="394" t="n">
        <v>9707.02</v>
      </c>
      <c r="K78" s="312" t="n">
        <v>9867.360000000001</v>
      </c>
      <c r="L78" s="312" t="n">
        <v>1144.98</v>
      </c>
      <c r="M78" s="118" t="n">
        <v>32.57</v>
      </c>
      <c r="N78" s="389" t="n">
        <v>0</v>
      </c>
      <c r="O78" s="383" t="n">
        <v>0</v>
      </c>
      <c r="P78" s="383" t="n">
        <v>0</v>
      </c>
      <c r="Q78" s="373">
        <f>((K78-L78)+(M78-N78)+(O78-P78))</f>
        <v/>
      </c>
      <c r="R78" s="373">
        <f>SUM(G78,H78,I78,Q78)</f>
        <v/>
      </c>
    </row>
    <row r="79" customFormat="1" s="68">
      <c r="A79" s="11" t="inlineStr">
        <is>
          <t>Mar 30 - Apr 05 2026</t>
        </is>
      </c>
      <c r="B79" s="389" t="n">
        <v>16208.28</v>
      </c>
      <c r="C79" s="398">
        <f>(B79*0.06)*1.13</f>
        <v/>
      </c>
      <c r="D79" s="398">
        <f>(B79*0.02)*1.13</f>
        <v/>
      </c>
      <c r="E79" s="300" t="inlineStr">
        <is>
          <t>560</t>
        </is>
      </c>
      <c r="F79" s="394" t="n">
        <v>17025.96</v>
      </c>
      <c r="G79" s="394" t="n">
        <v>4792.39</v>
      </c>
      <c r="H79" s="394" t="n">
        <v>319.04</v>
      </c>
      <c r="I79" s="394" t="n">
        <v>2792.08</v>
      </c>
      <c r="J79" s="394" t="n">
        <v>9122.450000000001</v>
      </c>
      <c r="K79" s="389" t="n">
        <v>9188.34</v>
      </c>
      <c r="L79" s="389" t="n">
        <v>921.34</v>
      </c>
      <c r="M79" s="389" t="n">
        <v>52.35</v>
      </c>
      <c r="N79" s="389" t="n">
        <v>14.58</v>
      </c>
      <c r="O79" s="383" t="n">
        <v>0</v>
      </c>
      <c r="P79" s="383" t="n">
        <v>0</v>
      </c>
      <c r="Q79" s="373">
        <f>((K79-L79)+(M79-N79)+(O79-P79))</f>
        <v/>
      </c>
      <c r="R79" s="373">
        <f>SUM(G79,H79,I79,Q79)</f>
        <v/>
      </c>
    </row>
    <row r="80" customFormat="1" s="68">
      <c r="A80" s="2" t="inlineStr">
        <is>
          <t>Apr 06 - Apr 12</t>
        </is>
      </c>
      <c r="B80" s="389" t="n">
        <v>15776.96</v>
      </c>
      <c r="C80" s="398">
        <f>(B80*0.06)*1.13</f>
        <v/>
      </c>
      <c r="D80" s="398">
        <f>(B80*0.02)*1.13</f>
        <v/>
      </c>
      <c r="E80" s="322" t="inlineStr">
        <is>
          <t>554</t>
        </is>
      </c>
      <c r="F80" s="550" t="n">
        <v>16376.7</v>
      </c>
      <c r="G80" s="550" t="n">
        <v>4552.16</v>
      </c>
      <c r="H80" s="550" t="n">
        <v>207</v>
      </c>
      <c r="I80" s="550" t="n">
        <v>2981.46</v>
      </c>
      <c r="J80" s="550" t="n">
        <v>8636.08</v>
      </c>
      <c r="K80" s="389" t="n">
        <v>8904.370000000001</v>
      </c>
      <c r="L80" s="389" t="n">
        <v>887.4299999999999</v>
      </c>
      <c r="M80" s="389" t="n">
        <v>33.98</v>
      </c>
      <c r="N80" s="389" t="n">
        <v>14.58</v>
      </c>
      <c r="O80" s="383" t="n">
        <v>0</v>
      </c>
      <c r="P80" s="383" t="n">
        <v>0</v>
      </c>
      <c r="Q80" s="373">
        <f>((K80-L80)+(M80-N80)+(O80-P80))</f>
        <v/>
      </c>
      <c r="R80" s="373">
        <f>SUM(G80,H80,I80,Q80)</f>
        <v/>
      </c>
    </row>
    <row r="81" customFormat="1" s="68">
      <c r="A81" s="11" t="inlineStr">
        <is>
          <t>Apr 13 - Apr 19</t>
        </is>
      </c>
      <c r="B81" s="389" t="n">
        <v>15478.96</v>
      </c>
      <c r="C81" s="398">
        <f>(B81*0.06)*1.13</f>
        <v/>
      </c>
      <c r="D81" s="398">
        <f>(B81*0.02)*1.13</f>
        <v/>
      </c>
      <c r="E81" s="319" t="inlineStr">
        <is>
          <t>566</t>
        </is>
      </c>
      <c r="F81" s="401" t="n">
        <v>16400.84</v>
      </c>
      <c r="G81" s="402" t="n">
        <v>4919.09</v>
      </c>
      <c r="H81" s="402" t="n">
        <v>88.04000000000001</v>
      </c>
      <c r="I81" s="402" t="n">
        <v>2763.67</v>
      </c>
      <c r="J81" s="402" t="n">
        <v>8630.040000000001</v>
      </c>
      <c r="K81" s="389" t="n">
        <v>8603.139999999999</v>
      </c>
      <c r="L81" s="389" t="n">
        <v>938.58</v>
      </c>
      <c r="M81" s="389" t="n">
        <v>75.95999999999999</v>
      </c>
      <c r="N81" s="389" t="n">
        <v>32.36</v>
      </c>
      <c r="O81" s="383" t="n">
        <v>0</v>
      </c>
      <c r="P81" s="383" t="n">
        <v>0</v>
      </c>
      <c r="Q81" s="373">
        <f>((K81-L81)+(M81-N81)+(O81-P81))</f>
        <v/>
      </c>
      <c r="R81" s="373">
        <f>SUM(G81,H81,I81,Q81)</f>
        <v/>
      </c>
    </row>
    <row r="82" customFormat="1" s="68">
      <c r="A82" s="11" t="inlineStr">
        <is>
          <t>Apr 20 - Apr 26</t>
        </is>
      </c>
      <c r="B82" s="389" t="n">
        <v>16027.28</v>
      </c>
      <c r="C82" s="398">
        <f>(B82*0.06)*1.13</f>
        <v/>
      </c>
      <c r="D82" s="398">
        <f>(B82*0.02)*1.13</f>
        <v/>
      </c>
      <c r="E82" s="319" t="inlineStr">
        <is>
          <t>552</t>
        </is>
      </c>
      <c r="F82" s="401" t="n">
        <v>17021.79</v>
      </c>
      <c r="G82" s="402" t="n">
        <v>4501.84</v>
      </c>
      <c r="H82" s="402" t="n">
        <v>324.65</v>
      </c>
      <c r="I82" s="402" t="n">
        <v>3050.9</v>
      </c>
      <c r="J82" s="402" t="n">
        <v>9144.4</v>
      </c>
      <c r="K82" s="389" t="n">
        <v>9251.219999999999</v>
      </c>
      <c r="L82" s="389" t="n">
        <v>1133.92</v>
      </c>
      <c r="M82" s="389" t="n">
        <v>48.77</v>
      </c>
      <c r="N82" s="389" t="n">
        <v>16.18</v>
      </c>
      <c r="O82" s="383" t="n">
        <v>0</v>
      </c>
      <c r="P82" s="383" t="n">
        <v>0</v>
      </c>
      <c r="Q82" s="373">
        <f>((K82-L82)+(M82-N82)+(O82-P82))</f>
        <v/>
      </c>
      <c r="R82" s="373">
        <f>SUM(G82,H82,I82,Q82)</f>
        <v/>
      </c>
    </row>
    <row r="83" customFormat="1" s="68">
      <c r="A83" s="11" t="inlineStr">
        <is>
          <t>Apr 27 - May 03</t>
        </is>
      </c>
      <c r="B83" s="389" t="n">
        <v>16047.12</v>
      </c>
      <c r="C83" s="398">
        <f>(B83*0.06)*1.13</f>
        <v/>
      </c>
      <c r="D83" s="398">
        <f>(B83*0.02)*1.13</f>
        <v/>
      </c>
      <c r="E83" s="319" t="inlineStr">
        <is>
          <t>558</t>
        </is>
      </c>
      <c r="F83" s="401" t="n">
        <v>16696.35</v>
      </c>
      <c r="G83" s="402" t="n">
        <v>5758.91</v>
      </c>
      <c r="H83" s="402" t="n">
        <v>132.51</v>
      </c>
      <c r="I83" s="402" t="n">
        <v>2154.92</v>
      </c>
      <c r="J83" s="402" t="n">
        <v>8650.01</v>
      </c>
      <c r="K83" s="338" t="inlineStr">
        <is>
          <t>$8,660.02</t>
        </is>
      </c>
      <c r="L83" s="338" t="inlineStr">
        <is>
          <t>$659.24</t>
        </is>
      </c>
      <c r="M83" s="402" t="n">
        <v>0</v>
      </c>
      <c r="N83" s="402" t="n">
        <v>0</v>
      </c>
      <c r="O83" s="402" t="n">
        <v>0</v>
      </c>
      <c r="P83" s="402" t="n">
        <v>0</v>
      </c>
      <c r="Q83" s="373">
        <f>((K83-L83)+(M83-N83)+(O83-P83))</f>
        <v/>
      </c>
      <c r="R83" s="373">
        <f>SUM(G83,H83,I83,Q83)</f>
        <v/>
      </c>
      <c r="S83" s="402" t="n"/>
      <c r="T83" s="402" t="n"/>
      <c r="U83" s="402" t="n"/>
      <c r="V83" s="402" t="n"/>
      <c r="W83" s="402" t="n"/>
      <c r="X83" s="402" t="n"/>
      <c r="Y83" s="402" t="n"/>
      <c r="Z83" s="402" t="n"/>
      <c r="AA83" s="402" t="n"/>
      <c r="AB83" s="402" t="n"/>
      <c r="AC83" s="402" t="n"/>
    </row>
    <row r="84">
      <c r="A84" s="334" t="inlineStr">
        <is>
          <t>May 4 - May 10</t>
        </is>
      </c>
      <c r="B84" s="472" t="n">
        <v>16939.43</v>
      </c>
      <c r="C84" s="398">
        <f>(B84*0.06)*1.13</f>
        <v/>
      </c>
      <c r="D84" s="398">
        <f>(B84*0.02)*1.13</f>
        <v/>
      </c>
      <c r="E84" s="319" t="n">
        <v>562</v>
      </c>
      <c r="F84" s="401" t="n">
        <v>17719.41</v>
      </c>
      <c r="G84" s="402" t="n">
        <v>5868.17</v>
      </c>
      <c r="H84" s="402" t="n">
        <v>244.16</v>
      </c>
      <c r="I84" s="402" t="n">
        <v>3123.83</v>
      </c>
      <c r="J84" s="402" t="n">
        <v>8483.25</v>
      </c>
      <c r="K84" s="405" t="n">
        <v>8892.51</v>
      </c>
      <c r="L84" s="405" t="n">
        <v>1189.24</v>
      </c>
      <c r="M84" s="402" t="n">
        <v>0</v>
      </c>
      <c r="N84" s="402" t="n">
        <v>0</v>
      </c>
      <c r="O84" s="402" t="n">
        <v>0</v>
      </c>
      <c r="P84" s="402" t="n">
        <v>0</v>
      </c>
      <c r="Q84" s="373">
        <f>((K84-L84)+(M84-N84)+(O84-P84))</f>
        <v/>
      </c>
      <c r="R84" s="373">
        <f>SUM(G84,H84,I84,Q84)</f>
        <v/>
      </c>
      <c r="S84" s="402" t="n"/>
      <c r="T84" s="402" t="n"/>
      <c r="U84" s="402" t="n"/>
      <c r="V84" s="402" t="n"/>
      <c r="W84" s="402" t="n"/>
      <c r="X84" s="402" t="n"/>
      <c r="Y84" s="402" t="n"/>
      <c r="Z84" s="402" t="n"/>
      <c r="AA84" s="402" t="n"/>
      <c r="AB84" s="402" t="n"/>
      <c r="AC84" s="402" t="n"/>
    </row>
    <row r="85">
      <c r="A85" s="334" t="inlineStr">
        <is>
          <t>May 11 - May 17</t>
        </is>
      </c>
      <c r="B85" s="472" t="n"/>
      <c r="C85" s="398" t="n"/>
      <c r="D85" s="398" t="n"/>
      <c r="E85" s="319" t="n">
        <v>535</v>
      </c>
      <c r="F85" s="401" t="n">
        <v>15783.72</v>
      </c>
      <c r="G85" s="402" t="n">
        <v>4951.65</v>
      </c>
      <c r="H85" s="402" t="n">
        <v>287.54</v>
      </c>
      <c r="I85" s="402" t="n">
        <v>2308.83</v>
      </c>
      <c r="J85" s="402" t="n">
        <v>8235.700000000001</v>
      </c>
      <c r="K85" s="405" t="n"/>
      <c r="L85" s="405" t="n"/>
      <c r="M85" s="402" t="n"/>
      <c r="N85" s="402" t="n"/>
      <c r="O85" s="402" t="n"/>
      <c r="P85" s="402" t="n"/>
      <c r="Q85" s="448" t="n"/>
      <c r="R85" s="448" t="n"/>
      <c r="S85" s="402" t="n"/>
      <c r="T85" s="402" t="n"/>
      <c r="U85" s="402" t="n"/>
      <c r="V85" s="402" t="n"/>
      <c r="W85" s="402" t="n"/>
      <c r="X85" s="402" t="n"/>
      <c r="Y85" s="402" t="n"/>
      <c r="Z85" s="402" t="n"/>
      <c r="AA85" s="402" t="n"/>
      <c r="AB85" s="402" t="n"/>
      <c r="AC85" s="402" t="n"/>
    </row>
    <row r="86" ht="27.6" customHeight="1">
      <c r="A86" s="334" t="n"/>
      <c r="B86" s="472" t="n"/>
      <c r="C86" s="398" t="n"/>
      <c r="D86" s="398" t="n"/>
      <c r="E86" s="319" t="n"/>
      <c r="F86" s="401" t="n"/>
      <c r="G86" s="402" t="n"/>
      <c r="H86" s="402" t="n"/>
      <c r="I86" s="402" t="n"/>
      <c r="J86" s="402" t="n"/>
      <c r="K86" s="405" t="n"/>
      <c r="L86" s="405" t="n"/>
      <c r="M86" s="402" t="n"/>
      <c r="N86" s="402" t="n"/>
      <c r="O86" s="402" t="n"/>
      <c r="P86" s="402" t="n"/>
      <c r="Q86" s="448" t="n"/>
      <c r="R86" s="448" t="n"/>
      <c r="S86" s="402" t="n"/>
      <c r="T86" s="402" t="n"/>
      <c r="U86" s="402" t="n"/>
      <c r="V86" s="402" t="n"/>
      <c r="W86" s="402" t="n"/>
      <c r="X86" s="402" t="n"/>
      <c r="Y86" s="402" t="n"/>
      <c r="Z86" s="402" t="n"/>
      <c r="AA86" s="402" t="n"/>
      <c r="AB86" s="402" t="n"/>
      <c r="AC86" s="402" t="n"/>
    </row>
    <row r="87" ht="27.6" customHeight="1">
      <c r="A87" s="353" t="inlineStr">
        <is>
          <t>May 11 - May 17</t>
        </is>
      </c>
      <c r="B87" s="545" t="n">
        <v>16229.03</v>
      </c>
      <c r="C87" s="398">
        <f>(B85*0.06)*1.13</f>
        <v/>
      </c>
      <c r="D87" s="398">
        <f>(B85*0.02)*1.13</f>
        <v/>
      </c>
      <c r="E87" s="319" t="n">
        <v>552</v>
      </c>
      <c r="F87" s="401" t="n">
        <v>17857.86</v>
      </c>
      <c r="G87" s="402" t="n">
        <v>5469.41</v>
      </c>
      <c r="H87" s="402" t="n">
        <v>239.64</v>
      </c>
      <c r="I87" s="402" t="n">
        <v>2007.22</v>
      </c>
      <c r="J87" s="402" t="n">
        <v>10141.59</v>
      </c>
      <c r="K87" s="405" t="n">
        <v>10071.36</v>
      </c>
      <c r="L87" s="405" t="n">
        <v>1558.6</v>
      </c>
      <c r="M87" s="402" t="n">
        <v>0</v>
      </c>
      <c r="N87" s="402" t="n">
        <v>0</v>
      </c>
      <c r="O87" s="402" t="n">
        <v>0</v>
      </c>
      <c r="P87" s="402" t="n">
        <v>0</v>
      </c>
      <c r="Q87" s="448">
        <f>((K85-L85)+(M85-N85)+(O85-P85))</f>
        <v/>
      </c>
      <c r="R87" s="448">
        <f>SUM(G85,H85,I85,Q85)</f>
        <v/>
      </c>
      <c r="S87" s="402" t="n"/>
      <c r="T87" s="402" t="n"/>
      <c r="U87" s="402" t="n"/>
      <c r="V87" s="402" t="n"/>
      <c r="W87" s="402" t="n"/>
      <c r="X87" s="402" t="n"/>
      <c r="Y87" s="402" t="n"/>
      <c r="Z87" s="402" t="n"/>
      <c r="AA87" s="402" t="n"/>
      <c r="AB87" s="402" t="n"/>
      <c r="AC87" s="402" t="n"/>
    </row>
    <row r="88" ht="27.6" customHeight="1">
      <c r="A88" s="353" t="inlineStr">
        <is>
          <t>May 18 - May 24</t>
        </is>
      </c>
      <c r="B88" s="545" t="n">
        <v>15162.52</v>
      </c>
      <c r="C88" s="398">
        <f>(B86*0.06)*1.13</f>
        <v/>
      </c>
      <c r="D88" s="398">
        <f>(B86*0.02)*1.13</f>
        <v/>
      </c>
      <c r="E88" s="319" t="n">
        <v>533</v>
      </c>
      <c r="F88" s="401" t="n">
        <v>16072.88</v>
      </c>
      <c r="G88" s="402" t="n">
        <v>5188.95</v>
      </c>
      <c r="H88" s="402" t="n">
        <v>123.36</v>
      </c>
      <c r="I88" s="402" t="n">
        <v>2130.72</v>
      </c>
      <c r="J88" s="402" t="n">
        <v>8629.85</v>
      </c>
      <c r="K88" s="405" t="n">
        <v>9079.16</v>
      </c>
      <c r="L88" s="405" t="n">
        <v>1393.25</v>
      </c>
      <c r="M88" s="402" t="n">
        <v>33.58</v>
      </c>
      <c r="N88" s="402" t="n">
        <v>0</v>
      </c>
      <c r="O88" s="402" t="n">
        <v>0</v>
      </c>
      <c r="P88" s="402" t="n">
        <v>0</v>
      </c>
      <c r="Q88" s="448">
        <f>((K86-L86)+(M86-N86)+(O86-P86))</f>
        <v/>
      </c>
      <c r="R88" s="448">
        <f>SUM(G86,H86,I86,Q86)</f>
        <v/>
      </c>
      <c r="S88" s="402" t="n"/>
      <c r="T88" s="402" t="n"/>
      <c r="U88" s="402" t="n"/>
      <c r="V88" s="402" t="n"/>
      <c r="W88" s="402" t="n"/>
      <c r="X88" s="402" t="n"/>
      <c r="Y88" s="402" t="n"/>
      <c r="Z88" s="402" t="n"/>
      <c r="AA88" s="402" t="n"/>
      <c r="AB88" s="402" t="n"/>
      <c r="AC88" s="402" t="n"/>
    </row>
    <row r="89" ht="27.6" customHeight="1">
      <c r="A89" s="353" t="inlineStr">
        <is>
          <t>May 25 - May 31</t>
        </is>
      </c>
      <c r="B89" s="545" t="n"/>
      <c r="C89" s="398" t="n"/>
      <c r="D89" s="398" t="n"/>
      <c r="E89" s="319" t="n">
        <v>535</v>
      </c>
      <c r="F89" s="401" t="n">
        <v>15783.72</v>
      </c>
      <c r="G89" s="402" t="n">
        <v>4951.65</v>
      </c>
      <c r="H89" s="402" t="n">
        <v>287.54</v>
      </c>
      <c r="I89" s="402" t="n">
        <v>2308.83</v>
      </c>
      <c r="J89" s="402" t="n">
        <v>8235.700000000001</v>
      </c>
      <c r="K89" s="405" t="n"/>
      <c r="L89" s="405" t="n"/>
      <c r="M89" s="402" t="n"/>
      <c r="N89" s="402" t="n"/>
      <c r="O89" s="402" t="n"/>
      <c r="P89" s="402" t="n"/>
      <c r="Q89" s="448" t="n"/>
      <c r="R89" s="448" t="n"/>
      <c r="S89" s="402" t="n"/>
      <c r="T89" s="402" t="n"/>
      <c r="U89" s="402" t="n"/>
      <c r="V89" s="402" t="n"/>
      <c r="W89" s="402" t="n"/>
      <c r="X89" s="402" t="n"/>
      <c r="Y89" s="402" t="n"/>
      <c r="Z89" s="402" t="n"/>
      <c r="AA89" s="402" t="n"/>
      <c r="AB89" s="402" t="n"/>
      <c r="AC89" s="402" t="n"/>
    </row>
    <row r="90">
      <c r="A90" s="353" t="n"/>
      <c r="B90" s="545" t="n"/>
      <c r="C90" s="398" t="n"/>
      <c r="D90" s="398" t="n"/>
      <c r="E90" s="319" t="n"/>
      <c r="F90" s="401" t="n"/>
      <c r="G90" s="402" t="n"/>
      <c r="H90" s="402" t="n"/>
      <c r="I90" s="402" t="n"/>
      <c r="J90" s="402" t="n"/>
      <c r="K90" s="405" t="n"/>
      <c r="L90" s="405" t="n"/>
      <c r="M90" s="402" t="n"/>
      <c r="N90" s="402" t="n"/>
      <c r="O90" s="402" t="n"/>
      <c r="P90" s="402" t="n"/>
      <c r="Q90" s="448" t="n"/>
      <c r="R90" s="448" t="n"/>
      <c r="S90" s="402" t="n"/>
      <c r="T90" s="402" t="n"/>
      <c r="U90" s="402" t="n"/>
      <c r="V90" s="402" t="n"/>
      <c r="W90" s="402" t="n"/>
      <c r="X90" s="402" t="n"/>
      <c r="Y90" s="402" t="n"/>
      <c r="Z90" s="402" t="n"/>
      <c r="AA90" s="402" t="n"/>
      <c r="AB90" s="402" t="n"/>
      <c r="AC90" s="402" t="n"/>
    </row>
    <row r="91">
      <c r="A91" s="45" t="inlineStr">
        <is>
          <t>PK Queen St.</t>
        </is>
      </c>
      <c r="B91" s="358" t="n"/>
      <c r="C91" s="358" t="n"/>
      <c r="D91" s="355" t="n"/>
      <c r="E91" s="45" t="n"/>
      <c r="F91" s="45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</row>
    <row r="92">
      <c r="A92" s="30" t="inlineStr">
        <is>
          <t>Statement For Selected Period</t>
        </is>
      </c>
      <c r="B92" s="30" t="inlineStr">
        <is>
          <t>Total Revenue (Net Sales)</t>
        </is>
      </c>
      <c r="C92" s="30" t="inlineStr">
        <is>
          <t>Royalties
(6%) +HST</t>
        </is>
      </c>
      <c r="D92" s="30" t="inlineStr">
        <is>
          <t>Marketing
(2%) +HST</t>
        </is>
      </c>
      <c r="E92" s="30" t="n"/>
      <c r="F92" s="30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</row>
    <row r="93">
      <c r="A93" s="11" t="inlineStr">
        <is>
          <t>Mar 09 - Mar 15 2026</t>
        </is>
      </c>
      <c r="B93" s="389" t="n">
        <v>14325.5</v>
      </c>
      <c r="C93" s="398">
        <f>(B87*0.06)*1.13</f>
        <v/>
      </c>
      <c r="D93" s="398">
        <f>(B87*0.02)*1.13</f>
        <v/>
      </c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</row>
    <row r="94">
      <c r="A94" s="11" t="inlineStr">
        <is>
          <t>Mar 16 - Mar 22 2026</t>
        </is>
      </c>
      <c r="B94" s="389" t="n">
        <v>15858.82</v>
      </c>
      <c r="C94" s="398">
        <f>(B88*0.06)*1.13</f>
        <v/>
      </c>
      <c r="D94" s="398">
        <f>(B88*0.02)*1.13</f>
        <v/>
      </c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</row>
    <row r="95">
      <c r="A95" s="11" t="inlineStr">
        <is>
          <t>Mar 23 - Mar 29 2026</t>
        </is>
      </c>
      <c r="B95" s="389" t="n">
        <v>17564.11</v>
      </c>
      <c r="C95" s="398">
        <f>(B89*0.06)*1.13</f>
        <v/>
      </c>
      <c r="D95" s="398">
        <f>(B89*0.02)*1.13</f>
        <v/>
      </c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</row>
    <row r="96">
      <c r="A96" s="11" t="inlineStr">
        <is>
          <t>Mar 30 - Apr 05 2026</t>
        </is>
      </c>
      <c r="B96" s="389" t="n">
        <v>16208.28</v>
      </c>
      <c r="C96" s="398">
        <f>(B90*0.06)*1.13</f>
        <v/>
      </c>
      <c r="D96" s="398">
        <f>(B90*0.02)*1.13</f>
        <v/>
      </c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</row>
    <row r="97">
      <c r="A97" s="2" t="inlineStr">
        <is>
          <t>Apr 06 - Apr 12</t>
        </is>
      </c>
      <c r="B97" s="389" t="n">
        <v>15776.96</v>
      </c>
      <c r="C97" s="398">
        <f>(B91*0.06)*1.13</f>
        <v/>
      </c>
      <c r="D97" s="398">
        <f>(B91*0.02)*1.13</f>
        <v/>
      </c>
    </row>
    <row r="98">
      <c r="A98" s="11" t="inlineStr">
        <is>
          <t>Apr 13 - Apr 19</t>
        </is>
      </c>
      <c r="B98" s="389" t="n">
        <v>15478.96</v>
      </c>
      <c r="C98" s="398">
        <f>(B92*0.06)*1.13</f>
        <v/>
      </c>
      <c r="D98" s="398">
        <f>(B92*0.02)*1.13</f>
        <v/>
      </c>
    </row>
    <row r="99">
      <c r="A99" s="11" t="inlineStr">
        <is>
          <t>Apr 20 - Apr 26</t>
        </is>
      </c>
      <c r="B99" s="389" t="n">
        <v>16027.28</v>
      </c>
      <c r="C99" s="398">
        <f>(B93*0.06)*1.13</f>
        <v/>
      </c>
      <c r="D99" s="398">
        <f>(B93*0.02)*1.13</f>
        <v/>
      </c>
    </row>
    <row r="100">
      <c r="A100" s="11" t="inlineStr">
        <is>
          <t>Apr 27 - May 03</t>
        </is>
      </c>
      <c r="B100" s="389" t="n">
        <v>16047.12</v>
      </c>
      <c r="C100" s="398">
        <f>(B95*0.06)*1.13</f>
        <v/>
      </c>
      <c r="D100" s="398">
        <f>(B95*0.02)*1.13</f>
        <v/>
      </c>
    </row>
    <row r="101">
      <c r="A101" s="2" t="inlineStr">
        <is>
          <t>May 4 - May 10</t>
        </is>
      </c>
      <c r="B101" s="389" t="n">
        <v>16939.43</v>
      </c>
      <c r="C101" s="398">
        <f>(B96*0.06)*1.13</f>
        <v/>
      </c>
      <c r="D101" s="398">
        <f>(B96*0.02)*1.13</f>
        <v/>
      </c>
    </row>
    <row r="102">
      <c r="A102" s="11" t="inlineStr">
        <is>
          <t>May 11 - May 17</t>
        </is>
      </c>
      <c r="B102" s="389" t="n">
        <v>16229.03</v>
      </c>
      <c r="C102" s="398">
        <f>(B98*0.06)*1.13</f>
        <v/>
      </c>
      <c r="D102" s="398">
        <f>(B98*0.02)*1.13</f>
        <v/>
      </c>
    </row>
    <row r="103">
      <c r="A103" s="2" t="inlineStr">
        <is>
          <t>May 18 - May 24</t>
        </is>
      </c>
      <c r="B103" s="389" t="n">
        <v>15162.52</v>
      </c>
      <c r="C103" s="398" t="n">
        <v>1028.018856</v>
      </c>
      <c r="D103" s="398" t="n">
        <v>342.6729519999999</v>
      </c>
    </row>
    <row r="104">
      <c r="A104" s="11" t="n"/>
      <c r="B104" s="389" t="n"/>
      <c r="C104" s="398" t="n"/>
      <c r="D104" s="398" t="n"/>
    </row>
    <row r="105">
      <c r="A105" s="2" t="n"/>
      <c r="B105" s="389" t="n"/>
      <c r="C105" s="398" t="n"/>
      <c r="D105" s="398" t="n"/>
    </row>
    <row r="106">
      <c r="A106" s="11" t="n"/>
      <c r="B106" s="389" t="n"/>
      <c r="C106" s="398" t="n"/>
      <c r="D106" s="398" t="n"/>
    </row>
    <row r="107">
      <c r="A107" s="2" t="n"/>
      <c r="B107" s="389" t="n"/>
      <c r="C107" s="398" t="n"/>
      <c r="D107" s="398" t="n"/>
    </row>
    <row r="108">
      <c r="A108" s="11" t="n"/>
      <c r="B108" s="389" t="n"/>
      <c r="C108" s="398" t="n"/>
      <c r="D108" s="398" t="n"/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3"/>
  <sheetViews>
    <sheetView topLeftCell="A46" zoomScaleNormal="100" workbookViewId="0">
      <selection activeCell="E66" sqref="E66"/>
    </sheetView>
  </sheetViews>
  <sheetFormatPr baseColWidth="8" defaultRowHeight="14.4"/>
  <cols>
    <col width="28.109375" customWidth="1" min="1" max="1"/>
    <col width="24.33203125" customWidth="1" min="2" max="2"/>
    <col width="19.5546875" customWidth="1" min="3" max="5"/>
    <col width="18.5546875" customWidth="1" min="6" max="6"/>
    <col width="18.6640625" customWidth="1" min="7" max="7"/>
    <col width="17.33203125" customWidth="1" min="8" max="8"/>
    <col width="14.6640625" customWidth="1" min="9" max="9"/>
    <col width="16.88671875" customWidth="1" min="10" max="10"/>
    <col width="15.88671875" customWidth="1" min="11" max="11"/>
    <col width="15.33203125" customWidth="1" min="12" max="12"/>
    <col width="17.6640625" customWidth="1" min="13" max="13"/>
    <col width="17.109375" customWidth="1" min="14" max="14"/>
  </cols>
  <sheetData>
    <row r="1">
      <c r="A1" s="453" t="inlineStr">
        <is>
          <t>Queen KKW</t>
        </is>
      </c>
      <c r="B1" s="358" t="n"/>
      <c r="C1" s="358" t="n"/>
      <c r="D1" s="355" t="n"/>
      <c r="E1" s="453" t="n"/>
      <c r="F1" s="453" t="n"/>
      <c r="G1" s="382" t="n"/>
      <c r="H1" s="382" t="n"/>
      <c r="I1" s="382" t="n"/>
      <c r="J1" s="382" t="n"/>
      <c r="K1" s="382" t="n"/>
      <c r="L1" s="382" t="n"/>
      <c r="M1" s="382" t="n"/>
      <c r="N1" s="382" t="n"/>
      <c r="O1" s="382" t="n"/>
    </row>
    <row r="2" ht="28.2" customHeight="1">
      <c r="A2" s="454" t="inlineStr">
        <is>
          <t>Statement For Selected Period</t>
        </is>
      </c>
      <c r="B2" s="454" t="inlineStr">
        <is>
          <t>Total Revenue (Net Sales)</t>
        </is>
      </c>
      <c r="C2" s="454" t="inlineStr">
        <is>
          <t>Royalties
(6%) +HST</t>
        </is>
      </c>
      <c r="D2" s="454" t="inlineStr">
        <is>
          <t>Marketing
(2%) +HST</t>
        </is>
      </c>
      <c r="E2" s="454" t="inlineStr">
        <is>
          <t>Bill Count</t>
        </is>
      </c>
      <c r="F2" s="454" t="inlineStr">
        <is>
          <t>POS Total</t>
        </is>
      </c>
      <c r="G2" s="388" t="inlineStr">
        <is>
          <t>In-Store</t>
        </is>
      </c>
      <c r="H2" s="388" t="inlineStr">
        <is>
          <t>Skip</t>
        </is>
      </c>
      <c r="I2" s="388" t="inlineStr">
        <is>
          <t>DD</t>
        </is>
      </c>
      <c r="J2" s="388" t="inlineStr">
        <is>
          <t>Uber (TB)</t>
        </is>
      </c>
      <c r="K2" s="388" t="inlineStr">
        <is>
          <t>Uber (Rev)</t>
        </is>
      </c>
      <c r="L2" s="388" t="inlineStr">
        <is>
          <t>Uber (Marketing)</t>
        </is>
      </c>
      <c r="M2" s="388" t="inlineStr">
        <is>
          <t>Final Uber</t>
        </is>
      </c>
      <c r="N2" s="388" t="inlineStr">
        <is>
          <t>Total</t>
        </is>
      </c>
      <c r="O2" s="382" t="n"/>
    </row>
    <row r="3">
      <c r="A3" s="382" t="inlineStr">
        <is>
          <t>May 12 - May 18 2025</t>
        </is>
      </c>
      <c r="B3" s="391" t="n">
        <v>664.16</v>
      </c>
      <c r="C3" s="399">
        <f>(B3*0.06)*1.13</f>
        <v/>
      </c>
      <c r="D3" s="399">
        <f>(B3*0.02)*1.13</f>
        <v/>
      </c>
      <c r="E3" s="556" t="n"/>
      <c r="F3" s="557" t="n">
        <v>664.16</v>
      </c>
      <c r="G3" s="391" t="n">
        <v>664.16</v>
      </c>
      <c r="H3" s="389" t="n"/>
      <c r="I3" s="389" t="n"/>
      <c r="J3" s="389" t="n"/>
      <c r="K3" s="558" t="n"/>
      <c r="L3" s="558" t="n"/>
      <c r="M3" s="382" t="n"/>
      <c r="N3" s="382">
        <f>SUM(G3,H3,I3,M3)</f>
        <v/>
      </c>
      <c r="O3" s="559" t="n"/>
    </row>
    <row r="4">
      <c r="A4" s="382" t="inlineStr">
        <is>
          <t>May 19 - May 25 2025</t>
        </is>
      </c>
      <c r="B4" s="389" t="n">
        <v>1547.11</v>
      </c>
      <c r="C4" s="399">
        <f>(B4*0.06)*1.13</f>
        <v/>
      </c>
      <c r="D4" s="399">
        <f>(B4*0.02)*1.13</f>
        <v/>
      </c>
      <c r="E4" s="399" t="n"/>
      <c r="F4" s="382" t="n"/>
      <c r="G4" s="391" t="n"/>
      <c r="H4" s="118" t="n"/>
      <c r="I4" s="118" t="n"/>
      <c r="J4" s="11" t="n"/>
      <c r="K4" s="382" t="n"/>
      <c r="L4" s="382" t="n"/>
      <c r="M4" s="382" t="n"/>
      <c r="N4" s="382" t="n"/>
      <c r="O4" s="382" t="n"/>
    </row>
    <row r="5">
      <c r="A5" s="382" t="inlineStr">
        <is>
          <t>May 26 - June 01 2025</t>
        </is>
      </c>
      <c r="B5" s="389" t="n">
        <v>2799.9</v>
      </c>
      <c r="C5" s="399">
        <f>(B5*0.06)*1.13</f>
        <v/>
      </c>
      <c r="D5" s="399">
        <f>(B5*0.02)*1.13</f>
        <v/>
      </c>
      <c r="E5" s="399" t="n"/>
      <c r="F5" s="389" t="n">
        <v>2799.9</v>
      </c>
      <c r="G5" s="389" t="n">
        <v>2799.9</v>
      </c>
      <c r="H5" s="382" t="n"/>
      <c r="I5" s="382" t="n"/>
      <c r="J5" s="382" t="n"/>
      <c r="K5" s="383" t="n">
        <v>291.93</v>
      </c>
      <c r="L5" s="382" t="n">
        <v>0</v>
      </c>
      <c r="M5" s="382">
        <f>K5-L5</f>
        <v/>
      </c>
      <c r="N5" s="382" t="n"/>
      <c r="O5" s="382" t="n"/>
    </row>
    <row r="6">
      <c r="A6" s="382" t="inlineStr">
        <is>
          <t>June 02 - June 08 2025</t>
        </is>
      </c>
      <c r="B6" s="389" t="n">
        <v>4365.58</v>
      </c>
      <c r="C6" s="399">
        <f>(B6*0.06)*1.13</f>
        <v/>
      </c>
      <c r="D6" s="399">
        <f>(B6*0.02)*1.13</f>
        <v/>
      </c>
      <c r="E6" s="399" t="n"/>
      <c r="F6" s="389" t="n">
        <v>4365.58</v>
      </c>
      <c r="G6" s="389" t="n">
        <v>4365.58</v>
      </c>
      <c r="H6" s="382" t="n"/>
      <c r="I6" s="382" t="n"/>
      <c r="J6" s="382" t="n"/>
      <c r="K6" s="390" t="n">
        <v>1235.52</v>
      </c>
      <c r="L6" s="383" t="n">
        <v>105.1</v>
      </c>
      <c r="M6" s="382">
        <f>K6-L6</f>
        <v/>
      </c>
      <c r="N6" s="382" t="n"/>
      <c r="O6" s="382" t="n"/>
    </row>
    <row r="7">
      <c r="A7" s="382" t="inlineStr">
        <is>
          <t>June 09 - June 15 2025</t>
        </is>
      </c>
      <c r="B7" s="389" t="n">
        <v>4947.29</v>
      </c>
      <c r="C7" s="399">
        <f>(B7*0.06)*1.13</f>
        <v/>
      </c>
      <c r="D7" s="399">
        <f>(B7*0.02)*1.13</f>
        <v/>
      </c>
      <c r="E7" s="399" t="n"/>
      <c r="F7" s="11" t="n"/>
      <c r="G7" s="389" t="n">
        <v>4947.29</v>
      </c>
      <c r="H7" s="382" t="n"/>
      <c r="I7" s="382" t="n"/>
      <c r="J7" s="382" t="n"/>
      <c r="K7" s="390" t="n">
        <v>1186.64</v>
      </c>
      <c r="L7" s="383" t="n">
        <v>86.8</v>
      </c>
      <c r="M7" s="382">
        <f>K7-L7</f>
        <v/>
      </c>
      <c r="N7" s="382" t="n"/>
      <c r="O7" s="382" t="n"/>
    </row>
    <row r="8">
      <c r="A8" s="382" t="inlineStr">
        <is>
          <t>June 16 - June 22 2025</t>
        </is>
      </c>
      <c r="B8" s="389" t="n">
        <v>4793.11</v>
      </c>
      <c r="C8" s="399">
        <f>(B8*0.06)*1.13</f>
        <v/>
      </c>
      <c r="D8" s="399">
        <f>(B8*0.02)*1.13</f>
        <v/>
      </c>
      <c r="E8" s="399" t="n"/>
      <c r="F8" s="11" t="n"/>
      <c r="G8" s="389" t="n">
        <v>4793.11</v>
      </c>
      <c r="H8" s="382" t="n"/>
      <c r="I8" s="382" t="n"/>
      <c r="J8" s="382" t="n"/>
      <c r="K8" s="390" t="n">
        <v>1830.45</v>
      </c>
      <c r="L8" s="383" t="n">
        <v>70.2</v>
      </c>
      <c r="M8" s="382">
        <f>K8-L8</f>
        <v/>
      </c>
      <c r="N8" s="382" t="n"/>
      <c r="O8" s="382" t="n"/>
    </row>
    <row r="9">
      <c r="A9" s="382" t="inlineStr">
        <is>
          <t>June 23 - June 29 2025</t>
        </is>
      </c>
      <c r="B9" s="389" t="n">
        <v>5624.88</v>
      </c>
      <c r="C9" s="399">
        <f>(B9*0.06)*1.13</f>
        <v/>
      </c>
      <c r="D9" s="399">
        <f>(B9*0.02)*1.13</f>
        <v/>
      </c>
      <c r="E9" s="399" t="n"/>
      <c r="F9" s="11" t="n"/>
      <c r="G9" s="391" t="n">
        <v>5624.88</v>
      </c>
      <c r="H9" s="382" t="n"/>
      <c r="I9" s="382" t="n"/>
      <c r="J9" s="382" t="n"/>
      <c r="K9" s="390" t="n">
        <v>1263.81</v>
      </c>
      <c r="L9" s="383" t="n">
        <v>99.44</v>
      </c>
      <c r="M9" s="382">
        <f>K9-L9</f>
        <v/>
      </c>
      <c r="N9" s="382" t="n"/>
      <c r="O9" s="382" t="n"/>
    </row>
    <row r="10">
      <c r="A10" s="382" t="inlineStr">
        <is>
          <t>June 30 - July 06 2025</t>
        </is>
      </c>
      <c r="B10" s="391" t="n">
        <v>6403.23</v>
      </c>
      <c r="C10" s="399">
        <f>(B10*0.06)*1.13</f>
        <v/>
      </c>
      <c r="D10" s="399">
        <f>(B10*0.02)*1.13</f>
        <v/>
      </c>
      <c r="E10" s="399" t="n"/>
      <c r="F10" s="391" t="n">
        <v>6403.23</v>
      </c>
      <c r="G10" s="391" t="n">
        <v>6403.23</v>
      </c>
      <c r="H10" s="382" t="n"/>
      <c r="I10" s="382" t="n"/>
      <c r="J10" s="382" t="n"/>
      <c r="K10" s="390" t="n">
        <v>1556.64</v>
      </c>
      <c r="L10" s="383" t="n">
        <v>79.56</v>
      </c>
      <c r="M10" s="382">
        <f>K10-L10</f>
        <v/>
      </c>
      <c r="N10" s="382" t="n"/>
      <c r="O10" s="382" t="n"/>
    </row>
    <row r="11">
      <c r="A11" s="394" t="inlineStr">
        <is>
          <t>July 07 - July 13 2025</t>
        </is>
      </c>
      <c r="B11" s="389" t="n">
        <v>6338.56</v>
      </c>
      <c r="C11" s="399">
        <f>(B11*0.06)*1.13</f>
        <v/>
      </c>
      <c r="D11" s="399">
        <f>(B11*0.02)*1.13</f>
        <v/>
      </c>
      <c r="E11" s="399" t="n"/>
      <c r="F11" s="389" t="n">
        <v>6338.56</v>
      </c>
      <c r="G11" s="389" t="n">
        <v>6338.56</v>
      </c>
      <c r="H11" s="382" t="n"/>
      <c r="I11" s="382" t="n"/>
      <c r="J11" s="382" t="n"/>
      <c r="K11" s="390" t="n">
        <v>1515.09</v>
      </c>
      <c r="L11" s="383" t="n">
        <v>105.05</v>
      </c>
      <c r="M11" s="382">
        <f>K11-L11</f>
        <v/>
      </c>
      <c r="N11" s="382" t="n"/>
      <c r="O11" s="382" t="n"/>
    </row>
    <row r="12">
      <c r="A12" s="394" t="inlineStr">
        <is>
          <t>July 14 - July 20 2025</t>
        </is>
      </c>
      <c r="B12" s="389" t="n">
        <v>6910.99</v>
      </c>
      <c r="C12" s="399">
        <f>(B12*0.06)*1.13</f>
        <v/>
      </c>
      <c r="D12" s="399">
        <f>(B12*0.02)*1.13</f>
        <v/>
      </c>
      <c r="E12" s="11" t="n">
        <v>292</v>
      </c>
      <c r="F12" s="389" t="n">
        <v>6910.99</v>
      </c>
      <c r="G12" s="389" t="n">
        <v>6910.99</v>
      </c>
      <c r="H12" s="382" t="n"/>
      <c r="I12" s="382" t="n"/>
      <c r="J12" s="382" t="n"/>
      <c r="K12" s="390" t="n">
        <v>972.39</v>
      </c>
      <c r="L12" s="383" t="n">
        <v>132.79</v>
      </c>
      <c r="M12" s="382">
        <f>K12-L12</f>
        <v/>
      </c>
      <c r="N12" s="382" t="n"/>
      <c r="O12" s="382" t="n"/>
    </row>
    <row r="13">
      <c r="A13" s="394" t="inlineStr">
        <is>
          <t>July 21 - July 27 2025</t>
        </is>
      </c>
      <c r="B13" s="11" t="n">
        <v>7603.96</v>
      </c>
      <c r="C13" s="399">
        <f>(B13*0.06)*1.13</f>
        <v/>
      </c>
      <c r="D13" s="399">
        <f>(B13*0.02)*1.13</f>
        <v/>
      </c>
      <c r="E13" s="11" t="n">
        <v>272</v>
      </c>
      <c r="F13" s="391" t="n">
        <v>7016.72</v>
      </c>
      <c r="G13" s="389" t="n">
        <v>5957.03</v>
      </c>
      <c r="H13" s="382" t="n"/>
      <c r="I13" s="382" t="n"/>
      <c r="J13" s="389" t="n">
        <v>1059.69</v>
      </c>
      <c r="K13" s="390" t="n">
        <v>1791.65</v>
      </c>
      <c r="L13" s="383" t="n">
        <v>144.72</v>
      </c>
      <c r="M13" s="382">
        <f>K13-L13</f>
        <v/>
      </c>
      <c r="N13" s="382">
        <f>SUM(G13,H13,I13,M13)</f>
        <v/>
      </c>
      <c r="O13" s="382" t="n"/>
    </row>
    <row r="14">
      <c r="A14" s="394" t="inlineStr">
        <is>
          <t>July 28 - Aug 03 2025</t>
        </is>
      </c>
      <c r="B14" s="11" t="n">
        <v>7021.719999999999</v>
      </c>
      <c r="C14" s="399">
        <f>(B14*0.06)*1.13</f>
        <v/>
      </c>
      <c r="D14" s="399">
        <f>(B14*0.02)*1.13</f>
        <v/>
      </c>
      <c r="E14" s="11" t="n">
        <v>295</v>
      </c>
      <c r="F14" s="391" t="n">
        <v>7104.35</v>
      </c>
      <c r="G14" s="389" t="n">
        <v>5850.61</v>
      </c>
      <c r="H14" s="382" t="n"/>
      <c r="I14" s="382" t="n"/>
      <c r="J14" s="389" t="n">
        <v>1253.74</v>
      </c>
      <c r="K14" s="390" t="n">
        <v>1310.71</v>
      </c>
      <c r="L14" s="383" t="n">
        <v>139.6</v>
      </c>
      <c r="M14" s="382">
        <f>K14-L14</f>
        <v/>
      </c>
      <c r="N14" s="382">
        <f>SUM(G14,H14,I14,M14)</f>
        <v/>
      </c>
      <c r="O14" s="382" t="n"/>
    </row>
    <row r="15">
      <c r="A15" s="394" t="inlineStr">
        <is>
          <t>Aug 04 - Aug 10 2025</t>
        </is>
      </c>
      <c r="B15" s="11" t="n">
        <v>9389.619999999999</v>
      </c>
      <c r="C15" s="399">
        <f>(B15*0.06)*1.13</f>
        <v/>
      </c>
      <c r="D15" s="399">
        <f>(B15*0.02)*1.13</f>
        <v/>
      </c>
      <c r="E15" s="11" t="n">
        <v>362</v>
      </c>
      <c r="F15" s="391" t="n">
        <v>9626.57</v>
      </c>
      <c r="G15" s="389" t="n">
        <v>7180.12</v>
      </c>
      <c r="H15" s="382" t="n"/>
      <c r="I15" s="389" t="n">
        <v>513.74</v>
      </c>
      <c r="J15" s="389" t="n">
        <v>1932.71</v>
      </c>
      <c r="K15" s="390" t="n">
        <v>1857.15</v>
      </c>
      <c r="L15" s="383" t="n">
        <v>161.39</v>
      </c>
      <c r="M15" s="382">
        <f>K15-L15</f>
        <v/>
      </c>
      <c r="N15" s="382">
        <f>SUM(G15,H15,I15,M15)</f>
        <v/>
      </c>
      <c r="O15" s="382" t="n"/>
    </row>
    <row r="16">
      <c r="A16" s="394" t="inlineStr">
        <is>
          <t>Aug 11 - Aug 17 2025</t>
        </is>
      </c>
      <c r="B16" s="11" t="n">
        <v>7673.65</v>
      </c>
      <c r="C16" s="399">
        <f>(B16*0.06)*1.13</f>
        <v/>
      </c>
      <c r="D16" s="399">
        <f>(B16*0.02)*1.13</f>
        <v/>
      </c>
      <c r="E16" s="11" t="n">
        <v>320</v>
      </c>
      <c r="F16" s="391" t="n">
        <v>7809.76</v>
      </c>
      <c r="G16" s="389" t="n">
        <v>6042.25</v>
      </c>
      <c r="H16" s="382" t="n"/>
      <c r="I16" s="389" t="n">
        <v>217.4</v>
      </c>
      <c r="J16" s="389" t="n">
        <v>1550.11</v>
      </c>
      <c r="K16" s="390" t="n">
        <v>1568.7</v>
      </c>
      <c r="L16" s="383" t="n">
        <v>154.7</v>
      </c>
      <c r="M16" s="382">
        <f>K16-L16</f>
        <v/>
      </c>
      <c r="N16" s="382">
        <f>SUM(G16,H16,I16,M16)</f>
        <v/>
      </c>
      <c r="O16" s="382" t="n"/>
    </row>
    <row r="17">
      <c r="A17" s="394" t="inlineStr">
        <is>
          <t>Aug 18 - Aug 24 2025</t>
        </is>
      </c>
      <c r="B17" s="11" t="n">
        <v>7636.43</v>
      </c>
      <c r="C17" s="399">
        <f>(B17*0.06)*1.13</f>
        <v/>
      </c>
      <c r="D17" s="399">
        <f>(B17*0.02)*1.13</f>
        <v/>
      </c>
      <c r="E17" s="11" t="n">
        <v>327</v>
      </c>
      <c r="F17" s="391" t="n">
        <v>7730.38</v>
      </c>
      <c r="G17" s="389" t="n">
        <v>5813.68</v>
      </c>
      <c r="H17" s="382" t="n"/>
      <c r="I17" s="389" t="n">
        <v>111.05</v>
      </c>
      <c r="J17" s="389" t="n">
        <v>1805.65</v>
      </c>
      <c r="K17" s="390" t="n">
        <v>1849.11</v>
      </c>
      <c r="L17" s="383" t="n">
        <v>137.41</v>
      </c>
      <c r="M17" s="382">
        <f>K17-L17</f>
        <v/>
      </c>
      <c r="N17" s="382">
        <f>SUM(G17,H17,I17,M17)</f>
        <v/>
      </c>
      <c r="O17" s="382" t="n"/>
    </row>
    <row r="18">
      <c r="A18" s="394" t="inlineStr">
        <is>
          <t>Aug 25 - Aug 31 2025</t>
        </is>
      </c>
      <c r="B18" s="11" t="n">
        <v>9006.58</v>
      </c>
      <c r="C18" s="399">
        <f>(B18*0.06)*1.13</f>
        <v/>
      </c>
      <c r="D18" s="399">
        <f>(B18*0.02)*1.13</f>
        <v/>
      </c>
      <c r="E18" s="11" t="n">
        <v>355</v>
      </c>
      <c r="F18" s="391" t="n">
        <v>9233.719999999999</v>
      </c>
      <c r="G18" s="389" t="n">
        <v>7099.5</v>
      </c>
      <c r="H18" s="382" t="n"/>
      <c r="I18" s="389" t="n">
        <v>242.59</v>
      </c>
      <c r="J18" s="389" t="n">
        <v>1891.63</v>
      </c>
      <c r="K18" s="390" t="n">
        <v>1814.57</v>
      </c>
      <c r="L18" s="383" t="n">
        <v>150.08</v>
      </c>
      <c r="M18" s="382">
        <f>K18-L18</f>
        <v/>
      </c>
      <c r="N18" s="382">
        <f>SUM(G18,H18,I18,M18)</f>
        <v/>
      </c>
      <c r="O18" s="382" t="n"/>
    </row>
    <row r="19">
      <c r="A19" s="394" t="inlineStr">
        <is>
          <t>Sep 01 - Sep 07 2025</t>
        </is>
      </c>
      <c r="B19" s="11" t="n">
        <v>8431.4</v>
      </c>
      <c r="C19" s="399">
        <f>(B19*0.06)*1.13</f>
        <v/>
      </c>
      <c r="D19" s="399">
        <f>(B19*0.02)*1.13</f>
        <v/>
      </c>
      <c r="E19" s="11" t="n">
        <v>334</v>
      </c>
      <c r="F19" s="391" t="n">
        <v>8531.43</v>
      </c>
      <c r="G19" s="389" t="n">
        <v>6374</v>
      </c>
      <c r="H19" s="382" t="n"/>
      <c r="I19" s="389" t="n">
        <v>115.78</v>
      </c>
      <c r="J19" s="389" t="n">
        <v>2041.65</v>
      </c>
      <c r="K19" s="390" t="n">
        <v>2023.36</v>
      </c>
      <c r="L19" s="383" t="n">
        <v>81.73999999999999</v>
      </c>
      <c r="M19" s="382">
        <f>K19-L19</f>
        <v/>
      </c>
      <c r="N19" s="382">
        <f>SUM(G19,H19,I19,M19)</f>
        <v/>
      </c>
      <c r="O19" s="382" t="n"/>
    </row>
    <row r="20">
      <c r="A20" s="394" t="inlineStr">
        <is>
          <t>Sep 08 - Sep 14 2025</t>
        </is>
      </c>
      <c r="B20" s="11" t="n">
        <v>7397.469999999999</v>
      </c>
      <c r="C20" s="399">
        <f>(B20*0.06)*1.13</f>
        <v/>
      </c>
      <c r="D20" s="399">
        <f>(B20*0.02)*1.13</f>
        <v/>
      </c>
      <c r="E20" s="11" t="n">
        <v>311</v>
      </c>
      <c r="F20" s="391" t="n">
        <v>7386.62</v>
      </c>
      <c r="G20" s="389" t="n">
        <v>5610.51</v>
      </c>
      <c r="H20" s="382" t="n"/>
      <c r="I20" s="389" t="n">
        <v>72.90000000000001</v>
      </c>
      <c r="J20" s="389" t="n">
        <v>1703.21</v>
      </c>
      <c r="K20" s="396" t="n">
        <v>1798.56</v>
      </c>
      <c r="L20" s="397" t="n">
        <v>84.5</v>
      </c>
      <c r="M20" s="382">
        <f>K20-L20</f>
        <v/>
      </c>
      <c r="N20" s="382">
        <f>SUM(G20,H20,I20,M20)</f>
        <v/>
      </c>
      <c r="O20" s="382" t="n"/>
    </row>
    <row r="21">
      <c r="A21" s="394" t="inlineStr">
        <is>
          <t>Sep 15 - Sep 21 2025</t>
        </is>
      </c>
      <c r="B21" s="11" t="n">
        <v>7398.78</v>
      </c>
      <c r="C21" s="399">
        <f>(B21*0.06)*1.13</f>
        <v/>
      </c>
      <c r="D21" s="399">
        <f>(B21*0.02)*1.13</f>
        <v/>
      </c>
      <c r="E21" s="56" t="n">
        <v>323</v>
      </c>
      <c r="F21" s="391" t="n">
        <v>7513.93</v>
      </c>
      <c r="G21" s="389" t="n">
        <v>5237.2</v>
      </c>
      <c r="H21" s="382" t="n"/>
      <c r="I21" s="389" t="n">
        <v>217.16</v>
      </c>
      <c r="J21" s="389" t="n">
        <v>2059.57</v>
      </c>
      <c r="K21" s="390" t="n">
        <v>2026.84</v>
      </c>
      <c r="L21" s="383" t="n">
        <v>82.42</v>
      </c>
      <c r="M21" s="382">
        <f>K21-L21</f>
        <v/>
      </c>
      <c r="N21" s="382">
        <f>SUM(G21,H21,I21,M21)</f>
        <v/>
      </c>
      <c r="O21" s="382" t="n"/>
    </row>
    <row r="22">
      <c r="A22" s="394" t="inlineStr">
        <is>
          <t>Sep 22 - Sep 28 2025</t>
        </is>
      </c>
      <c r="B22" s="11" t="n">
        <v>7341.940000000001</v>
      </c>
      <c r="C22" s="399">
        <f>(B22*0.06)*1.13</f>
        <v/>
      </c>
      <c r="D22" s="399">
        <f>(B22*0.02)*1.13</f>
        <v/>
      </c>
      <c r="E22" s="11" t="n">
        <v>293</v>
      </c>
      <c r="F22" s="391" t="n">
        <v>7334.35</v>
      </c>
      <c r="G22" s="389" t="n">
        <v>5453.04</v>
      </c>
      <c r="H22" s="382" t="n"/>
      <c r="I22" s="389" t="n">
        <v>293.34</v>
      </c>
      <c r="J22" s="389" t="n">
        <v>1587.97</v>
      </c>
      <c r="K22" s="390" t="n">
        <v>1680.62</v>
      </c>
      <c r="L22" s="383" t="n">
        <v>85.06</v>
      </c>
      <c r="M22" s="382">
        <f>K22-L22</f>
        <v/>
      </c>
      <c r="N22" s="382">
        <f>SUM(G22,H22,I22,M22)</f>
        <v/>
      </c>
      <c r="O22" s="382" t="n"/>
    </row>
    <row r="23">
      <c r="A23" s="394" t="inlineStr">
        <is>
          <t>Sep 29 - Oct 05 2025</t>
        </is>
      </c>
      <c r="B23" s="11" t="n">
        <v>9463.4</v>
      </c>
      <c r="C23" s="399">
        <f>(B23*0.06)*1.13</f>
        <v/>
      </c>
      <c r="D23" s="399">
        <f>(B23*0.02)*1.13</f>
        <v/>
      </c>
      <c r="E23" s="11" t="n">
        <v>358</v>
      </c>
      <c r="F23" s="391" t="n">
        <v>9546.610000000001</v>
      </c>
      <c r="G23" s="389" t="n">
        <v>6246.2</v>
      </c>
      <c r="H23" s="382" t="n"/>
      <c r="I23" s="389" t="n">
        <v>494.71</v>
      </c>
      <c r="J23" s="389" t="n">
        <v>2805.7</v>
      </c>
      <c r="K23" s="390" t="n">
        <v>2804.51</v>
      </c>
      <c r="L23" s="383" t="n">
        <v>82.02</v>
      </c>
      <c r="M23" s="382">
        <f>K23-L23</f>
        <v/>
      </c>
      <c r="N23" s="382">
        <f>SUM(G23,H23,I23,M23)</f>
        <v/>
      </c>
      <c r="O23" s="382" t="n"/>
    </row>
    <row r="24">
      <c r="A24" s="394" t="inlineStr">
        <is>
          <t>Oct 6 - Oct 12 2025</t>
        </is>
      </c>
      <c r="B24" s="11" t="n">
        <v>8229.9</v>
      </c>
      <c r="C24" s="399">
        <f>(B24*0.06)*1.13</f>
        <v/>
      </c>
      <c r="D24" s="399">
        <f>(B24*0.02)*1.13</f>
        <v/>
      </c>
      <c r="E24" s="11" t="n">
        <v>340</v>
      </c>
      <c r="F24" s="391" t="n">
        <v>8237.23</v>
      </c>
      <c r="G24" s="389" t="n">
        <v>5767.37</v>
      </c>
      <c r="H24" s="382" t="n"/>
      <c r="I24" s="389" t="n">
        <v>739.5700000000001</v>
      </c>
      <c r="J24" s="389" t="n">
        <v>1730.29</v>
      </c>
      <c r="K24" s="383" t="n">
        <v>1807.58</v>
      </c>
      <c r="L24" s="383" t="n">
        <v>84.62</v>
      </c>
      <c r="M24" s="382">
        <f>K24-L24</f>
        <v/>
      </c>
      <c r="N24" s="382">
        <f>SUM(G24,H24,I24,M24)</f>
        <v/>
      </c>
      <c r="O24" s="382" t="n"/>
    </row>
    <row r="25">
      <c r="A25" s="394" t="inlineStr">
        <is>
          <t>Oct 13 - Oct 19 2025</t>
        </is>
      </c>
      <c r="B25" s="11" t="n">
        <v>7408.42</v>
      </c>
      <c r="C25" s="399">
        <f>(B25*0.06)*1.13</f>
        <v/>
      </c>
      <c r="D25" s="399">
        <f>(B25*0.02)*1.13</f>
        <v/>
      </c>
      <c r="E25" s="56" t="n"/>
      <c r="F25" s="394" t="n">
        <v>7456.76</v>
      </c>
      <c r="G25" s="394" t="n">
        <v>4598.46</v>
      </c>
      <c r="H25" s="394" t="n">
        <v>0</v>
      </c>
      <c r="I25" s="394" t="n">
        <v>454.67</v>
      </c>
      <c r="J25" s="394" t="n">
        <v>2403.63</v>
      </c>
      <c r="K25" s="447" t="n">
        <v>2457.81</v>
      </c>
      <c r="L25" s="447" t="n">
        <v>102.52</v>
      </c>
      <c r="M25" s="382">
        <f>K25-L25</f>
        <v/>
      </c>
      <c r="N25" s="382">
        <f>SUM(G25,H25,I25,M25)</f>
        <v/>
      </c>
      <c r="O25" s="382" t="n"/>
    </row>
    <row r="26">
      <c r="A26" s="394" t="inlineStr">
        <is>
          <t>Oct 20 - Oct 26 2025</t>
        </is>
      </c>
      <c r="B26" s="382" t="n">
        <v>9439.539999999999</v>
      </c>
      <c r="C26" s="399">
        <f>(B26*0.06)*1.13</f>
        <v/>
      </c>
      <c r="D26" s="399">
        <f>(B26*0.02)*1.13</f>
        <v/>
      </c>
      <c r="E26" s="56" t="n">
        <v>376</v>
      </c>
      <c r="F26" s="394" t="n">
        <v>9422.549999999999</v>
      </c>
      <c r="G26" s="394" t="n">
        <v>5553.79</v>
      </c>
      <c r="H26" s="394" t="n">
        <v>0</v>
      </c>
      <c r="I26" s="394" t="n">
        <v>210.9</v>
      </c>
      <c r="J26" s="394" t="n">
        <v>3657.86</v>
      </c>
      <c r="K26" s="383" t="n">
        <v>3782.69</v>
      </c>
      <c r="L26" s="383" t="n">
        <v>107.84</v>
      </c>
      <c r="M26" s="382">
        <f>K26-L26</f>
        <v/>
      </c>
      <c r="N26" s="382">
        <f>SUM(G26,H26,I26,M26)</f>
        <v/>
      </c>
      <c r="O26" s="382" t="n"/>
    </row>
    <row r="27">
      <c r="A27" s="394" t="inlineStr">
        <is>
          <t>Oct 27 - Nov 02 2025</t>
        </is>
      </c>
      <c r="B27" s="11" t="n">
        <v>9180.190000000001</v>
      </c>
      <c r="C27" s="399">
        <f>(B27*0.06)*1.13</f>
        <v/>
      </c>
      <c r="D27" s="399">
        <f>(B27*0.02)*1.13</f>
        <v/>
      </c>
      <c r="E27" s="300" t="n">
        <v>346</v>
      </c>
      <c r="F27" s="394" t="n">
        <v>8082.91</v>
      </c>
      <c r="G27" s="394" t="n">
        <v>6768.21</v>
      </c>
      <c r="H27" s="394" t="n">
        <v>0</v>
      </c>
      <c r="I27" s="394" t="n">
        <v>70.76000000000001</v>
      </c>
      <c r="J27" s="394" t="n">
        <v>1243.94</v>
      </c>
      <c r="K27" s="383" t="n">
        <v>2629.83</v>
      </c>
      <c r="L27" s="383" t="n">
        <v>288.61</v>
      </c>
      <c r="M27" s="382">
        <f>K27-L27</f>
        <v/>
      </c>
      <c r="N27" s="382">
        <f>SUM(G27,H27,I27,M27)</f>
        <v/>
      </c>
      <c r="O27" s="382" t="n"/>
    </row>
    <row r="28">
      <c r="A28" s="394" t="inlineStr">
        <is>
          <t>Nov 03 - Nov 09 2025</t>
        </is>
      </c>
      <c r="B28" s="11" t="n">
        <v>9148.1</v>
      </c>
      <c r="C28" s="399">
        <f>(B28*0.06)*1.13</f>
        <v/>
      </c>
      <c r="D28" s="399">
        <f>(B28*0.02)*1.13</f>
        <v/>
      </c>
      <c r="E28" s="394" t="inlineStr">
        <is>
          <t>346</t>
        </is>
      </c>
      <c r="F28" s="394" t="n">
        <v>8885.450000000001</v>
      </c>
      <c r="G28" s="394" t="n">
        <v>5311.78</v>
      </c>
      <c r="H28" s="394" t="n">
        <v>0</v>
      </c>
      <c r="I28" s="394" t="n">
        <v>242.31</v>
      </c>
      <c r="J28" s="394" t="n">
        <v>3331.36</v>
      </c>
      <c r="K28" s="466" t="n">
        <v>3914.5</v>
      </c>
      <c r="L28" s="466" t="n">
        <v>320.49</v>
      </c>
      <c r="M28" s="382">
        <f>K28-L28</f>
        <v/>
      </c>
      <c r="N28" s="382">
        <f>SUM(G28,H28,I28,M28)</f>
        <v/>
      </c>
      <c r="O28" s="382" t="n"/>
    </row>
    <row r="29">
      <c r="A29" s="394" t="inlineStr">
        <is>
          <t>Nov 10 - Nov 16 2025</t>
        </is>
      </c>
      <c r="B29" s="11" t="n">
        <v>7638.78</v>
      </c>
      <c r="C29" s="399">
        <f>(B29*0.06)*1.13</f>
        <v/>
      </c>
      <c r="D29" s="399">
        <f>(B29*0.02)*1.13</f>
        <v/>
      </c>
      <c r="E29" s="394" t="inlineStr">
        <is>
          <t>315</t>
        </is>
      </c>
      <c r="F29" s="394" t="n">
        <v>7967.119999999999</v>
      </c>
      <c r="G29" s="394" t="n">
        <v>3847.95</v>
      </c>
      <c r="H29" s="394" t="n">
        <v>0</v>
      </c>
      <c r="I29" s="394" t="n">
        <v>294.03</v>
      </c>
      <c r="J29" s="394" t="n">
        <v>3825.14</v>
      </c>
      <c r="K29" s="383" t="n">
        <v>3827.23</v>
      </c>
      <c r="L29" s="383" t="n">
        <v>330.43</v>
      </c>
      <c r="M29" s="382">
        <f>K29-L29</f>
        <v/>
      </c>
      <c r="N29" s="382">
        <f>SUM(G29,H29,I29,M29)</f>
        <v/>
      </c>
      <c r="O29" s="382" t="n"/>
    </row>
    <row r="30">
      <c r="A30" s="2" t="inlineStr">
        <is>
          <t>Nov 17 - Nov 23 2025</t>
        </is>
      </c>
      <c r="B30" s="11" t="n">
        <v>6968.05</v>
      </c>
      <c r="C30" s="399">
        <f>(B30*0.06)*1.13</f>
        <v/>
      </c>
      <c r="D30" s="399">
        <f>(B30*0.02)*1.13</f>
        <v/>
      </c>
      <c r="E30" s="394" t="inlineStr">
        <is>
          <t>305</t>
        </is>
      </c>
      <c r="F30" s="394" t="n">
        <v>7318.71</v>
      </c>
      <c r="G30" s="394" t="n">
        <v>4338.26</v>
      </c>
      <c r="H30" s="394" t="n">
        <v>0</v>
      </c>
      <c r="I30" s="394" t="n">
        <v>177.36</v>
      </c>
      <c r="J30" s="394" t="n">
        <v>2803.09</v>
      </c>
      <c r="K30" s="383" t="n">
        <v>2787.59</v>
      </c>
      <c r="L30" s="383" t="n">
        <v>335.16</v>
      </c>
      <c r="M30" s="382">
        <f>K30-L30</f>
        <v/>
      </c>
      <c r="N30" s="382">
        <f>SUM(G30,H30,I30,M30)</f>
        <v/>
      </c>
      <c r="O30" s="382" t="n"/>
    </row>
    <row r="31">
      <c r="A31" s="2" t="inlineStr">
        <is>
          <t>Nov 24 - Nov 30 2025</t>
        </is>
      </c>
      <c r="B31" s="11" t="n">
        <v>8782.190000000001</v>
      </c>
      <c r="C31" s="399">
        <f>(B31*0.06)*1.13</f>
        <v/>
      </c>
      <c r="D31" s="399">
        <f>(B31*0.02)*1.13</f>
        <v/>
      </c>
      <c r="E31" s="300" t="n">
        <v>335</v>
      </c>
      <c r="F31" s="394" t="n">
        <v>8999.43</v>
      </c>
      <c r="G31" s="394" t="n">
        <v>4761.98</v>
      </c>
      <c r="H31" s="394" t="n">
        <v>0</v>
      </c>
      <c r="I31" s="394" t="n">
        <v>306.06</v>
      </c>
      <c r="J31" s="394" t="n">
        <v>3931.39</v>
      </c>
      <c r="K31" s="383" t="n">
        <v>3939.5</v>
      </c>
      <c r="L31" s="383" t="n">
        <v>225.35</v>
      </c>
      <c r="M31" s="382">
        <f>K31-L31</f>
        <v/>
      </c>
      <c r="N31" s="382">
        <f>SUM(G31,H31,I31,M31)</f>
        <v/>
      </c>
      <c r="O31" s="382" t="n"/>
    </row>
    <row r="32">
      <c r="A32" s="394" t="inlineStr">
        <is>
          <t>Dec 01 - Dec 07 2025</t>
        </is>
      </c>
      <c r="B32" s="11" t="n">
        <v>7210.28</v>
      </c>
      <c r="C32" s="399">
        <f>(B32*0.06)*1.13</f>
        <v/>
      </c>
      <c r="D32" s="399">
        <f>(B32*0.02)*1.13</f>
        <v/>
      </c>
      <c r="E32" s="304" t="n">
        <v>282</v>
      </c>
      <c r="F32" s="394" t="n">
        <v>7372.099999999999</v>
      </c>
      <c r="G32" s="300" t="n">
        <v>4225.44</v>
      </c>
      <c r="H32" s="394" t="n">
        <v>0</v>
      </c>
      <c r="I32" s="394" t="n">
        <v>117.42</v>
      </c>
      <c r="J32" s="394" t="n">
        <v>3029.24</v>
      </c>
      <c r="K32" s="383" t="n">
        <v>3049.33</v>
      </c>
      <c r="L32" s="383" t="n">
        <v>181.91</v>
      </c>
      <c r="M32" s="382">
        <f>K32-L32</f>
        <v/>
      </c>
      <c r="N32" s="382">
        <f>SUM(G32,H32,I32,M32)</f>
        <v/>
      </c>
      <c r="O32" s="382" t="n"/>
    </row>
    <row r="33">
      <c r="A33" s="299" t="inlineStr">
        <is>
          <t>Dec 08 - Dec 14 2025</t>
        </is>
      </c>
      <c r="B33" s="11" t="n">
        <v>6637.349999999999</v>
      </c>
      <c r="C33" s="399">
        <f>(B33*0.06)*1.13</f>
        <v/>
      </c>
      <c r="D33" s="399">
        <f>(B33*0.02)*1.13</f>
        <v/>
      </c>
      <c r="E33" s="300" t="inlineStr">
        <is>
          <t>273</t>
        </is>
      </c>
      <c r="F33" s="394" t="n">
        <v>6771.76</v>
      </c>
      <c r="G33" s="394" t="n">
        <v>3568.66</v>
      </c>
      <c r="H33" s="394" t="n">
        <v>0</v>
      </c>
      <c r="I33" s="394" t="n">
        <v>310.62</v>
      </c>
      <c r="J33" s="394" t="n">
        <v>2892.48</v>
      </c>
      <c r="K33" s="383" t="n">
        <v>2944.47</v>
      </c>
      <c r="L33" s="383" t="n">
        <v>186.4</v>
      </c>
      <c r="M33" s="382">
        <f>K33-L33</f>
        <v/>
      </c>
      <c r="N33" s="382">
        <f>SUM(G33,H33,I33,M33)</f>
        <v/>
      </c>
      <c r="O33" s="382" t="n"/>
    </row>
    <row r="34">
      <c r="A34" s="2" t="inlineStr">
        <is>
          <t>Dec 15 - Dec 21 2025</t>
        </is>
      </c>
      <c r="B34" s="11" t="n">
        <v>7902.120000000001</v>
      </c>
      <c r="C34" s="399">
        <f>(B34*0.06)*1.13</f>
        <v/>
      </c>
      <c r="D34" s="399">
        <f>(B34*0.02)*1.13</f>
        <v/>
      </c>
      <c r="E34" s="300" t="inlineStr">
        <is>
          <t>343</t>
        </is>
      </c>
      <c r="F34" s="394" t="n">
        <v>8311.76</v>
      </c>
      <c r="G34" s="394" t="n">
        <v>4860.79</v>
      </c>
      <c r="H34" s="394" t="n">
        <v>0</v>
      </c>
      <c r="I34" s="394" t="n">
        <v>198.22</v>
      </c>
      <c r="J34" s="394" t="n">
        <v>3252.75</v>
      </c>
      <c r="K34" s="467" t="n">
        <v>3264.29</v>
      </c>
      <c r="L34" s="467" t="n">
        <v>421.18</v>
      </c>
      <c r="M34" s="382">
        <f>K34-L34</f>
        <v/>
      </c>
      <c r="N34" s="382">
        <f>SUM(G34,H34,I34,M34)</f>
        <v/>
      </c>
      <c r="O34" s="382" t="n"/>
    </row>
    <row r="35">
      <c r="A35" s="2" t="inlineStr">
        <is>
          <t>Dec 22 - Dec 28 2025</t>
        </is>
      </c>
      <c r="B35" s="11" t="n">
        <v>8908.59</v>
      </c>
      <c r="C35" s="399">
        <f>(B35*0.06)*1.13</f>
        <v/>
      </c>
      <c r="D35" s="399">
        <f>(B35*0.02)*1.13</f>
        <v/>
      </c>
      <c r="E35" s="304" t="n">
        <v>305</v>
      </c>
      <c r="F35" s="394" t="n">
        <v>9493.530000000001</v>
      </c>
      <c r="G35" s="394" t="n">
        <v>5368.84</v>
      </c>
      <c r="H35" s="394" t="n">
        <v>0</v>
      </c>
      <c r="I35" s="394" t="n">
        <v>765.87</v>
      </c>
      <c r="J35" s="394" t="n">
        <v>3358.82</v>
      </c>
      <c r="K35" s="383" t="n">
        <v>3446.18</v>
      </c>
      <c r="L35" s="383" t="n">
        <v>672.3</v>
      </c>
      <c r="M35" s="382">
        <f>K35-L35</f>
        <v/>
      </c>
      <c r="N35" s="382">
        <f>SUM(G35,H35,I35,M35)</f>
        <v/>
      </c>
      <c r="O35" s="382" t="n"/>
    </row>
    <row r="36">
      <c r="A36" s="11" t="inlineStr">
        <is>
          <t>Dec 29 - Jan 04 2026</t>
        </is>
      </c>
      <c r="B36" s="11" t="n">
        <v>7851.46</v>
      </c>
      <c r="C36" s="399">
        <f>(B36*0.06)*1.13</f>
        <v/>
      </c>
      <c r="D36" s="399">
        <f>(B36*0.02)*1.13</f>
        <v/>
      </c>
      <c r="E36" s="300" t="inlineStr">
        <is>
          <t>310</t>
        </is>
      </c>
      <c r="F36" s="394" t="n">
        <v>8472.26</v>
      </c>
      <c r="G36" s="394" t="n">
        <v>4894.42</v>
      </c>
      <c r="H36" s="394" t="n">
        <v>0</v>
      </c>
      <c r="I36" s="394" t="n">
        <v>508.39</v>
      </c>
      <c r="J36" s="56" t="n">
        <v>3069.45</v>
      </c>
      <c r="K36" s="383" t="n">
        <v>3053.95</v>
      </c>
      <c r="L36" s="383" t="n">
        <v>605.3</v>
      </c>
      <c r="M36" s="382">
        <f>K36-L36</f>
        <v/>
      </c>
      <c r="N36" s="382">
        <f>SUM(G36,H36,I36,M36)</f>
        <v/>
      </c>
      <c r="O36" s="382" t="n"/>
    </row>
    <row r="37">
      <c r="A37" s="11" t="inlineStr">
        <is>
          <t>Jan 05 - Jan 11 2026</t>
        </is>
      </c>
      <c r="B37" s="11" t="n">
        <v>7141.27</v>
      </c>
      <c r="C37" s="399">
        <f>(B37*0.06)*1.13</f>
        <v/>
      </c>
      <c r="D37" s="399">
        <f>(B37*0.02)*1.13</f>
        <v/>
      </c>
      <c r="E37" s="300" t="inlineStr">
        <is>
          <t>308</t>
        </is>
      </c>
      <c r="F37" s="56" t="n">
        <v>7857.99</v>
      </c>
      <c r="G37" s="394" t="n">
        <v>3981.81</v>
      </c>
      <c r="H37" s="394" t="n">
        <v>0</v>
      </c>
      <c r="I37" s="394" t="n">
        <v>253.79</v>
      </c>
      <c r="J37" s="394" t="n">
        <v>3622.39</v>
      </c>
      <c r="K37" s="383" t="n">
        <v>3568.23</v>
      </c>
      <c r="L37" s="383" t="n">
        <v>662.5599999999999</v>
      </c>
      <c r="M37" s="382">
        <f>K37-L37</f>
        <v/>
      </c>
      <c r="N37" s="382">
        <f>SUM(G37,H37,I37,M37)</f>
        <v/>
      </c>
      <c r="O37" s="382" t="n"/>
    </row>
    <row r="38">
      <c r="A38" s="11" t="inlineStr">
        <is>
          <t>Jan 12 - Jan 18 2026</t>
        </is>
      </c>
      <c r="B38" s="11" t="n">
        <v>5922.81</v>
      </c>
      <c r="C38" s="399">
        <f>(B38*0.06)*1.13</f>
        <v/>
      </c>
      <c r="D38" s="399">
        <f>(B38*0.02)*1.13</f>
        <v/>
      </c>
      <c r="E38" s="300" t="inlineStr">
        <is>
          <t>250</t>
        </is>
      </c>
      <c r="F38" s="394" t="n">
        <v>6428.8</v>
      </c>
      <c r="G38" s="394" t="n">
        <v>3249.17</v>
      </c>
      <c r="H38" s="394" t="n">
        <v>0</v>
      </c>
      <c r="I38" s="394" t="n">
        <v>364.72</v>
      </c>
      <c r="J38" s="394" t="n">
        <v>2814.91</v>
      </c>
      <c r="K38" s="383" t="n">
        <v>2904.47</v>
      </c>
      <c r="L38" s="383" t="n">
        <v>595.55</v>
      </c>
      <c r="M38" s="382">
        <f>K38-L38</f>
        <v/>
      </c>
      <c r="N38" s="382">
        <f>SUM(G38,H38,I38,M38)</f>
        <v/>
      </c>
      <c r="O38" s="382" t="n"/>
    </row>
    <row r="39">
      <c r="A39" s="30" t="inlineStr">
        <is>
          <t>Jan 19 - Jan 25 2026</t>
        </is>
      </c>
      <c r="B39" s="11" t="n">
        <v>6472.16</v>
      </c>
      <c r="C39" s="399">
        <f>(B39*0.06)*1.13</f>
        <v/>
      </c>
      <c r="D39" s="399">
        <f>(B39*0.02)*1.13</f>
        <v/>
      </c>
      <c r="E39" s="300" t="inlineStr">
        <is>
          <t>279</t>
        </is>
      </c>
      <c r="F39" s="394" t="n">
        <v>7110.51</v>
      </c>
      <c r="G39" s="394" t="n">
        <v>3635.23</v>
      </c>
      <c r="H39" s="394" t="n">
        <v>0</v>
      </c>
      <c r="I39" s="394" t="n">
        <v>226.12</v>
      </c>
      <c r="J39" s="394" t="n">
        <v>3249.16</v>
      </c>
      <c r="K39" s="383" t="n">
        <v>3249.16</v>
      </c>
      <c r="L39" s="383" t="n">
        <v>638.35</v>
      </c>
      <c r="M39" s="382">
        <f>K39-L39</f>
        <v/>
      </c>
      <c r="N39" s="382">
        <f>SUM(G39,H39,I39,M39)</f>
        <v/>
      </c>
      <c r="O39" s="382" t="n"/>
    </row>
    <row r="40">
      <c r="A40" s="30" t="inlineStr">
        <is>
          <t>Jan 26 - Feb 01 2026</t>
        </is>
      </c>
      <c r="B40" s="11" t="n">
        <v>6003.959999999999</v>
      </c>
      <c r="C40" s="399">
        <f>(B40*0.06)*1.13</f>
        <v/>
      </c>
      <c r="D40" s="399">
        <f>(B40*0.02)*1.13</f>
        <v/>
      </c>
      <c r="E40" s="300" t="inlineStr">
        <is>
          <t>253</t>
        </is>
      </c>
      <c r="F40" s="394" t="n">
        <v>6460.23</v>
      </c>
      <c r="G40" s="394" t="n">
        <v>3315.16</v>
      </c>
      <c r="H40" s="394" t="n">
        <v>0</v>
      </c>
      <c r="I40" s="394" t="n">
        <v>350.28</v>
      </c>
      <c r="J40" s="394" t="n">
        <v>2794.79</v>
      </c>
      <c r="K40" s="383" t="n">
        <v>2793.89</v>
      </c>
      <c r="L40" s="383" t="n">
        <v>455.37</v>
      </c>
      <c r="M40" s="382">
        <f>K40-L40</f>
        <v/>
      </c>
      <c r="N40" s="382">
        <f>SUM(G40,H40,I40,M40)</f>
        <v/>
      </c>
      <c r="O40" s="382" t="n"/>
    </row>
    <row r="41">
      <c r="A41" s="30" t="inlineStr">
        <is>
          <t>Feb 02 - Feb 08 2026</t>
        </is>
      </c>
      <c r="B41" s="11" t="n">
        <v>6300.74</v>
      </c>
      <c r="C41" s="399">
        <f>(B41*0.06)*1.13</f>
        <v/>
      </c>
      <c r="D41" s="399">
        <f>(B41*0.02)*1.13</f>
        <v/>
      </c>
      <c r="E41" s="300" t="inlineStr">
        <is>
          <t>280</t>
        </is>
      </c>
      <c r="F41" s="394" t="n">
        <v>6764.51</v>
      </c>
      <c r="G41" s="394" t="n">
        <v>3123.66</v>
      </c>
      <c r="H41" s="394" t="n">
        <v>0</v>
      </c>
      <c r="I41" s="394" t="n">
        <v>216.12</v>
      </c>
      <c r="J41" s="394" t="n">
        <v>3424.73</v>
      </c>
      <c r="K41" s="383" t="n">
        <v>3361.23</v>
      </c>
      <c r="L41" s="383" t="n">
        <v>400.27</v>
      </c>
      <c r="M41" s="382">
        <f>K41-L41</f>
        <v/>
      </c>
      <c r="N41" s="382">
        <f>SUM(G41,H41,I41,M41)</f>
        <v/>
      </c>
      <c r="O41" s="382" t="n"/>
    </row>
    <row r="42">
      <c r="A42" s="11" t="inlineStr">
        <is>
          <t>Feb 09 - Feb 15 2026</t>
        </is>
      </c>
      <c r="B42" s="11" t="n">
        <v>7769.29</v>
      </c>
      <c r="C42" s="399">
        <f>(B42*0.06)*1.13</f>
        <v/>
      </c>
      <c r="D42" s="399">
        <f>(B42*0.02)*1.13</f>
        <v/>
      </c>
      <c r="E42" s="300" t="inlineStr">
        <is>
          <t>329</t>
        </is>
      </c>
      <c r="F42" s="394" t="n">
        <v>7964.43</v>
      </c>
      <c r="G42" s="394" t="n">
        <v>4759.09</v>
      </c>
      <c r="H42" s="394" t="n">
        <v>0</v>
      </c>
      <c r="I42" s="394" t="n">
        <v>267.83</v>
      </c>
      <c r="J42" s="394" t="n">
        <v>2937.51</v>
      </c>
      <c r="K42" s="389" t="n">
        <v>3053.12</v>
      </c>
      <c r="L42" s="389" t="n">
        <v>310.75</v>
      </c>
      <c r="M42" s="382">
        <f>K42-L42</f>
        <v/>
      </c>
      <c r="N42" s="382">
        <f>SUM(G42,H42,I42,M42)</f>
        <v/>
      </c>
      <c r="O42" s="382" t="n"/>
    </row>
    <row r="43">
      <c r="A43" s="11" t="inlineStr">
        <is>
          <t>Feb 16 - Feb 22 2026</t>
        </is>
      </c>
      <c r="B43" s="11" t="n">
        <v>7537.25</v>
      </c>
      <c r="C43" s="399">
        <f>(B43*0.06)*1.13</f>
        <v/>
      </c>
      <c r="D43" s="399">
        <f>(B43*0.02)*1.13</f>
        <v/>
      </c>
      <c r="E43" s="300" t="inlineStr">
        <is>
          <t>308</t>
        </is>
      </c>
      <c r="F43" s="394" t="n">
        <v>7902.25</v>
      </c>
      <c r="G43" s="394" t="n">
        <v>4225.49</v>
      </c>
      <c r="H43" s="394" t="n">
        <v>0</v>
      </c>
      <c r="I43" s="394" t="n">
        <v>191.21</v>
      </c>
      <c r="J43" s="394" t="n">
        <v>3485.55</v>
      </c>
      <c r="K43" s="389" t="n">
        <v>3683.2</v>
      </c>
      <c r="L43" s="389" t="n">
        <v>562.65</v>
      </c>
      <c r="M43" s="382">
        <f>K43-L43</f>
        <v/>
      </c>
      <c r="N43" s="382">
        <f>SUM(G43,H43,I43,M43)</f>
        <v/>
      </c>
      <c r="O43" s="382" t="n"/>
    </row>
    <row r="44">
      <c r="A44" s="11" t="inlineStr">
        <is>
          <t>Feb 23 - Mar 1 2026</t>
        </is>
      </c>
      <c r="B44" s="11" t="n">
        <v>8615.560000000001</v>
      </c>
      <c r="C44" s="399">
        <f>(B44*0.06)*1.13</f>
        <v/>
      </c>
      <c r="D44" s="399">
        <f>(B44*0.02)*1.13</f>
        <v/>
      </c>
      <c r="E44" s="300" t="inlineStr">
        <is>
          <t>314</t>
        </is>
      </c>
      <c r="F44" s="394" t="n">
        <v>9149.830000000002</v>
      </c>
      <c r="G44" s="394" t="n">
        <v>3829.96</v>
      </c>
      <c r="H44" s="394" t="n">
        <v>0</v>
      </c>
      <c r="I44" s="394" t="n">
        <v>484.06</v>
      </c>
      <c r="J44" s="394" t="n">
        <v>4835.81</v>
      </c>
      <c r="K44" s="389" t="n">
        <v>4853.91</v>
      </c>
      <c r="L44" s="389" t="n">
        <v>552.37</v>
      </c>
      <c r="M44" s="382">
        <f>K44-L44</f>
        <v/>
      </c>
      <c r="N44" s="382">
        <f>SUM(G44,H44,I44,M44)</f>
        <v/>
      </c>
      <c r="O44" s="382" t="n"/>
    </row>
    <row r="45">
      <c r="A45" s="11" t="inlineStr">
        <is>
          <t>Mar 02 - Mar 08 2026</t>
        </is>
      </c>
      <c r="B45" s="11" t="n">
        <v>8023.57</v>
      </c>
      <c r="C45" s="399">
        <f>(B45*0.06)*1.13</f>
        <v/>
      </c>
      <c r="D45" s="399">
        <f>(B45*0.02)*1.13</f>
        <v/>
      </c>
      <c r="E45" s="300" t="inlineStr">
        <is>
          <t>310</t>
        </is>
      </c>
      <c r="F45" s="394" t="n">
        <v>8593.110000000001</v>
      </c>
      <c r="G45" s="394" t="n">
        <v>3258.45</v>
      </c>
      <c r="H45" s="394" t="n">
        <v>0</v>
      </c>
      <c r="I45" s="394" t="n">
        <v>562.46</v>
      </c>
      <c r="J45" s="394" t="n">
        <v>4772.2</v>
      </c>
      <c r="K45" s="389" t="n">
        <v>4808.99</v>
      </c>
      <c r="L45" s="389" t="n">
        <v>606.33</v>
      </c>
      <c r="M45" s="382">
        <f>K45-L45</f>
        <v/>
      </c>
      <c r="N45" s="382">
        <f>SUM(G45,H45,I45,M45)</f>
        <v/>
      </c>
      <c r="O45" s="382" t="n"/>
    </row>
    <row r="46">
      <c r="A46" s="11" t="inlineStr">
        <is>
          <t>Mar 09 - Mar 15 2026</t>
        </is>
      </c>
      <c r="B46" s="11" t="n">
        <v>9469.559999999999</v>
      </c>
      <c r="C46" s="399">
        <f>(B46*0.06)*1.13</f>
        <v/>
      </c>
      <c r="D46" s="399">
        <f>(B46*0.02)*1.13</f>
        <v/>
      </c>
      <c r="E46" s="300" t="inlineStr">
        <is>
          <t>349</t>
        </is>
      </c>
      <c r="F46" s="394" t="n">
        <v>10133.17</v>
      </c>
      <c r="G46" s="394" t="n">
        <v>4317.25</v>
      </c>
      <c r="H46" s="394" t="n">
        <v>0</v>
      </c>
      <c r="I46" s="394" t="n">
        <v>481.28</v>
      </c>
      <c r="J46" s="394" t="n">
        <v>5334.64</v>
      </c>
      <c r="K46" s="389" t="n">
        <v>5467.71</v>
      </c>
      <c r="L46" s="389" t="n">
        <v>796.6799999999999</v>
      </c>
      <c r="M46" s="382">
        <f>K46-L46</f>
        <v/>
      </c>
      <c r="N46" s="382">
        <f>SUM(G46,H46,I46,M46)</f>
        <v/>
      </c>
      <c r="O46" s="382" t="n"/>
    </row>
    <row r="47">
      <c r="A47" s="11" t="inlineStr">
        <is>
          <t>Mar 16 - Mar 22 2026</t>
        </is>
      </c>
      <c r="B47" s="11" t="n">
        <v>10550.93</v>
      </c>
      <c r="C47" s="399">
        <f>(B47*0.06)*1.13</f>
        <v/>
      </c>
      <c r="D47" s="399">
        <f>(B47*0.02)*1.13</f>
        <v/>
      </c>
      <c r="E47" s="300" t="inlineStr">
        <is>
          <t>393</t>
        </is>
      </c>
      <c r="F47" s="300" t="n">
        <v>11116.48</v>
      </c>
      <c r="G47" s="300" t="n">
        <v>5451.66</v>
      </c>
      <c r="H47" s="300" t="n">
        <v>0</v>
      </c>
      <c r="I47" s="300" t="n">
        <v>253.05</v>
      </c>
      <c r="J47" s="300" t="n">
        <v>5411.77</v>
      </c>
      <c r="K47" s="312" t="n">
        <v>5466.58</v>
      </c>
      <c r="L47" s="118" t="n">
        <v>620.36</v>
      </c>
      <c r="M47" s="382">
        <f>K47-L47</f>
        <v/>
      </c>
      <c r="N47" s="382">
        <f>SUM(G47,H47,I47,M47)</f>
        <v/>
      </c>
      <c r="O47" s="382" t="n"/>
    </row>
    <row r="48">
      <c r="A48" s="11" t="inlineStr">
        <is>
          <t>Mar 23 - Mar 29 2026</t>
        </is>
      </c>
      <c r="B48" s="11" t="n">
        <v>8077.93</v>
      </c>
      <c r="C48" s="399">
        <f>(B48*0.06)*1.13</f>
        <v/>
      </c>
      <c r="D48" s="399">
        <f>(B48*0.02)*1.13</f>
        <v/>
      </c>
      <c r="E48" s="300" t="inlineStr">
        <is>
          <t>339</t>
        </is>
      </c>
      <c r="F48" s="300" t="n">
        <v>8608.82</v>
      </c>
      <c r="G48" s="300" t="n">
        <v>4355.34</v>
      </c>
      <c r="H48" s="300" t="n">
        <v>0</v>
      </c>
      <c r="I48" s="300" t="n">
        <v>105.25</v>
      </c>
      <c r="J48" s="300" t="n">
        <v>4148.23</v>
      </c>
      <c r="K48" s="312" t="n">
        <v>4179.23</v>
      </c>
      <c r="L48" s="118" t="n">
        <v>561.89</v>
      </c>
      <c r="M48" s="382">
        <f>K48-L48</f>
        <v/>
      </c>
      <c r="N48" s="382">
        <f>SUM(G48,H48,I48,M48)</f>
        <v/>
      </c>
      <c r="O48" s="382" t="n"/>
    </row>
    <row r="49">
      <c r="A49" s="11" t="inlineStr">
        <is>
          <t>Mar 30 - Apr 05 2026</t>
        </is>
      </c>
      <c r="B49" s="11" t="n">
        <v>10135.13</v>
      </c>
      <c r="C49" s="399">
        <f>(B49*0.06)*1.13</f>
        <v/>
      </c>
      <c r="D49" s="399">
        <f>(B49*0.02)*1.13</f>
        <v/>
      </c>
      <c r="E49" s="300" t="inlineStr">
        <is>
          <t>404</t>
        </is>
      </c>
      <c r="F49" s="300" t="n">
        <v>10543.33</v>
      </c>
      <c r="G49" s="300" t="n">
        <v>6453.52</v>
      </c>
      <c r="H49" s="300" t="n">
        <v>0</v>
      </c>
      <c r="I49" s="300" t="n">
        <v>246.82</v>
      </c>
      <c r="J49" s="300" t="n">
        <v>3842.99</v>
      </c>
      <c r="K49" s="389" t="n">
        <v>3737.46</v>
      </c>
      <c r="L49" s="389" t="n">
        <v>302.67</v>
      </c>
      <c r="M49" s="382">
        <f>K49-L49</f>
        <v/>
      </c>
      <c r="N49" s="382">
        <f>SUM(G49,H49,I49,M49)</f>
        <v/>
      </c>
      <c r="O49" s="382" t="n"/>
    </row>
    <row r="50">
      <c r="A50" s="2" t="inlineStr">
        <is>
          <t>Apr 06 - Apr 12</t>
        </is>
      </c>
      <c r="B50" s="11" t="n">
        <v>9562.98</v>
      </c>
      <c r="C50" s="399">
        <f>(B50*0.06)*1.13</f>
        <v/>
      </c>
      <c r="D50" s="399">
        <f>(B50*0.02)*1.13</f>
        <v/>
      </c>
      <c r="E50" s="319" t="inlineStr">
        <is>
          <t>389</t>
        </is>
      </c>
      <c r="F50" s="319" t="n">
        <v>9594.34</v>
      </c>
      <c r="G50" s="319" t="n">
        <v>5524.19</v>
      </c>
      <c r="H50" s="319" t="n">
        <v>0</v>
      </c>
      <c r="I50" s="319" t="n">
        <v>446.79</v>
      </c>
      <c r="J50" s="319" t="n">
        <v>3623.36</v>
      </c>
      <c r="K50" s="389" t="n">
        <v>3753.17</v>
      </c>
      <c r="L50" s="389" t="n">
        <v>161.17</v>
      </c>
      <c r="M50" s="382">
        <f>K50-L50</f>
        <v/>
      </c>
      <c r="N50" s="382">
        <f>SUM(G50,H50,I50,M50)</f>
        <v/>
      </c>
      <c r="O50" s="382" t="n"/>
    </row>
    <row r="51">
      <c r="A51" s="11" t="inlineStr">
        <is>
          <t>Apr 13 - Apr 19</t>
        </is>
      </c>
      <c r="B51" s="11" t="n">
        <v>8161.77</v>
      </c>
      <c r="C51" s="399">
        <f>(B51*0.06)*1.13</f>
        <v/>
      </c>
      <c r="D51" s="399">
        <f>(B51*0.02)*1.13</f>
        <v/>
      </c>
      <c r="E51" s="323" t="inlineStr">
        <is>
          <t>359</t>
        </is>
      </c>
      <c r="F51" s="323" t="n">
        <v>8560.299999999999</v>
      </c>
      <c r="G51" s="323" t="n">
        <v>4582.37</v>
      </c>
      <c r="H51" s="323" t="n">
        <v>0</v>
      </c>
      <c r="I51" s="323" t="n">
        <v>507.78</v>
      </c>
      <c r="J51" s="323" t="n">
        <v>3470.15</v>
      </c>
      <c r="K51" s="389" t="n">
        <v>3435.89</v>
      </c>
      <c r="L51" s="389" t="n">
        <v>364.27</v>
      </c>
      <c r="M51" s="382">
        <f>K51-L51</f>
        <v/>
      </c>
      <c r="N51" s="382">
        <f>SUM(G51,H51,I51,M51)</f>
        <v/>
      </c>
      <c r="O51" s="382" t="n"/>
    </row>
    <row r="52">
      <c r="A52" s="11" t="inlineStr">
        <is>
          <t>Apr 20 - Apr 26</t>
        </is>
      </c>
      <c r="B52" s="11" t="n">
        <v>9410.119999999999</v>
      </c>
      <c r="C52" s="399">
        <f>(B52*0.06)*1.13</f>
        <v/>
      </c>
      <c r="D52" s="399">
        <f>(B52*0.02)*1.13</f>
        <v/>
      </c>
      <c r="E52" s="323" t="inlineStr">
        <is>
          <t>394</t>
        </is>
      </c>
      <c r="F52" s="323" t="n">
        <v>10746.86</v>
      </c>
      <c r="G52" s="323" t="n">
        <v>5093.59</v>
      </c>
      <c r="H52" s="323" t="n">
        <v>0</v>
      </c>
      <c r="I52" s="323" t="n">
        <v>308.13</v>
      </c>
      <c r="J52" s="323" t="n">
        <v>5345.14</v>
      </c>
      <c r="K52" s="389" t="n">
        <v>5336.49</v>
      </c>
      <c r="L52" s="389" t="n">
        <v>1328.09</v>
      </c>
      <c r="M52" s="382">
        <f>K52-L52</f>
        <v/>
      </c>
      <c r="N52" s="382">
        <f>SUM(G52,H52,I52,M52)</f>
        <v/>
      </c>
      <c r="O52" s="382" t="n"/>
    </row>
    <row r="53">
      <c r="A53" s="11" t="inlineStr">
        <is>
          <t>Apr 27 - May 03</t>
        </is>
      </c>
      <c r="B53" s="11" t="n">
        <v>10362.14</v>
      </c>
      <c r="C53" s="399">
        <f>(B53*0.06)*1.13</f>
        <v/>
      </c>
      <c r="D53" s="399">
        <f>(B53*0.02)*1.13</f>
        <v/>
      </c>
      <c r="E53" s="323" t="inlineStr">
        <is>
          <t>411</t>
        </is>
      </c>
      <c r="F53" s="323" t="n">
        <v>11626.19</v>
      </c>
      <c r="G53" s="323" t="n">
        <v>5978.6</v>
      </c>
      <c r="H53" s="323" t="n">
        <v>0</v>
      </c>
      <c r="I53" s="323" t="n">
        <v>386.3</v>
      </c>
      <c r="J53" s="323" t="n">
        <v>5261.29</v>
      </c>
      <c r="K53" s="339" t="inlineStr">
        <is>
          <t>$5,420.59</t>
        </is>
      </c>
      <c r="L53" s="339" t="inlineStr">
        <is>
          <t>$1,423.35</t>
        </is>
      </c>
      <c r="M53" s="382">
        <f>K53-L53</f>
        <v/>
      </c>
      <c r="N53" s="382">
        <f>SUM(G53,H53,I53,M53)</f>
        <v/>
      </c>
      <c r="O53" s="323" t="n"/>
      <c r="P53" s="323" t="n"/>
      <c r="Q53" s="323" t="n"/>
      <c r="R53" s="323" t="n"/>
      <c r="S53" s="323" t="n"/>
      <c r="T53" s="323" t="n"/>
      <c r="U53" s="323" t="n"/>
      <c r="V53" s="323" t="n"/>
      <c r="W53" s="323" t="n"/>
      <c r="X53" s="323" t="n"/>
      <c r="Y53" s="323" t="n"/>
      <c r="Z53" s="323" t="n"/>
      <c r="AA53" s="323" t="n"/>
      <c r="AB53" s="323" t="n"/>
      <c r="AC53" s="323" t="n"/>
    </row>
    <row r="54">
      <c r="A54" s="334" t="inlineStr">
        <is>
          <t>May 4 - May 10</t>
        </is>
      </c>
      <c r="B54" s="334" t="n">
        <v>10059.3</v>
      </c>
      <c r="C54" s="399">
        <f>(B54*0.06)*1.13</f>
        <v/>
      </c>
      <c r="D54" s="399">
        <f>(B54*0.02)*1.13</f>
        <v/>
      </c>
      <c r="E54" s="323" t="n">
        <v>418</v>
      </c>
      <c r="F54" s="323" t="n">
        <v>11169.33</v>
      </c>
      <c r="G54" s="323" t="n">
        <v>6171.55</v>
      </c>
      <c r="H54" s="323" t="n">
        <v>0</v>
      </c>
      <c r="I54" s="323" t="n">
        <v>118.96</v>
      </c>
      <c r="J54" s="323" t="n">
        <v>4878.82</v>
      </c>
      <c r="K54" s="406" t="n">
        <v>4782.48</v>
      </c>
      <c r="L54" s="406" t="n">
        <v>1013.69</v>
      </c>
      <c r="M54" s="382">
        <f>K54-L54</f>
        <v/>
      </c>
      <c r="N54" s="382">
        <f>SUM(G54,H54,I54,M54)</f>
        <v/>
      </c>
      <c r="O54" s="323" t="n"/>
      <c r="P54" s="323" t="n"/>
      <c r="Q54" s="323" t="n"/>
      <c r="R54" s="323" t="n"/>
      <c r="S54" s="323" t="n"/>
      <c r="T54" s="323" t="n"/>
      <c r="U54" s="323" t="n"/>
      <c r="V54" s="323" t="n"/>
      <c r="W54" s="323" t="n"/>
      <c r="X54" s="323" t="n"/>
      <c r="Y54" s="323" t="n"/>
      <c r="Z54" s="323" t="n"/>
      <c r="AA54" s="323" t="n"/>
      <c r="AB54" s="323" t="n"/>
      <c r="AC54" s="323" t="n"/>
    </row>
    <row r="55">
      <c r="A55" s="334" t="inlineStr">
        <is>
          <t>May 11 - May 17</t>
        </is>
      </c>
      <c r="B55" s="334" t="n"/>
      <c r="C55" s="399" t="n"/>
      <c r="D55" s="399" t="n"/>
      <c r="E55" s="323" t="n">
        <v>435</v>
      </c>
      <c r="F55" s="323" t="n">
        <v>13171.28</v>
      </c>
      <c r="G55" s="323" t="n">
        <v>8276.540000000001</v>
      </c>
      <c r="H55" s="323" t="n">
        <v>0</v>
      </c>
      <c r="I55" s="323" t="n">
        <v>221.07</v>
      </c>
      <c r="J55" s="323" t="n">
        <v>4673.67</v>
      </c>
      <c r="K55" s="406" t="n"/>
      <c r="L55" s="406" t="n"/>
      <c r="M55" s="473" t="n"/>
      <c r="N55" s="473" t="n"/>
      <c r="O55" s="323" t="n"/>
      <c r="P55" s="323" t="n"/>
      <c r="Q55" s="323" t="n"/>
      <c r="R55" s="323" t="n"/>
      <c r="S55" s="323" t="n"/>
      <c r="T55" s="323" t="n"/>
      <c r="U55" s="323" t="n"/>
      <c r="V55" s="323" t="n"/>
      <c r="W55" s="323" t="n"/>
      <c r="X55" s="323" t="n"/>
      <c r="Y55" s="323" t="n"/>
      <c r="Z55" s="323" t="n"/>
      <c r="AA55" s="323" t="n"/>
      <c r="AB55" s="323" t="n"/>
      <c r="AC55" s="323" t="n"/>
    </row>
    <row r="56" ht="27.6" customHeight="1">
      <c r="A56" s="334" t="n"/>
      <c r="B56" s="334" t="n"/>
      <c r="C56" s="399" t="n"/>
      <c r="D56" s="399" t="n"/>
      <c r="E56" s="323" t="n"/>
      <c r="F56" s="323" t="n"/>
      <c r="G56" s="323" t="n"/>
      <c r="H56" s="323" t="n"/>
      <c r="I56" s="323" t="n"/>
      <c r="J56" s="323" t="n"/>
      <c r="K56" s="406" t="n"/>
      <c r="L56" s="406" t="n"/>
      <c r="M56" s="473" t="n"/>
      <c r="N56" s="473" t="n"/>
      <c r="O56" s="323" t="n"/>
      <c r="P56" s="323" t="n"/>
      <c r="Q56" s="323" t="n"/>
      <c r="R56" s="323" t="n"/>
      <c r="S56" s="323" t="n"/>
      <c r="T56" s="323" t="n"/>
      <c r="U56" s="323" t="n"/>
      <c r="V56" s="323" t="n"/>
      <c r="W56" s="323" t="n"/>
      <c r="X56" s="323" t="n"/>
      <c r="Y56" s="323" t="n"/>
      <c r="Z56" s="323" t="n"/>
      <c r="AA56" s="323" t="n"/>
      <c r="AB56" s="323" t="n"/>
      <c r="AC56" s="323" t="n"/>
    </row>
    <row r="57" ht="27.6" customHeight="1">
      <c r="A57" s="353" t="inlineStr">
        <is>
          <t>May 11 - May 17</t>
        </is>
      </c>
      <c r="B57" s="353" t="n">
        <v>9437.639999999999</v>
      </c>
      <c r="C57" s="399">
        <f>(B55*0.06)*1.13</f>
        <v/>
      </c>
      <c r="D57" s="399">
        <f>(B55*0.02)*1.13</f>
        <v/>
      </c>
      <c r="E57" s="323" t="n">
        <v>385</v>
      </c>
      <c r="F57" s="323" t="n">
        <v>10353.53</v>
      </c>
      <c r="G57" s="323" t="n">
        <v>5487.71</v>
      </c>
      <c r="H57" s="323" t="n">
        <v>0</v>
      </c>
      <c r="I57" s="323" t="n">
        <v>516.77</v>
      </c>
      <c r="J57" s="323" t="n">
        <v>4349.05</v>
      </c>
      <c r="K57" s="406" t="n">
        <v>4416.87</v>
      </c>
      <c r="L57" s="406" t="n">
        <v>983.71</v>
      </c>
      <c r="M57" s="382">
        <f>K55-L55</f>
        <v/>
      </c>
      <c r="N57" s="382">
        <f>SUM(G55,H55,I55,M55)</f>
        <v/>
      </c>
      <c r="O57" s="323" t="n"/>
      <c r="P57" s="323" t="n"/>
      <c r="Q57" s="323" t="n"/>
      <c r="R57" s="323" t="n"/>
      <c r="S57" s="323" t="n"/>
      <c r="T57" s="323" t="n"/>
      <c r="U57" s="323" t="n"/>
      <c r="V57" s="323" t="n"/>
      <c r="W57" s="323" t="n"/>
      <c r="X57" s="323" t="n"/>
      <c r="Y57" s="323" t="n"/>
      <c r="Z57" s="323" t="n"/>
      <c r="AA57" s="323" t="n"/>
      <c r="AB57" s="323" t="n"/>
      <c r="AC57" s="323" t="n"/>
    </row>
    <row r="58" ht="27.6" customHeight="1">
      <c r="A58" s="353" t="inlineStr">
        <is>
          <t>May 18 - May 24</t>
        </is>
      </c>
      <c r="B58" s="353" t="n">
        <v>9840.34</v>
      </c>
      <c r="C58" s="399">
        <f>(B56*0.06)*1.13</f>
        <v/>
      </c>
      <c r="D58" s="399">
        <f>(B56*0.02)*1.13</f>
        <v/>
      </c>
      <c r="E58" s="323" t="n">
        <v>385</v>
      </c>
      <c r="F58" s="323" t="n">
        <v>10862.45</v>
      </c>
      <c r="G58" s="323" t="n">
        <v>5741.77</v>
      </c>
      <c r="H58" s="323" t="n">
        <v>0</v>
      </c>
      <c r="I58" s="323" t="n">
        <v>248.13</v>
      </c>
      <c r="J58" s="323" t="n">
        <v>4872.55</v>
      </c>
      <c r="K58" s="406" t="n">
        <v>4773.78</v>
      </c>
      <c r="L58" s="406" t="n">
        <v>923.34</v>
      </c>
      <c r="M58" s="382">
        <f>K56-L56</f>
        <v/>
      </c>
      <c r="N58" s="382">
        <f>SUM(G56,H56,I56,M56)</f>
        <v/>
      </c>
      <c r="O58" s="323" t="n"/>
      <c r="P58" s="323" t="n"/>
      <c r="Q58" s="323" t="n"/>
      <c r="R58" s="323" t="n"/>
      <c r="S58" s="323" t="n"/>
      <c r="T58" s="323" t="n"/>
      <c r="U58" s="323" t="n"/>
      <c r="V58" s="323" t="n"/>
      <c r="W58" s="323" t="n"/>
      <c r="X58" s="323" t="n"/>
      <c r="Y58" s="323" t="n"/>
      <c r="Z58" s="323" t="n"/>
      <c r="AA58" s="323" t="n"/>
      <c r="AB58" s="323" t="n"/>
      <c r="AC58" s="323" t="n"/>
    </row>
    <row r="59" ht="27.6" customHeight="1">
      <c r="A59" s="353" t="inlineStr">
        <is>
          <t>May 25 - May 31</t>
        </is>
      </c>
      <c r="B59" s="353" t="n"/>
      <c r="C59" s="399" t="n"/>
      <c r="D59" s="399" t="n"/>
      <c r="E59" s="323" t="n">
        <v>435</v>
      </c>
      <c r="F59" s="323" t="n">
        <v>13171.28</v>
      </c>
      <c r="G59" s="323" t="n">
        <v>8276.540000000001</v>
      </c>
      <c r="H59" s="323" t="n">
        <v>0</v>
      </c>
      <c r="I59" s="323" t="n">
        <v>221.07</v>
      </c>
      <c r="J59" s="323" t="n">
        <v>4673.67</v>
      </c>
      <c r="K59" s="406" t="n"/>
      <c r="L59" s="406" t="n"/>
      <c r="M59" s="473" t="n"/>
      <c r="N59" s="473" t="n"/>
      <c r="O59" s="323" t="n"/>
      <c r="P59" s="323" t="n"/>
      <c r="Q59" s="323" t="n"/>
      <c r="R59" s="323" t="n"/>
      <c r="S59" s="323" t="n"/>
      <c r="T59" s="323" t="n"/>
      <c r="U59" s="323" t="n"/>
      <c r="V59" s="323" t="n"/>
      <c r="W59" s="323" t="n"/>
      <c r="X59" s="323" t="n"/>
      <c r="Y59" s="323" t="n"/>
      <c r="Z59" s="323" t="n"/>
      <c r="AA59" s="323" t="n"/>
      <c r="AB59" s="323" t="n"/>
      <c r="AC59" s="323" t="n"/>
    </row>
    <row r="60">
      <c r="A60" s="353" t="n"/>
      <c r="B60" s="353" t="n"/>
      <c r="C60" s="399" t="n"/>
      <c r="D60" s="399" t="n"/>
      <c r="E60" s="323" t="n"/>
      <c r="F60" s="323" t="n"/>
      <c r="G60" s="323" t="n"/>
      <c r="H60" s="323" t="n"/>
      <c r="I60" s="323" t="n"/>
      <c r="J60" s="323" t="n"/>
      <c r="K60" s="406" t="n"/>
      <c r="L60" s="406" t="n"/>
      <c r="M60" s="473" t="n"/>
      <c r="N60" s="473" t="n"/>
      <c r="O60" s="323" t="n"/>
      <c r="P60" s="323" t="n"/>
      <c r="Q60" s="323" t="n"/>
      <c r="R60" s="323" t="n"/>
      <c r="S60" s="323" t="n"/>
      <c r="T60" s="323" t="n"/>
      <c r="U60" s="323" t="n"/>
      <c r="V60" s="323" t="n"/>
      <c r="W60" s="323" t="n"/>
      <c r="X60" s="323" t="n"/>
      <c r="Y60" s="323" t="n"/>
      <c r="Z60" s="323" t="n"/>
      <c r="AA60" s="323" t="n"/>
      <c r="AB60" s="323" t="n"/>
      <c r="AC60" s="323" t="n"/>
    </row>
    <row r="61">
      <c r="A61" s="399" t="inlineStr">
        <is>
          <t>Queen KKW</t>
        </is>
      </c>
      <c r="B61" s="358" t="n"/>
      <c r="C61" s="358" t="n"/>
      <c r="D61" s="355" t="n"/>
      <c r="E61" s="399" t="n"/>
      <c r="F61" s="399" t="n"/>
      <c r="G61" s="382" t="n"/>
      <c r="H61" s="382" t="n"/>
      <c r="I61" s="382" t="n"/>
      <c r="J61" s="382" t="n"/>
      <c r="K61" s="382" t="n"/>
      <c r="L61" s="382" t="n"/>
      <c r="M61" s="382" t="n"/>
      <c r="N61" s="382" t="n"/>
      <c r="O61" s="382" t="n"/>
    </row>
    <row r="62">
      <c r="A62" s="479" t="inlineStr">
        <is>
          <t>Statement For Selected Period</t>
        </is>
      </c>
      <c r="B62" s="479" t="inlineStr">
        <is>
          <t>Total Revenue (Net Sales)</t>
        </is>
      </c>
      <c r="C62" s="479" t="inlineStr">
        <is>
          <t>Royalties
(6%) +HST</t>
        </is>
      </c>
      <c r="D62" s="479" t="inlineStr">
        <is>
          <t>Marketing
(2%) +HST</t>
        </is>
      </c>
      <c r="E62" s="479" t="n"/>
      <c r="F62" s="479" t="n"/>
      <c r="G62" s="389" t="n"/>
      <c r="H62" s="382" t="n"/>
      <c r="I62" s="382" t="n"/>
      <c r="J62" s="382" t="n"/>
      <c r="K62" s="382" t="n"/>
      <c r="L62" s="382" t="n"/>
      <c r="M62" s="382" t="n"/>
      <c r="N62" s="382" t="n"/>
      <c r="O62" s="382" t="n"/>
    </row>
    <row r="63">
      <c r="A63" s="11" t="inlineStr">
        <is>
          <t>Mar 09 - Mar 15 2026</t>
        </is>
      </c>
      <c r="B63" s="11" t="n">
        <v>9469.559999999999</v>
      </c>
      <c r="C63" s="399">
        <f>(B57*0.06)*1.13</f>
        <v/>
      </c>
      <c r="D63" s="399">
        <f>(B57*0.02)*1.13</f>
        <v/>
      </c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</row>
    <row r="64">
      <c r="A64" s="11" t="inlineStr">
        <is>
          <t>Mar 16 - Mar 22 2026</t>
        </is>
      </c>
      <c r="B64" s="11" t="n">
        <v>10550.93</v>
      </c>
      <c r="C64" s="399">
        <f>(B58*0.06)*1.13</f>
        <v/>
      </c>
      <c r="D64" s="399">
        <f>(B58*0.02)*1.13</f>
        <v/>
      </c>
      <c r="E64" s="56" t="n"/>
      <c r="F64" s="56" t="n"/>
      <c r="G64" s="56" t="n"/>
      <c r="H64" s="56" t="n"/>
      <c r="I64" s="56" t="n"/>
      <c r="J64" s="56" t="n"/>
      <c r="K64" s="56" t="n"/>
      <c r="L64" s="56" t="n"/>
      <c r="M64" s="56" t="n"/>
      <c r="N64" s="56" t="n"/>
      <c r="O64" s="56" t="n"/>
    </row>
    <row r="65">
      <c r="A65" s="11" t="inlineStr">
        <is>
          <t>Mar 23 - Mar 29 2026</t>
        </is>
      </c>
      <c r="B65" s="11" t="n">
        <v>8077.93</v>
      </c>
      <c r="C65" s="399">
        <f>(B59*0.06)*1.13</f>
        <v/>
      </c>
      <c r="D65" s="399">
        <f>(B59*0.02)*1.13</f>
        <v/>
      </c>
      <c r="E65" s="56" t="n"/>
      <c r="F65" s="56" t="n"/>
      <c r="G65" s="56" t="n"/>
      <c r="H65" s="56" t="n"/>
      <c r="I65" s="56" t="n"/>
      <c r="J65" s="56" t="n"/>
      <c r="K65" s="56" t="n"/>
      <c r="L65" s="56" t="n"/>
      <c r="M65" s="56" t="n"/>
      <c r="N65" s="56" t="n"/>
      <c r="O65" s="56" t="n"/>
    </row>
    <row r="66">
      <c r="A66" s="11" t="inlineStr">
        <is>
          <t>Mar 30 - Apr 05 2026</t>
        </is>
      </c>
      <c r="B66" s="11" t="n">
        <v>10135.13</v>
      </c>
      <c r="C66" s="399">
        <f>(B60*0.06)*1.13</f>
        <v/>
      </c>
      <c r="D66" s="399">
        <f>(B60*0.02)*1.13</f>
        <v/>
      </c>
      <c r="E66" s="56" t="n"/>
      <c r="F66" s="56" t="n"/>
      <c r="G66" s="56" t="n"/>
      <c r="H66" s="56" t="n"/>
      <c r="I66" s="56" t="n"/>
      <c r="J66" s="56" t="n"/>
      <c r="K66" s="56" t="n"/>
      <c r="L66" s="56" t="n"/>
      <c r="M66" s="56" t="n"/>
      <c r="N66" s="56" t="n"/>
      <c r="O66" s="56" t="n"/>
    </row>
    <row r="67">
      <c r="A67" s="2" t="inlineStr">
        <is>
          <t>Apr 06 - Apr 12</t>
        </is>
      </c>
      <c r="B67" s="11" t="n">
        <v>9562.98</v>
      </c>
      <c r="C67" s="399">
        <f>(B61*0.06)*1.13</f>
        <v/>
      </c>
      <c r="D67" s="399">
        <f>(B61*0.02)*1.13</f>
        <v/>
      </c>
    </row>
    <row r="68">
      <c r="A68" s="11" t="inlineStr">
        <is>
          <t>Apr 13 - Apr 19</t>
        </is>
      </c>
      <c r="B68" s="11" t="n">
        <v>8161.77</v>
      </c>
      <c r="C68" s="399">
        <f>(B62*0.06)*1.13</f>
        <v/>
      </c>
      <c r="D68" s="399">
        <f>(B62*0.02)*1.13</f>
        <v/>
      </c>
    </row>
    <row r="69">
      <c r="A69" s="11" t="inlineStr">
        <is>
          <t>Apr 20 - Apr 26</t>
        </is>
      </c>
      <c r="B69" s="11" t="n">
        <v>9410.119999999999</v>
      </c>
      <c r="C69" s="399">
        <f>(B63*0.06)*1.13</f>
        <v/>
      </c>
      <c r="D69" s="399">
        <f>(B63*0.02)*1.13</f>
        <v/>
      </c>
    </row>
    <row r="70">
      <c r="A70" s="11" t="inlineStr">
        <is>
          <t>Apr 27 - May 03</t>
        </is>
      </c>
      <c r="B70" s="11" t="n">
        <v>10362.14</v>
      </c>
      <c r="C70" s="399">
        <f>(B65*0.06)*1.13</f>
        <v/>
      </c>
      <c r="D70" s="399">
        <f>(B65*0.02)*1.13</f>
        <v/>
      </c>
    </row>
    <row r="71">
      <c r="A71" s="334" t="inlineStr">
        <is>
          <t>May 4 - May 10</t>
        </is>
      </c>
      <c r="B71" s="334" t="n">
        <v>10059.3</v>
      </c>
      <c r="C71" s="399">
        <f>(B66*0.06)*1.13</f>
        <v/>
      </c>
      <c r="D71" s="399">
        <f>(B66*0.02)*1.13</f>
        <v/>
      </c>
    </row>
    <row r="72">
      <c r="A72" s="353" t="inlineStr">
        <is>
          <t>May 11 - May 17</t>
        </is>
      </c>
      <c r="B72" s="353" t="n">
        <v>9437.639999999999</v>
      </c>
      <c r="C72" s="399">
        <f>(B68*0.06)*1.13</f>
        <v/>
      </c>
      <c r="D72" s="399">
        <f>(B68*0.02)*1.13</f>
        <v/>
      </c>
    </row>
    <row r="73">
      <c r="A73" s="353" t="inlineStr">
        <is>
          <t>May 18 - May 24</t>
        </is>
      </c>
      <c r="B73" s="353" t="n">
        <v>9840.34</v>
      </c>
      <c r="C73" s="399">
        <f>(B70*0.06)*1.13</f>
        <v/>
      </c>
      <c r="D73" s="399">
        <f>(B70*0.02)*1.13</f>
        <v/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83"/>
  <sheetViews>
    <sheetView tabSelected="1" workbookViewId="0">
      <pane ySplit="2" topLeftCell="A57" activePane="bottomLeft" state="frozen"/>
      <selection pane="bottomLeft" activeCell="J61" sqref="J61"/>
    </sheetView>
  </sheetViews>
  <sheetFormatPr baseColWidth="8" defaultColWidth="9.109375" defaultRowHeight="13.8"/>
  <cols>
    <col width="26.44140625" customWidth="1" style="560" min="1" max="1"/>
    <col width="19.88671875" customWidth="1" style="560" min="2" max="2"/>
    <col width="19.109375" customWidth="1" style="560" min="3" max="3"/>
    <col width="17.5546875" customWidth="1" style="560" min="4" max="6"/>
    <col width="19" customWidth="1" style="560" min="7" max="7"/>
    <col width="15.88671875" customWidth="1" style="560" min="8" max="8"/>
    <col width="17.88671875" customWidth="1" style="560" min="9" max="9"/>
    <col width="23.88671875" customWidth="1" style="560" min="10" max="10"/>
    <col width="20.33203125" customWidth="1" style="560" min="11" max="11"/>
    <col width="23.88671875" customWidth="1" style="560" min="12" max="12"/>
    <col width="21" customWidth="1" style="560" min="13" max="13"/>
    <col width="20.33203125" customWidth="1" style="560" min="14" max="14"/>
    <col width="16.6640625" customWidth="1" style="560" min="15" max="16"/>
    <col width="9.109375" customWidth="1" style="560" min="17" max="19"/>
    <col width="9.109375" customWidth="1" style="560" min="20" max="16384"/>
  </cols>
  <sheetData>
    <row r="1" ht="14.4" customHeight="1">
      <c r="A1" s="453" t="inlineStr">
        <is>
          <t>Lebovic</t>
        </is>
      </c>
      <c r="B1" s="358" t="n"/>
      <c r="C1" s="358" t="n"/>
      <c r="D1" s="355" t="n"/>
      <c r="E1" s="453" t="n"/>
      <c r="F1" s="453" t="n"/>
      <c r="G1" s="382" t="n"/>
      <c r="H1" s="382" t="n"/>
      <c r="I1" s="382" t="n"/>
      <c r="J1" s="382" t="n"/>
      <c r="K1" s="382" t="n"/>
      <c r="L1" s="382" t="n"/>
      <c r="M1" s="382" t="n"/>
      <c r="N1" s="382" t="n"/>
      <c r="O1" s="382" t="n"/>
      <c r="P1" s="382" t="n"/>
      <c r="Q1" s="382" t="n"/>
    </row>
    <row r="2" ht="41.4" customHeight="1">
      <c r="A2" s="454" t="inlineStr">
        <is>
          <t>Statement For Selected Period</t>
        </is>
      </c>
      <c r="B2" s="454" t="inlineStr">
        <is>
          <t>Total Revenue (Net Sales)</t>
        </is>
      </c>
      <c r="C2" s="454" t="inlineStr">
        <is>
          <t>Royalties
(6%) +HST</t>
        </is>
      </c>
      <c r="D2" s="454" t="inlineStr">
        <is>
          <t>Marketing
(2%) +HST</t>
        </is>
      </c>
      <c r="E2" s="454" t="inlineStr">
        <is>
          <t>Bill Count</t>
        </is>
      </c>
      <c r="F2" s="454" t="inlineStr">
        <is>
          <t>POS Total</t>
        </is>
      </c>
      <c r="G2" s="388" t="inlineStr">
        <is>
          <t>In-Store</t>
        </is>
      </c>
      <c r="H2" s="388" t="inlineStr">
        <is>
          <t>Skip</t>
        </is>
      </c>
      <c r="I2" s="388" t="inlineStr">
        <is>
          <t>DD</t>
        </is>
      </c>
      <c r="J2" s="388" t="inlineStr">
        <is>
          <t>Uber (TB)</t>
        </is>
      </c>
      <c r="K2" s="388" t="inlineStr">
        <is>
          <t>PK Uber (Rev)</t>
        </is>
      </c>
      <c r="L2" s="388" t="inlineStr">
        <is>
          <t>PK Uber (Marketing)</t>
        </is>
      </c>
      <c r="M2" s="388" t="inlineStr">
        <is>
          <t>Chickentarian Uber (Rev)</t>
        </is>
      </c>
      <c r="N2" s="388" t="inlineStr">
        <is>
          <t>Chickentarian Uber (Marketing)</t>
        </is>
      </c>
      <c r="O2" s="388" t="inlineStr">
        <is>
          <t>Final Uber</t>
        </is>
      </c>
      <c r="P2" s="388" t="inlineStr">
        <is>
          <t>Total</t>
        </is>
      </c>
      <c r="Q2" s="382" t="n"/>
    </row>
    <row r="3">
      <c r="A3" s="418" t="inlineStr">
        <is>
          <t>Mar 07 - Mar 09 2025</t>
        </is>
      </c>
      <c r="B3" s="382" t="n">
        <v>1358.01</v>
      </c>
      <c r="C3" s="399">
        <f>(B3*0.06)*1.13</f>
        <v/>
      </c>
      <c r="D3" s="399">
        <f>(B3*0.02)*1.13</f>
        <v/>
      </c>
      <c r="E3" s="399" t="n"/>
      <c r="F3" s="399" t="n"/>
      <c r="G3" s="382" t="n">
        <v>1358.01</v>
      </c>
      <c r="H3" s="382" t="n"/>
      <c r="I3" s="382" t="n"/>
      <c r="J3" s="382" t="n"/>
      <c r="K3" s="445" t="n">
        <v>138.56</v>
      </c>
      <c r="L3" s="444" t="n">
        <v>18.1</v>
      </c>
      <c r="M3" s="382" t="n">
        <v>0</v>
      </c>
      <c r="N3" s="382" t="n">
        <v>0</v>
      </c>
      <c r="O3" s="382">
        <f>K3-L3</f>
        <v/>
      </c>
      <c r="P3" s="382" t="n"/>
      <c r="Q3" s="382" t="n"/>
    </row>
    <row r="4">
      <c r="A4" s="418" t="inlineStr">
        <is>
          <t>Mar 10 - Mar 16 2025</t>
        </is>
      </c>
      <c r="B4" s="394" t="n">
        <v>6551.2</v>
      </c>
      <c r="C4" s="399">
        <f>(B4*0.06)*1.13</f>
        <v/>
      </c>
      <c r="D4" s="399">
        <f>(B4*0.02)*1.13</f>
        <v/>
      </c>
      <c r="E4" s="399" t="n"/>
      <c r="F4" s="399" t="n"/>
      <c r="G4" s="394" t="n"/>
      <c r="H4" s="382" t="n"/>
      <c r="I4" s="382" t="n"/>
      <c r="J4" s="382" t="n"/>
      <c r="K4" s="445" t="n">
        <v>1147.55</v>
      </c>
      <c r="L4" s="444" t="n">
        <v>174.79</v>
      </c>
      <c r="M4" s="382" t="n"/>
      <c r="N4" s="382" t="n"/>
      <c r="O4" s="382">
        <f>K4-L4</f>
        <v/>
      </c>
      <c r="P4" s="382" t="n"/>
      <c r="Q4" s="382" t="n"/>
    </row>
    <row r="5">
      <c r="A5" s="418" t="inlineStr">
        <is>
          <t>Mar 17 - Mar 23 2025</t>
        </is>
      </c>
      <c r="B5" s="420" t="n">
        <v>6541.540000000001</v>
      </c>
      <c r="C5" s="399">
        <f>(B5*0.06)*1.13</f>
        <v/>
      </c>
      <c r="D5" s="399">
        <f>(B5*0.02)*1.13</f>
        <v/>
      </c>
      <c r="E5" s="399" t="n"/>
      <c r="F5" s="399" t="n"/>
      <c r="G5" s="394" t="n">
        <v>5648.64</v>
      </c>
      <c r="H5" s="382" t="n">
        <v>0</v>
      </c>
      <c r="I5" s="394" t="n">
        <v>378.89</v>
      </c>
      <c r="J5" s="394" t="n">
        <v>611.14</v>
      </c>
      <c r="K5" s="445" t="n">
        <v>613.95</v>
      </c>
      <c r="L5" s="445" t="n">
        <v>99.94</v>
      </c>
      <c r="M5" s="382" t="n"/>
      <c r="N5" s="382" t="n"/>
      <c r="O5" s="382">
        <f>K5-L5</f>
        <v/>
      </c>
      <c r="P5" s="382">
        <f>SUM(G5,H5,I5,O5)</f>
        <v/>
      </c>
      <c r="Q5" s="382" t="n"/>
    </row>
    <row r="6">
      <c r="A6" s="382" t="inlineStr">
        <is>
          <t>Mar 24 - Mar 30 2025</t>
        </is>
      </c>
      <c r="B6" s="382" t="n">
        <v>11256.19</v>
      </c>
      <c r="C6" s="399">
        <f>(B6*0.06)*1.13</f>
        <v/>
      </c>
      <c r="D6" s="399">
        <f>(B6*0.02)*1.13</f>
        <v/>
      </c>
      <c r="E6" s="399" t="n"/>
      <c r="F6" s="399" t="n"/>
      <c r="G6" s="389" t="n">
        <v>9146.42</v>
      </c>
      <c r="H6" s="389" t="n">
        <v>45.58</v>
      </c>
      <c r="I6" s="389" t="n">
        <v>643.8</v>
      </c>
      <c r="J6" s="389" t="n">
        <v>1507.24</v>
      </c>
      <c r="K6" s="390" t="n">
        <v>1428.04</v>
      </c>
      <c r="L6" s="390" t="n">
        <v>7.65</v>
      </c>
      <c r="M6" s="382" t="n"/>
      <c r="N6" s="382" t="n"/>
      <c r="O6" s="382">
        <f>K6-L6</f>
        <v/>
      </c>
      <c r="P6" s="382">
        <f>SUM(G6,H6,I6,O6)</f>
        <v/>
      </c>
      <c r="Q6" s="559" t="n"/>
    </row>
    <row r="7">
      <c r="A7" s="382" t="inlineStr">
        <is>
          <t>Mar 31 - Apr 6 2025</t>
        </is>
      </c>
      <c r="B7" s="382" t="n">
        <v>12830.78</v>
      </c>
      <c r="C7" s="399">
        <f>(B7*0.06)*1.13</f>
        <v/>
      </c>
      <c r="D7" s="399">
        <f>(B7*0.02)*1.13</f>
        <v/>
      </c>
      <c r="E7" s="399" t="n"/>
      <c r="F7" s="399" t="n"/>
      <c r="G7" s="141" t="n">
        <v>10209.73</v>
      </c>
      <c r="H7" s="373" t="n">
        <v>57.89</v>
      </c>
      <c r="I7" s="373" t="n">
        <v>678.1799999999999</v>
      </c>
      <c r="J7" s="373" t="n">
        <v>1871.77</v>
      </c>
      <c r="K7" s="390" t="n">
        <v>1884.98</v>
      </c>
      <c r="L7" s="382" t="n">
        <v>0</v>
      </c>
      <c r="M7" s="382" t="n"/>
      <c r="N7" s="382" t="n"/>
      <c r="O7" s="382">
        <f>K7-L7</f>
        <v/>
      </c>
      <c r="P7" s="382">
        <f>SUM(G7,H7,I7,O7)</f>
        <v/>
      </c>
      <c r="Q7" s="559" t="n"/>
    </row>
    <row r="8">
      <c r="A8" s="382" t="inlineStr">
        <is>
          <t>Apr 7 - Apr 13 2025</t>
        </is>
      </c>
      <c r="B8" s="382" t="n">
        <v>11068.59</v>
      </c>
      <c r="C8" s="399">
        <f>(B8*0.06)*1.13</f>
        <v/>
      </c>
      <c r="D8" s="399">
        <f>(B8*0.02)*1.13</f>
        <v/>
      </c>
      <c r="E8" s="399" t="n"/>
      <c r="F8" s="399" t="n"/>
      <c r="G8" s="389" t="n">
        <v>8238.209999999999</v>
      </c>
      <c r="H8" s="389" t="n">
        <v>147.88</v>
      </c>
      <c r="I8" s="389" t="n">
        <v>550.39</v>
      </c>
      <c r="J8" s="389" t="n">
        <v>2079.43</v>
      </c>
      <c r="K8" s="390" t="n">
        <v>2311.9</v>
      </c>
      <c r="L8" s="383" t="n">
        <v>179.79</v>
      </c>
      <c r="M8" s="382" t="n"/>
      <c r="N8" s="382" t="n"/>
      <c r="O8" s="382">
        <f>K8-L8</f>
        <v/>
      </c>
      <c r="P8" s="382">
        <f>SUM(G8,H8,I8,O8)</f>
        <v/>
      </c>
      <c r="Q8" s="382" t="n"/>
    </row>
    <row r="9">
      <c r="A9" s="382" t="inlineStr">
        <is>
          <t>Apr 14 - Apr 20 2025</t>
        </is>
      </c>
      <c r="B9" s="382" t="n">
        <v>12721.55</v>
      </c>
      <c r="C9" s="399">
        <f>(B9*0.06)*1.13</f>
        <v/>
      </c>
      <c r="D9" s="399">
        <f>(B9*0.02)*1.13</f>
        <v/>
      </c>
      <c r="E9" s="399" t="n"/>
      <c r="F9" s="399" t="n"/>
      <c r="G9" s="389" t="n">
        <v>10280.08</v>
      </c>
      <c r="H9" s="389" t="n">
        <v>189.09</v>
      </c>
      <c r="I9" s="389" t="n">
        <v>341.64</v>
      </c>
      <c r="J9" s="389" t="n">
        <v>2100.59</v>
      </c>
      <c r="K9" s="383" t="n">
        <v>2061</v>
      </c>
      <c r="L9" s="383" t="n">
        <v>150.26</v>
      </c>
      <c r="M9" s="382" t="n"/>
      <c r="N9" s="382" t="n"/>
      <c r="O9" s="382">
        <f>K9-L9</f>
        <v/>
      </c>
      <c r="P9" s="382">
        <f>SUM(G9,H9,I9,O9)</f>
        <v/>
      </c>
      <c r="Q9" s="382" t="n"/>
    </row>
    <row r="10">
      <c r="A10" s="382" t="inlineStr">
        <is>
          <t>Apr 21 - Apr 27 2025</t>
        </is>
      </c>
      <c r="B10" s="382" t="n">
        <v>12290.19</v>
      </c>
      <c r="C10" s="399">
        <f>(B10*0.06)*1.13</f>
        <v/>
      </c>
      <c r="D10" s="399">
        <f>(B10*0.02)*1.13</f>
        <v/>
      </c>
      <c r="E10" s="399" t="n"/>
      <c r="F10" s="399" t="n"/>
      <c r="G10" s="389" t="n">
        <v>9891.120000000001</v>
      </c>
      <c r="H10" s="389" t="n">
        <v>275.94</v>
      </c>
      <c r="I10" s="389" t="n">
        <v>356.63</v>
      </c>
      <c r="J10" s="389" t="n">
        <v>1881.72</v>
      </c>
      <c r="K10" s="390" t="n">
        <v>1921.31</v>
      </c>
      <c r="L10" s="383" t="n">
        <v>154.81</v>
      </c>
      <c r="M10" s="382" t="n"/>
      <c r="N10" s="382" t="n"/>
      <c r="O10" s="382">
        <f>K10-L10</f>
        <v/>
      </c>
      <c r="P10" s="382">
        <f>SUM(G10,H10,I10,O10)</f>
        <v/>
      </c>
      <c r="Q10" s="382" t="n"/>
    </row>
    <row r="11">
      <c r="A11" s="382" t="inlineStr">
        <is>
          <t>Apr 28 - May 04 2025</t>
        </is>
      </c>
      <c r="B11" s="382" t="n">
        <v>11476.5</v>
      </c>
      <c r="C11" s="399">
        <f>(B11*0.06)*1.13</f>
        <v/>
      </c>
      <c r="D11" s="399">
        <f>(B11*0.02)*1.13</f>
        <v/>
      </c>
      <c r="E11" s="399" t="n"/>
      <c r="F11" s="399" t="n"/>
      <c r="G11" s="389" t="n">
        <v>9723.35</v>
      </c>
      <c r="H11" s="118" t="n">
        <v>0</v>
      </c>
      <c r="I11" s="389" t="n">
        <v>429</v>
      </c>
      <c r="J11" s="389" t="n">
        <v>1464.57</v>
      </c>
      <c r="K11" s="390" t="n">
        <v>1414.63</v>
      </c>
      <c r="L11" s="383" t="n">
        <v>90.48</v>
      </c>
      <c r="M11" s="382" t="n">
        <v>0</v>
      </c>
      <c r="N11" s="382" t="n">
        <v>0</v>
      </c>
      <c r="O11" s="382">
        <f>K11-L11</f>
        <v/>
      </c>
      <c r="P11" s="382">
        <f>SUM(G11,H11,I11,O11)</f>
        <v/>
      </c>
      <c r="Q11" s="382" t="n"/>
    </row>
    <row r="12">
      <c r="A12" s="382" t="inlineStr">
        <is>
          <t>May 05 - May 11 2025</t>
        </is>
      </c>
      <c r="B12" s="382" t="n">
        <v>11751.38</v>
      </c>
      <c r="C12" s="399">
        <f>(B12*0.06)*1.13</f>
        <v/>
      </c>
      <c r="D12" s="399">
        <f>(B12*0.02)*1.13</f>
        <v/>
      </c>
      <c r="E12" s="399" t="n"/>
      <c r="F12" s="391" t="n">
        <v>11836.23</v>
      </c>
      <c r="G12" s="389" t="n">
        <v>9769.66</v>
      </c>
      <c r="H12" s="389" t="n">
        <v>142.18</v>
      </c>
      <c r="I12" s="389" t="n">
        <v>508.31</v>
      </c>
      <c r="J12" s="389" t="n">
        <v>1416.08</v>
      </c>
      <c r="K12" s="383" t="n">
        <v>1417.03</v>
      </c>
      <c r="L12" s="383" t="n">
        <v>85.8</v>
      </c>
      <c r="M12" s="382" t="n">
        <v>0</v>
      </c>
      <c r="N12" s="382" t="n">
        <v>0</v>
      </c>
      <c r="O12" s="382">
        <f>K12-L12</f>
        <v/>
      </c>
      <c r="P12" s="382">
        <f>SUM(G12,H12,I12,O12)</f>
        <v/>
      </c>
      <c r="Q12" s="382" t="n"/>
    </row>
    <row r="13">
      <c r="A13" s="382" t="inlineStr">
        <is>
          <t>May 12 - May 18 2025</t>
        </is>
      </c>
      <c r="B13" s="382" t="n">
        <v>10854.11</v>
      </c>
      <c r="C13" s="399">
        <f>(B13*0.06)*1.13</f>
        <v/>
      </c>
      <c r="D13" s="399">
        <f>(B13*0.02)*1.13</f>
        <v/>
      </c>
      <c r="E13" s="399" t="n"/>
      <c r="F13" s="391" t="n">
        <v>11010.2</v>
      </c>
      <c r="G13" s="389" t="n">
        <v>8491.040000000001</v>
      </c>
      <c r="H13" s="389" t="n">
        <v>121.8</v>
      </c>
      <c r="I13" s="389" t="n">
        <v>523.6900000000001</v>
      </c>
      <c r="J13" s="389" t="n">
        <v>1873.67</v>
      </c>
      <c r="K13" s="383" t="n">
        <v>1851.46</v>
      </c>
      <c r="L13" s="383" t="n">
        <v>133.88</v>
      </c>
      <c r="M13" s="382" t="n">
        <v>0</v>
      </c>
      <c r="N13" s="382" t="n">
        <v>0</v>
      </c>
      <c r="O13" s="382">
        <f>K13-L13</f>
        <v/>
      </c>
      <c r="P13" s="382">
        <f>SUM(G13,H13,I13,O13)</f>
        <v/>
      </c>
      <c r="Q13" s="382" t="n"/>
    </row>
    <row r="14">
      <c r="A14" s="382" t="inlineStr">
        <is>
          <t>May 19 - May 25 2025</t>
        </is>
      </c>
      <c r="B14" s="382" t="n">
        <v>13336.76</v>
      </c>
      <c r="C14" s="399">
        <f>(B14*0.06)*1.13</f>
        <v/>
      </c>
      <c r="D14" s="399">
        <f>(B14*0.02)*1.13</f>
        <v/>
      </c>
      <c r="E14" s="399" t="n"/>
      <c r="F14" s="391" t="n">
        <v>13507.97</v>
      </c>
      <c r="G14" s="389" t="n">
        <v>9697.440000000001</v>
      </c>
      <c r="H14" s="389" t="n">
        <v>217.18</v>
      </c>
      <c r="I14" s="389" t="n">
        <v>712.54</v>
      </c>
      <c r="J14" s="389" t="n">
        <v>2880.81</v>
      </c>
      <c r="K14" s="390" t="n">
        <v>2884.87</v>
      </c>
      <c r="L14" s="383" t="n">
        <v>192.05</v>
      </c>
      <c r="M14" s="390" t="n">
        <v>16.78</v>
      </c>
      <c r="N14" s="382" t="n">
        <v>0</v>
      </c>
      <c r="O14" s="382">
        <f>(K14-L14)+(M14-N14)</f>
        <v/>
      </c>
      <c r="P14" s="382">
        <f>SUM(G14,H14,I14,O14)</f>
        <v/>
      </c>
      <c r="Q14" s="382" t="n"/>
    </row>
    <row r="15">
      <c r="A15" s="382" t="inlineStr">
        <is>
          <t>May 26 - June 01 2025</t>
        </is>
      </c>
      <c r="B15" s="382" t="n">
        <v>11398.24</v>
      </c>
      <c r="C15" s="399">
        <f>(B15*0.06)*1.13</f>
        <v/>
      </c>
      <c r="D15" s="399">
        <f>(B15*0.02)*1.13</f>
        <v/>
      </c>
      <c r="E15" s="399" t="n"/>
      <c r="F15" s="391" t="n">
        <v>11545.8</v>
      </c>
      <c r="G15" s="389" t="n">
        <v>8647.530000000001</v>
      </c>
      <c r="H15" s="389" t="n">
        <v>141.7</v>
      </c>
      <c r="I15" s="389" t="n">
        <v>466.14</v>
      </c>
      <c r="J15" s="389" t="n">
        <v>2290.43</v>
      </c>
      <c r="K15" s="383" t="n">
        <v>2310.57</v>
      </c>
      <c r="L15" s="383" t="n">
        <v>183.9</v>
      </c>
      <c r="M15" s="383" t="n">
        <v>16.2</v>
      </c>
      <c r="N15" s="382" t="n">
        <v>0</v>
      </c>
      <c r="O15" s="382">
        <f>(K15-L15)+(M15-N15)</f>
        <v/>
      </c>
      <c r="P15" s="382">
        <f>SUM(G15,H15,I15,O15)</f>
        <v/>
      </c>
      <c r="Q15" s="382" t="n"/>
    </row>
    <row r="16">
      <c r="A16" s="382" t="inlineStr">
        <is>
          <t>June 02 - June 08 2025</t>
        </is>
      </c>
      <c r="B16" s="382" t="n">
        <v>12039.09</v>
      </c>
      <c r="C16" s="399">
        <f>(B16*0.06)*1.13</f>
        <v/>
      </c>
      <c r="D16" s="399">
        <f>(B16*0.02)*1.13</f>
        <v/>
      </c>
      <c r="E16" s="399" t="n"/>
      <c r="F16" s="391" t="n">
        <v>12047.67</v>
      </c>
      <c r="G16" s="389" t="n">
        <v>9433.309999999999</v>
      </c>
      <c r="H16" s="389" t="n">
        <v>158.94</v>
      </c>
      <c r="I16" s="389" t="n">
        <v>590.33</v>
      </c>
      <c r="J16" s="389" t="n">
        <v>1865.09</v>
      </c>
      <c r="K16" s="390" t="n">
        <v>1978.48</v>
      </c>
      <c r="L16" s="383" t="n">
        <v>138.17</v>
      </c>
      <c r="M16" s="390" t="n">
        <v>16.2</v>
      </c>
      <c r="N16" s="382" t="n">
        <v>0</v>
      </c>
      <c r="O16" s="382">
        <f>(K16-L16)+(M16-N16)</f>
        <v/>
      </c>
      <c r="P16" s="382">
        <f>SUM(G16,H16,I16,O16)</f>
        <v/>
      </c>
      <c r="Q16" s="382" t="n"/>
    </row>
    <row r="17">
      <c r="A17" s="394" t="inlineStr">
        <is>
          <t>June 09 - June 15 2025</t>
        </is>
      </c>
      <c r="B17" s="394" t="n">
        <v>13055.04</v>
      </c>
      <c r="C17" s="399">
        <f>(B17*0.06)*1.13</f>
        <v/>
      </c>
      <c r="D17" s="399">
        <f>(B17*0.02)*1.13</f>
        <v/>
      </c>
      <c r="E17" s="399" t="n"/>
      <c r="F17" s="391" t="n">
        <v>13288.84</v>
      </c>
      <c r="G17" s="389" t="n">
        <v>9385.52</v>
      </c>
      <c r="H17" s="389" t="n">
        <v>185.69</v>
      </c>
      <c r="I17" s="389" t="n">
        <v>549.6900000000001</v>
      </c>
      <c r="J17" s="389" t="n">
        <v>3167.94</v>
      </c>
      <c r="K17" s="390" t="n">
        <v>3141.24</v>
      </c>
      <c r="L17" s="395" t="n">
        <v>237.08</v>
      </c>
      <c r="M17" s="395" t="n">
        <v>29.98</v>
      </c>
      <c r="N17" s="394" t="n">
        <v>0</v>
      </c>
      <c r="O17" s="394">
        <f>(K17-L17)+(M17-N17)</f>
        <v/>
      </c>
      <c r="P17" s="394">
        <f>SUM(G17,H17,I17,O17)</f>
        <v/>
      </c>
      <c r="Q17" s="394" t="n"/>
    </row>
    <row r="18">
      <c r="A18" s="394" t="inlineStr">
        <is>
          <t>June 16 - June 22 2025</t>
        </is>
      </c>
      <c r="B18" s="394" t="n">
        <v>12983.72</v>
      </c>
      <c r="C18" s="399">
        <f>(B18*0.06)*1.13</f>
        <v/>
      </c>
      <c r="D18" s="399">
        <f>(B18*0.02)*1.13</f>
        <v/>
      </c>
      <c r="E18" s="399" t="n"/>
      <c r="F18" s="391" t="n">
        <v>13103.48</v>
      </c>
      <c r="G18" s="389" t="n">
        <v>10064.45</v>
      </c>
      <c r="H18" s="389" t="n">
        <v>65.2</v>
      </c>
      <c r="I18" s="389" t="n">
        <v>625.54</v>
      </c>
      <c r="J18" s="389" t="n">
        <v>2348.29</v>
      </c>
      <c r="K18" s="390" t="n">
        <v>2347.39</v>
      </c>
      <c r="L18" s="395" t="n">
        <v>168.32</v>
      </c>
      <c r="M18" s="390" t="n">
        <v>49.46</v>
      </c>
      <c r="N18" s="394" t="n">
        <v>0</v>
      </c>
      <c r="O18" s="394">
        <f>(K18-L18)+(M18-N18)</f>
        <v/>
      </c>
      <c r="P18" s="394">
        <f>SUM(G18,H18,I18,O18)</f>
        <v/>
      </c>
      <c r="Q18" s="394" t="n"/>
    </row>
    <row r="19">
      <c r="A19" s="394" t="inlineStr">
        <is>
          <t>June 23 - June 29 2025</t>
        </is>
      </c>
      <c r="B19" s="394" t="n">
        <v>13364.94</v>
      </c>
      <c r="C19" s="399">
        <f>(B19*0.06)*1.13</f>
        <v/>
      </c>
      <c r="D19" s="399">
        <f>(B19*0.02)*1.13</f>
        <v/>
      </c>
      <c r="E19" s="399" t="n"/>
      <c r="F19" s="391" t="n">
        <v>13603.33</v>
      </c>
      <c r="G19" s="389" t="n">
        <v>10254.47</v>
      </c>
      <c r="H19" s="389" t="n">
        <v>167.99</v>
      </c>
      <c r="I19" s="389" t="n">
        <v>515.75</v>
      </c>
      <c r="J19" s="389" t="n">
        <v>2665.12</v>
      </c>
      <c r="K19" s="395" t="n">
        <v>2541.82</v>
      </c>
      <c r="L19" s="395" t="n">
        <v>133.99</v>
      </c>
      <c r="M19" s="390" t="n">
        <v>18.9</v>
      </c>
      <c r="N19" s="394" t="n">
        <v>0</v>
      </c>
      <c r="O19" s="394">
        <f>(K19-L19)+(M19-N19)</f>
        <v/>
      </c>
      <c r="P19" s="394">
        <f>SUM(G19,H19,I19,O19)</f>
        <v/>
      </c>
      <c r="Q19" s="394" t="n"/>
    </row>
    <row r="20">
      <c r="A20" s="394" t="inlineStr">
        <is>
          <t>June 30 - July 06 2025</t>
        </is>
      </c>
      <c r="B20" s="394" t="n">
        <v>14314.06</v>
      </c>
      <c r="C20" s="399">
        <f>(B20*0.06)*1.13</f>
        <v/>
      </c>
      <c r="D20" s="399">
        <f>(B20*0.02)*1.13</f>
        <v/>
      </c>
      <c r="E20" s="399" t="n"/>
      <c r="F20" s="391" t="n">
        <v>14252.5</v>
      </c>
      <c r="G20" s="389" t="n">
        <v>11199.44</v>
      </c>
      <c r="H20" s="389" t="n">
        <v>135.29</v>
      </c>
      <c r="I20" s="389" t="n">
        <v>839.42</v>
      </c>
      <c r="J20" s="389" t="n">
        <v>2078.35</v>
      </c>
      <c r="K20" s="390" t="n">
        <v>2147.79</v>
      </c>
      <c r="L20" s="395" t="n">
        <v>44.14</v>
      </c>
      <c r="M20" s="390" t="n">
        <v>36.26</v>
      </c>
      <c r="N20" s="394" t="n">
        <v>0</v>
      </c>
      <c r="O20" s="394">
        <f>(K20-L20)+(M20-N20)</f>
        <v/>
      </c>
      <c r="P20" s="394">
        <f>SUM(G20,H20,I20,O20)</f>
        <v/>
      </c>
      <c r="Q20" s="394" t="n"/>
    </row>
    <row r="21">
      <c r="A21" s="394" t="inlineStr">
        <is>
          <t>July 07 - July 13 2025</t>
        </is>
      </c>
      <c r="B21" s="394" t="n">
        <v>11942.82</v>
      </c>
      <c r="C21" s="399">
        <f>(B21*0.06)*1.13</f>
        <v/>
      </c>
      <c r="D21" s="399">
        <f>(B21*0.02)*1.13</f>
        <v/>
      </c>
      <c r="E21" s="399" t="n"/>
      <c r="F21" s="391" t="n">
        <v>11966.52</v>
      </c>
      <c r="G21" s="389" t="n">
        <v>9037.18</v>
      </c>
      <c r="H21" s="389" t="n">
        <v>148.95</v>
      </c>
      <c r="I21" s="389" t="n">
        <v>490.59</v>
      </c>
      <c r="J21" s="389" t="n">
        <v>2289.8</v>
      </c>
      <c r="K21" s="390" t="n">
        <v>2371.26</v>
      </c>
      <c r="L21" s="383" t="n">
        <v>105.16</v>
      </c>
      <c r="M21" s="395" t="n">
        <v>0</v>
      </c>
      <c r="N21" s="394" t="n">
        <v>0</v>
      </c>
      <c r="O21" s="394">
        <f>(K21-L21)+(M21-N21)</f>
        <v/>
      </c>
      <c r="P21" s="394">
        <f>SUM(G21,H21,I21,O21)</f>
        <v/>
      </c>
      <c r="Q21" s="394" t="n"/>
    </row>
    <row r="22">
      <c r="A22" s="394" t="inlineStr">
        <is>
          <t>July 14 - July 20 2025</t>
        </is>
      </c>
      <c r="B22" s="394" t="n">
        <v>10989.53</v>
      </c>
      <c r="C22" s="399">
        <f>(B22*0.06)*1.13</f>
        <v/>
      </c>
      <c r="D22" s="399">
        <f>(B22*0.02)*1.13</f>
        <v/>
      </c>
      <c r="E22" s="11" t="n">
        <v>425</v>
      </c>
      <c r="F22" s="391" t="n">
        <v>11211.55</v>
      </c>
      <c r="G22" s="389" t="n">
        <v>8389.049999999999</v>
      </c>
      <c r="H22" s="389" t="n">
        <v>108.08</v>
      </c>
      <c r="I22" s="389" t="n">
        <v>194.95</v>
      </c>
      <c r="J22" s="389" t="n">
        <v>2519.47</v>
      </c>
      <c r="K22" s="390" t="n">
        <v>2443.4</v>
      </c>
      <c r="L22" s="383" t="n">
        <v>162.15</v>
      </c>
      <c r="M22" s="390" t="n">
        <v>16.2</v>
      </c>
      <c r="N22" s="394" t="n">
        <v>0</v>
      </c>
      <c r="O22" s="394">
        <f>(K22-L22)+(M22-N22)</f>
        <v/>
      </c>
      <c r="P22" s="394">
        <f>SUM(G22,H22,I22,O22)</f>
        <v/>
      </c>
      <c r="Q22" s="394" t="n"/>
    </row>
    <row r="23">
      <c r="A23" s="394" t="inlineStr">
        <is>
          <t>July 21 - July 27 2025</t>
        </is>
      </c>
      <c r="B23" s="394" t="n">
        <v>11974.6</v>
      </c>
      <c r="C23" s="399">
        <f>(B23*0.06)*1.13</f>
        <v/>
      </c>
      <c r="D23" s="399">
        <f>(B23*0.02)*1.13</f>
        <v/>
      </c>
      <c r="E23" s="56" t="n">
        <v>478</v>
      </c>
      <c r="F23" s="391" t="n">
        <v>12054.1</v>
      </c>
      <c r="G23" s="389" t="n">
        <v>9404.540000000001</v>
      </c>
      <c r="H23" s="389" t="n">
        <v>76.19</v>
      </c>
      <c r="I23" s="389" t="n">
        <v>266.44</v>
      </c>
      <c r="J23" s="389" t="n">
        <v>2306.93</v>
      </c>
      <c r="K23" s="390" t="n">
        <v>2377.42</v>
      </c>
      <c r="L23" s="383" t="n">
        <v>166.78</v>
      </c>
      <c r="M23" s="390" t="n">
        <v>16.79</v>
      </c>
      <c r="N23" s="394" t="n">
        <v>0</v>
      </c>
      <c r="O23" s="394">
        <f>(K23-L23)+(M23-N23)</f>
        <v/>
      </c>
      <c r="P23" s="394">
        <f>SUM(G23,H23,I23,O23)</f>
        <v/>
      </c>
      <c r="Q23" s="394" t="n"/>
    </row>
    <row r="24">
      <c r="A24" s="394" t="inlineStr">
        <is>
          <t>July 28 - Aug 03 2025</t>
        </is>
      </c>
      <c r="B24" s="394" t="n">
        <v>12947.61</v>
      </c>
      <c r="C24" s="399">
        <f>(B24*0.06)*1.13</f>
        <v/>
      </c>
      <c r="D24" s="399">
        <f>(B24*0.02)*1.13</f>
        <v/>
      </c>
      <c r="E24" s="11" t="n">
        <v>494</v>
      </c>
      <c r="F24" s="391" t="n">
        <v>13150.05</v>
      </c>
      <c r="G24" s="389" t="n">
        <v>10118.94</v>
      </c>
      <c r="H24" s="389" t="n">
        <v>137.13</v>
      </c>
      <c r="I24" s="389" t="n">
        <v>308.57</v>
      </c>
      <c r="J24" s="389" t="n">
        <v>2585.41</v>
      </c>
      <c r="K24" s="390" t="n">
        <v>2486.67</v>
      </c>
      <c r="L24" s="383" t="n">
        <v>123.19</v>
      </c>
      <c r="M24" s="390" t="n">
        <v>19.49</v>
      </c>
      <c r="N24" s="394" t="n">
        <v>0</v>
      </c>
      <c r="O24" s="394">
        <f>(K24-L24)+(M24-N24)</f>
        <v/>
      </c>
      <c r="P24" s="394">
        <f>SUM(G24,H24,I24,O24)</f>
        <v/>
      </c>
      <c r="Q24" s="394" t="n"/>
    </row>
    <row r="25">
      <c r="A25" s="394" t="inlineStr">
        <is>
          <t>Aug 04 - Aug 10 2025</t>
        </is>
      </c>
      <c r="B25" s="394" t="n">
        <v>12241.33</v>
      </c>
      <c r="C25" s="399">
        <f>(B25*0.06)*1.13</f>
        <v/>
      </c>
      <c r="D25" s="399">
        <f>(B25*0.02)*1.13</f>
        <v/>
      </c>
      <c r="E25" s="11" t="n">
        <v>499</v>
      </c>
      <c r="F25" s="391" t="n">
        <v>12343</v>
      </c>
      <c r="G25" s="389" t="n">
        <v>8964.030000000001</v>
      </c>
      <c r="H25" s="389" t="n">
        <v>80.79000000000001</v>
      </c>
      <c r="I25" s="389" t="n">
        <v>472.79</v>
      </c>
      <c r="J25" s="389" t="n">
        <v>2825.39</v>
      </c>
      <c r="K25" s="390" t="n">
        <v>2938.83</v>
      </c>
      <c r="L25" s="383" t="n">
        <v>215.11</v>
      </c>
      <c r="M25" s="390" t="n">
        <v>0</v>
      </c>
      <c r="N25" s="394" t="n">
        <v>0</v>
      </c>
      <c r="O25" s="394">
        <f>(K25-L25)+(M25-N25)</f>
        <v/>
      </c>
      <c r="P25" s="394">
        <f>SUM(G25,H25,I25,O25)</f>
        <v/>
      </c>
      <c r="Q25" s="394" t="n"/>
    </row>
    <row r="26">
      <c r="A26" s="394" t="inlineStr">
        <is>
          <t>Aug 11 - Aug 17 2025</t>
        </is>
      </c>
      <c r="B26" s="394" t="n">
        <v>11820.22</v>
      </c>
      <c r="C26" s="399">
        <f>(B26*0.06)*1.13</f>
        <v/>
      </c>
      <c r="D26" s="399">
        <f>(B26*0.02)*1.13</f>
        <v/>
      </c>
      <c r="E26" s="11" t="n">
        <v>487</v>
      </c>
      <c r="F26" s="391" t="n">
        <v>12114.39</v>
      </c>
      <c r="G26" s="389" t="n">
        <v>9038.790000000001</v>
      </c>
      <c r="H26" s="389" t="n">
        <v>78.18000000000001</v>
      </c>
      <c r="I26" s="389" t="n">
        <v>515.1</v>
      </c>
      <c r="J26" s="389" t="n">
        <v>2482.32</v>
      </c>
      <c r="K26" s="390" t="n">
        <v>2403.12</v>
      </c>
      <c r="L26" s="383" t="n">
        <v>214.97</v>
      </c>
      <c r="M26" s="390" t="n">
        <v>0</v>
      </c>
      <c r="N26" s="394" t="n">
        <v>0</v>
      </c>
      <c r="O26" s="394">
        <f>(K26-L26)+(M26-N26)</f>
        <v/>
      </c>
      <c r="P26" s="394">
        <f>SUM(G26,H26,I26,O26)</f>
        <v/>
      </c>
      <c r="Q26" s="394" t="n"/>
    </row>
    <row r="27">
      <c r="A27" s="394" t="inlineStr">
        <is>
          <t>Aug 18 - Aug 24 2025</t>
        </is>
      </c>
      <c r="B27" s="394" t="n">
        <v>10592.17</v>
      </c>
      <c r="C27" s="399">
        <f>(B27*0.06)*1.13</f>
        <v/>
      </c>
      <c r="D27" s="399">
        <f>(B27*0.02)*1.13</f>
        <v/>
      </c>
      <c r="E27" s="11" t="n">
        <v>406</v>
      </c>
      <c r="F27" s="391" t="n">
        <v>10627.64</v>
      </c>
      <c r="G27" s="389" t="n">
        <v>7569.74</v>
      </c>
      <c r="H27" s="389" t="n">
        <v>240.1</v>
      </c>
      <c r="I27" s="389" t="n">
        <v>548.85</v>
      </c>
      <c r="J27" s="389" t="n">
        <v>2268.95</v>
      </c>
      <c r="K27" s="390" t="n">
        <v>2321.49</v>
      </c>
      <c r="L27" s="383" t="n">
        <v>169.27</v>
      </c>
      <c r="M27" s="383" t="n">
        <v>81.26000000000001</v>
      </c>
      <c r="N27" s="394" t="n">
        <v>0</v>
      </c>
      <c r="O27" s="394">
        <f>(K27-L27)+(M27-N27)</f>
        <v/>
      </c>
      <c r="P27" s="394">
        <f>SUM(G27,H27,I27,O27)</f>
        <v/>
      </c>
      <c r="Q27" s="394" t="n"/>
    </row>
    <row r="28">
      <c r="A28" s="394" t="inlineStr">
        <is>
          <t>Aug 25 - Aug 31 2025</t>
        </is>
      </c>
      <c r="B28" s="394" t="n">
        <v>13732.56</v>
      </c>
      <c r="C28" s="399">
        <f>(B28*0.06)*1.13</f>
        <v/>
      </c>
      <c r="D28" s="399">
        <f>(B28*0.02)*1.13</f>
        <v/>
      </c>
      <c r="E28" s="11" t="n">
        <v>521</v>
      </c>
      <c r="F28" s="391" t="n">
        <v>14046.06</v>
      </c>
      <c r="G28" s="389" t="n">
        <v>10729.44</v>
      </c>
      <c r="H28" s="389" t="n">
        <v>102.3</v>
      </c>
      <c r="I28" s="389" t="n">
        <v>396.59</v>
      </c>
      <c r="J28" s="389" t="n">
        <v>2817.73</v>
      </c>
      <c r="K28" s="390" t="n">
        <v>2724.14</v>
      </c>
      <c r="L28" s="383" t="n">
        <v>219.91</v>
      </c>
      <c r="M28" s="390" t="n">
        <v>0</v>
      </c>
      <c r="N28" s="394" t="n">
        <v>0</v>
      </c>
      <c r="O28" s="394">
        <f>(K28-L28)+(M28-N28)</f>
        <v/>
      </c>
      <c r="P28" s="394">
        <f>SUM(G28,H28,I28,O28)</f>
        <v/>
      </c>
      <c r="Q28" s="394" t="n"/>
    </row>
    <row r="29">
      <c r="A29" s="394" t="inlineStr">
        <is>
          <t>Sep 01 - Sep 07 2025</t>
        </is>
      </c>
      <c r="B29" s="394" t="n">
        <v>10690.28</v>
      </c>
      <c r="C29" s="399">
        <f>(B29*0.06)*1.13</f>
        <v/>
      </c>
      <c r="D29" s="399">
        <f>(B29*0.02)*1.13</f>
        <v/>
      </c>
      <c r="E29" s="11" t="n">
        <v>407</v>
      </c>
      <c r="F29" s="391" t="n">
        <v>10806.05</v>
      </c>
      <c r="G29" s="389" t="n">
        <v>7596.4</v>
      </c>
      <c r="H29" s="389" t="n">
        <v>83.2</v>
      </c>
      <c r="I29" s="389" t="n">
        <v>364.3</v>
      </c>
      <c r="J29" s="389" t="n">
        <v>2762.15</v>
      </c>
      <c r="K29" s="390" t="n">
        <v>2850.94</v>
      </c>
      <c r="L29" s="383" t="n">
        <v>204.56</v>
      </c>
      <c r="M29" s="390" t="n">
        <v>0</v>
      </c>
      <c r="N29" s="394" t="n">
        <v>0</v>
      </c>
      <c r="O29" s="394">
        <f>(K29-L29)+(M29-N29)</f>
        <v/>
      </c>
      <c r="P29" s="394">
        <f>SUM(G29,H29,I29,O29)</f>
        <v/>
      </c>
      <c r="Q29" s="394" t="n"/>
    </row>
    <row r="30">
      <c r="A30" s="394" t="inlineStr">
        <is>
          <t>Sep 08 - Sep 14 2025</t>
        </is>
      </c>
      <c r="B30" s="394" t="n">
        <v>10419.98</v>
      </c>
      <c r="C30" s="399">
        <f>(B30*0.06)*1.13</f>
        <v/>
      </c>
      <c r="D30" s="399">
        <f>(B30*0.02)*1.13</f>
        <v/>
      </c>
      <c r="E30" s="11" t="n">
        <v>384</v>
      </c>
      <c r="F30" s="391" t="n">
        <v>10568.22</v>
      </c>
      <c r="G30" s="389" t="n">
        <v>7718.52</v>
      </c>
      <c r="H30" s="389" t="n">
        <v>96.7</v>
      </c>
      <c r="I30" s="389" t="n">
        <v>389.75</v>
      </c>
      <c r="J30" s="389" t="n">
        <v>2363.25</v>
      </c>
      <c r="K30" s="397" t="n">
        <v>2398.06</v>
      </c>
      <c r="L30" s="397" t="n">
        <v>183.05</v>
      </c>
      <c r="M30" s="390" t="n">
        <v>0</v>
      </c>
      <c r="N30" s="394" t="n">
        <v>0</v>
      </c>
      <c r="O30" s="394">
        <f>(K30-L30)+(M30-N30)</f>
        <v/>
      </c>
      <c r="P30" s="394">
        <f>SUM(G30,H30,I30,O30)</f>
        <v/>
      </c>
      <c r="Q30" s="394" t="n"/>
    </row>
    <row r="31">
      <c r="A31" s="394" t="inlineStr">
        <is>
          <t>Sep 15 - Sep 21 2025</t>
        </is>
      </c>
      <c r="B31" s="394" t="n">
        <v>10981.98</v>
      </c>
      <c r="C31" s="399">
        <f>(B31*0.06)*1.13</f>
        <v/>
      </c>
      <c r="D31" s="399">
        <f>(B31*0.02)*1.13</f>
        <v/>
      </c>
      <c r="E31" s="11" t="n">
        <v>414</v>
      </c>
      <c r="F31" s="391" t="n">
        <v>11221.66</v>
      </c>
      <c r="G31" s="389" t="n">
        <v>8565.719999999999</v>
      </c>
      <c r="H31" s="389" t="n">
        <v>27.47</v>
      </c>
      <c r="I31" s="389" t="n">
        <v>377.71</v>
      </c>
      <c r="J31" s="389" t="n">
        <v>2250.76</v>
      </c>
      <c r="K31" s="390" t="n">
        <v>2175.16</v>
      </c>
      <c r="L31" s="383" t="n">
        <v>164.08</v>
      </c>
      <c r="M31" s="390" t="n">
        <v>0</v>
      </c>
      <c r="N31" s="394" t="n">
        <v>0</v>
      </c>
      <c r="O31" s="394">
        <f>(K31-L31)+(M31-N31)</f>
        <v/>
      </c>
      <c r="P31" s="394">
        <f>SUM(G31,H31,I31,O31)</f>
        <v/>
      </c>
      <c r="Q31" s="394" t="n"/>
    </row>
    <row r="32">
      <c r="A32" s="394" t="inlineStr">
        <is>
          <t>Sep 22 - Sep 28 2025</t>
        </is>
      </c>
      <c r="B32" s="394" t="n">
        <v>13592.58</v>
      </c>
      <c r="C32" s="399">
        <f>(B32*0.06)*1.13</f>
        <v/>
      </c>
      <c r="D32" s="399">
        <f>(B32*0.02)*1.13</f>
        <v/>
      </c>
      <c r="E32" s="11" t="n">
        <v>474</v>
      </c>
      <c r="F32" s="391" t="n">
        <v>13726.19</v>
      </c>
      <c r="G32" s="389" t="n">
        <v>10686.02</v>
      </c>
      <c r="H32" s="389" t="n">
        <v>50.4</v>
      </c>
      <c r="I32" s="389" t="n">
        <v>524.3200000000001</v>
      </c>
      <c r="J32" s="389" t="n">
        <v>2465.45</v>
      </c>
      <c r="K32" s="390" t="n">
        <v>2511.84</v>
      </c>
      <c r="L32" s="383" t="n">
        <v>180</v>
      </c>
      <c r="M32" s="390" t="n">
        <v>0</v>
      </c>
      <c r="N32" s="394" t="n">
        <v>0</v>
      </c>
      <c r="O32" s="394">
        <f>(K32-L32)+(M32-N32)</f>
        <v/>
      </c>
      <c r="P32" s="394">
        <f>SUM(G32,H32,I32,O32)</f>
        <v/>
      </c>
      <c r="Q32" s="394" t="n"/>
    </row>
    <row r="33">
      <c r="A33" s="394" t="inlineStr">
        <is>
          <t>Sep 29 - Oct 05 2025</t>
        </is>
      </c>
      <c r="B33" s="394" t="n">
        <v>12630.49</v>
      </c>
      <c r="C33" s="399">
        <f>(B33*0.06)*1.13</f>
        <v/>
      </c>
      <c r="D33" s="399">
        <f>(B33*0.02)*1.13</f>
        <v/>
      </c>
      <c r="E33" s="11" t="n">
        <v>465</v>
      </c>
      <c r="F33" s="391" t="n">
        <v>12502</v>
      </c>
      <c r="G33" s="389" t="n">
        <v>10063.39</v>
      </c>
      <c r="H33" s="389" t="n">
        <v>78.39</v>
      </c>
      <c r="I33" s="389" t="n">
        <v>369.19</v>
      </c>
      <c r="J33" s="389" t="n">
        <v>1991.03</v>
      </c>
      <c r="K33" s="383" t="n">
        <v>2150.13</v>
      </c>
      <c r="L33" s="383" t="n">
        <v>47.4</v>
      </c>
      <c r="M33" s="390" t="n">
        <v>16.79</v>
      </c>
      <c r="N33" s="394" t="n">
        <v>0</v>
      </c>
      <c r="O33" s="394">
        <f>(K33-L33)+(M33-N33)</f>
        <v/>
      </c>
      <c r="P33" s="394">
        <f>SUM(G33,H33,I33,O33)</f>
        <v/>
      </c>
      <c r="Q33" s="394" t="n"/>
    </row>
    <row r="34">
      <c r="A34" s="394" t="inlineStr">
        <is>
          <t>Oct 6 - Oct 12 2025</t>
        </is>
      </c>
      <c r="B34" s="394" t="n">
        <v>11585.27</v>
      </c>
      <c r="C34" s="399">
        <f>(B34*0.06)*1.13</f>
        <v/>
      </c>
      <c r="D34" s="399">
        <f>(B34*0.02)*1.13</f>
        <v/>
      </c>
      <c r="E34" s="56" t="n">
        <v>422</v>
      </c>
      <c r="F34" s="391" t="n">
        <v>11585.27</v>
      </c>
      <c r="G34" s="389" t="n">
        <v>9743.01</v>
      </c>
      <c r="H34" s="389" t="n">
        <v>78</v>
      </c>
      <c r="I34" s="389" t="n">
        <v>261.59</v>
      </c>
      <c r="J34" s="389" t="n">
        <v>1502.67</v>
      </c>
      <c r="K34" s="383" t="n">
        <v>1461.3</v>
      </c>
      <c r="L34" s="383" t="n">
        <v>0</v>
      </c>
      <c r="M34" s="383" t="n">
        <v>41.37</v>
      </c>
      <c r="N34" s="394" t="n">
        <v>0</v>
      </c>
      <c r="O34" s="394">
        <f>(K34-L34)+(M34-N34)</f>
        <v/>
      </c>
      <c r="P34" s="394">
        <f>SUM(G34,H34,I34,O34)</f>
        <v/>
      </c>
      <c r="Q34" s="394" t="n"/>
    </row>
    <row r="35">
      <c r="A35" s="394" t="inlineStr">
        <is>
          <t>Oct 13 - Oct 19 2025</t>
        </is>
      </c>
      <c r="B35" s="394" t="n">
        <v>12293.93</v>
      </c>
      <c r="C35" s="399">
        <f>(B35*0.06)*1.13</f>
        <v/>
      </c>
      <c r="D35" s="399">
        <f>(B35*0.02)*1.13</f>
        <v/>
      </c>
      <c r="E35" s="11" t="n"/>
      <c r="F35" s="394" t="n">
        <v>12267.53</v>
      </c>
      <c r="G35" s="394" t="n">
        <v>9529.43</v>
      </c>
      <c r="H35" s="394" t="n">
        <v>69.67</v>
      </c>
      <c r="I35" s="394" t="n">
        <v>408.22</v>
      </c>
      <c r="J35" s="394" t="n">
        <v>2260.21</v>
      </c>
      <c r="K35" s="447" t="n">
        <v>2210.85</v>
      </c>
      <c r="L35" s="383" t="n">
        <v>0</v>
      </c>
      <c r="M35" s="447" t="n">
        <v>75.76000000000001</v>
      </c>
      <c r="N35" s="394" t="n">
        <v>0</v>
      </c>
      <c r="O35" s="394">
        <f>(K35-L35)+(M35-N35)</f>
        <v/>
      </c>
      <c r="P35" s="394">
        <f>SUM(G35,H35,I35,O35)</f>
        <v/>
      </c>
      <c r="Q35" s="394" t="n"/>
    </row>
    <row r="36">
      <c r="A36" s="394" t="inlineStr">
        <is>
          <t>Oct 20 - Oct 26 2025</t>
        </is>
      </c>
      <c r="B36" s="394" t="n">
        <v>11555.06</v>
      </c>
      <c r="C36" s="399">
        <f>(B36*0.06)*1.13</f>
        <v/>
      </c>
      <c r="D36" s="399">
        <f>(B36*0.02)*1.13</f>
        <v/>
      </c>
      <c r="E36" s="11" t="n"/>
      <c r="F36" s="394" t="n">
        <v>11353.63</v>
      </c>
      <c r="G36" s="394" t="n">
        <v>8658.4</v>
      </c>
      <c r="H36" s="394" t="n">
        <v>85.19</v>
      </c>
      <c r="I36" s="394" t="n">
        <v>495.24</v>
      </c>
      <c r="J36" s="394" t="n">
        <v>2114.8</v>
      </c>
      <c r="K36" s="383" t="n">
        <v>2215.48</v>
      </c>
      <c r="L36" s="383" t="n">
        <v>0</v>
      </c>
      <c r="M36" s="383" t="n">
        <v>100.75</v>
      </c>
      <c r="N36" s="394" t="n">
        <v>0</v>
      </c>
      <c r="O36" s="394">
        <f>(K36-L36)+(M36-N36)</f>
        <v/>
      </c>
      <c r="P36" s="394">
        <f>SUM(G36,H36,I36,O36)</f>
        <v/>
      </c>
      <c r="Q36" s="394" t="n"/>
    </row>
    <row r="37">
      <c r="A37" s="394" t="inlineStr">
        <is>
          <t>Oct 27 - Nov 02 2025</t>
        </is>
      </c>
      <c r="B37" s="394" t="n">
        <v>10863.69</v>
      </c>
      <c r="C37" s="399">
        <f>(B37*0.06)*1.13</f>
        <v/>
      </c>
      <c r="D37" s="399">
        <f>(B37*0.02)*1.13</f>
        <v/>
      </c>
      <c r="E37" s="300" t="n">
        <v>387</v>
      </c>
      <c r="F37" s="394" t="n">
        <v>10660.12</v>
      </c>
      <c r="G37" s="394" t="n">
        <v>8633.73</v>
      </c>
      <c r="H37" s="394" t="n">
        <v>53.79</v>
      </c>
      <c r="I37" s="394" t="n">
        <v>283.42</v>
      </c>
      <c r="J37" s="394" t="n">
        <v>1689.18</v>
      </c>
      <c r="K37" s="383" t="n">
        <v>1892.75</v>
      </c>
      <c r="L37" s="383" t="n">
        <v>0</v>
      </c>
      <c r="M37" s="390" t="n">
        <v>0</v>
      </c>
      <c r="N37" s="394" t="n">
        <v>0</v>
      </c>
      <c r="O37" s="394">
        <f>(K37-L37)+(M37-N37)</f>
        <v/>
      </c>
      <c r="P37" s="394">
        <f>SUM(G37,H37,I37,O37)</f>
        <v/>
      </c>
      <c r="Q37" s="394" t="n"/>
    </row>
    <row r="38">
      <c r="A38" s="394" t="inlineStr">
        <is>
          <t>Nov 03 - Nov 09 2025</t>
        </is>
      </c>
      <c r="B38" s="394" t="n">
        <v>11237.21</v>
      </c>
      <c r="C38" s="399">
        <f>(B38*0.06)*1.13</f>
        <v/>
      </c>
      <c r="D38" s="399">
        <f>(B38*0.02)*1.13</f>
        <v/>
      </c>
      <c r="E38" s="394" t="inlineStr">
        <is>
          <t>378</t>
        </is>
      </c>
      <c r="F38" s="394" t="n">
        <v>10213.17</v>
      </c>
      <c r="G38" s="394" t="n">
        <v>8370.76</v>
      </c>
      <c r="H38" s="394" t="n">
        <v>22.8</v>
      </c>
      <c r="I38" s="394" t="n">
        <v>346.46</v>
      </c>
      <c r="J38" s="394" t="n">
        <v>1473.15</v>
      </c>
      <c r="K38" s="466" t="n">
        <v>2469.8</v>
      </c>
      <c r="L38" s="383" t="n">
        <v>0</v>
      </c>
      <c r="M38" s="466" t="n">
        <v>27.39</v>
      </c>
      <c r="N38" s="394" t="n">
        <v>0</v>
      </c>
      <c r="O38" s="394">
        <f>(K38-L38)+(M38-N38)</f>
        <v/>
      </c>
      <c r="P38" s="394">
        <f>SUM(G38,H38,I38,O38)</f>
        <v/>
      </c>
      <c r="Q38" s="394" t="n"/>
    </row>
    <row r="39">
      <c r="A39" s="394" t="inlineStr">
        <is>
          <t>Nov 10 - Nov 16 2025</t>
        </is>
      </c>
      <c r="B39" s="394" t="n">
        <v>12513.72</v>
      </c>
      <c r="C39" s="399">
        <f>(B39*0.06)*1.13</f>
        <v/>
      </c>
      <c r="D39" s="399">
        <f>(B39*0.02)*1.13</f>
        <v/>
      </c>
      <c r="E39" s="394" t="inlineStr">
        <is>
          <t>450</t>
        </is>
      </c>
      <c r="F39" s="394" t="n">
        <v>12210.21</v>
      </c>
      <c r="G39" s="394" t="n">
        <v>9605.41</v>
      </c>
      <c r="H39" s="394" t="n">
        <v>37.49</v>
      </c>
      <c r="I39" s="394" t="n">
        <v>283.32</v>
      </c>
      <c r="J39" s="394" t="n">
        <v>2283.99</v>
      </c>
      <c r="K39" s="383" t="n">
        <v>2574.91</v>
      </c>
      <c r="L39" s="383" t="n">
        <v>0</v>
      </c>
      <c r="M39" s="383" t="n">
        <v>12.59</v>
      </c>
      <c r="N39" s="394" t="n">
        <v>0</v>
      </c>
      <c r="O39" s="394">
        <f>(K39-L39)+(M39-N39)</f>
        <v/>
      </c>
      <c r="P39" s="394">
        <f>SUM(G39,H39,I39,O39)</f>
        <v/>
      </c>
      <c r="Q39" s="394" t="n"/>
    </row>
    <row r="40">
      <c r="A40" s="2" t="inlineStr">
        <is>
          <t>Nov 17 - Nov 23 2025</t>
        </is>
      </c>
      <c r="B40" s="394" t="n">
        <v>10494.8</v>
      </c>
      <c r="C40" s="399">
        <f>(B40*0.06)*1.13</f>
        <v/>
      </c>
      <c r="D40" s="399">
        <f>(B40*0.02)*1.13</f>
        <v/>
      </c>
      <c r="E40" s="394" t="inlineStr">
        <is>
          <t>391</t>
        </is>
      </c>
      <c r="F40" s="394" t="n">
        <v>10311.41</v>
      </c>
      <c r="G40" s="394" t="n">
        <v>8293.940000000001</v>
      </c>
      <c r="H40" s="394" t="n">
        <v>95.2</v>
      </c>
      <c r="I40" s="394" t="n">
        <v>505.32</v>
      </c>
      <c r="J40" s="394" t="n">
        <v>1416.95</v>
      </c>
      <c r="K40" s="383" t="n">
        <v>1559.16</v>
      </c>
      <c r="L40" s="383" t="n">
        <v>0</v>
      </c>
      <c r="M40" s="383" t="n">
        <v>41.18</v>
      </c>
      <c r="N40" s="394" t="n">
        <v>0</v>
      </c>
      <c r="O40" s="394">
        <f>(K40-L40)+(M40-N40)</f>
        <v/>
      </c>
      <c r="P40" s="394">
        <f>SUM(G40,H40,I40,O40)</f>
        <v/>
      </c>
      <c r="Q40" s="394" t="n"/>
    </row>
    <row r="41">
      <c r="A41" s="2" t="inlineStr">
        <is>
          <t>Nov 24 - Nov 30 2025</t>
        </is>
      </c>
      <c r="B41" s="394" t="n">
        <v>10884.24</v>
      </c>
      <c r="C41" s="399">
        <f>(B41*0.06)*1.13</f>
        <v/>
      </c>
      <c r="D41" s="399">
        <f>(B41*0.02)*1.13</f>
        <v/>
      </c>
      <c r="E41" s="304" t="n">
        <v>397</v>
      </c>
      <c r="F41" s="394" t="n">
        <v>10409.25</v>
      </c>
      <c r="G41" s="394" t="n">
        <v>8316.540000000001</v>
      </c>
      <c r="H41" s="394" t="n">
        <v>145.23</v>
      </c>
      <c r="I41" s="394" t="n">
        <v>528.8200000000001</v>
      </c>
      <c r="J41" s="394" t="n">
        <v>1418.66</v>
      </c>
      <c r="K41" s="383" t="n">
        <v>1805.9</v>
      </c>
      <c r="L41" s="383" t="n">
        <v>0</v>
      </c>
      <c r="M41" s="383" t="n">
        <v>87.75</v>
      </c>
      <c r="N41" s="394" t="n">
        <v>0</v>
      </c>
      <c r="O41" s="394">
        <f>(K41-L41)+(M41-N41)</f>
        <v/>
      </c>
      <c r="P41" s="394">
        <f>SUM(G41,H41,I41,O41)</f>
        <v/>
      </c>
      <c r="Q41" s="394" t="n"/>
    </row>
    <row r="42">
      <c r="A42" s="11" t="inlineStr">
        <is>
          <t>Dec 01 - Dec 07 2025</t>
        </is>
      </c>
      <c r="B42" s="394" t="n">
        <v>10675.93</v>
      </c>
      <c r="C42" s="394">
        <f>(B42*0.06)*1.13</f>
        <v/>
      </c>
      <c r="D42" s="394">
        <f>(B42*0.02)*1.13</f>
        <v/>
      </c>
      <c r="E42" s="304" t="n">
        <v>412</v>
      </c>
      <c r="F42" s="394" t="n">
        <v>10493.36</v>
      </c>
      <c r="G42" s="394" t="n">
        <v>8005.99</v>
      </c>
      <c r="H42" s="56" t="n">
        <v>102.89</v>
      </c>
      <c r="I42" s="394" t="n">
        <v>625.3099999999999</v>
      </c>
      <c r="J42" s="394" t="n">
        <v>1759.17</v>
      </c>
      <c r="K42" s="373" t="n">
        <v>1865.98</v>
      </c>
      <c r="L42" s="373" t="n">
        <v>0</v>
      </c>
      <c r="M42" s="373" t="n">
        <v>75.76000000000001</v>
      </c>
      <c r="N42" s="394" t="n">
        <v>0</v>
      </c>
      <c r="O42" s="394">
        <f>(K42-L42)+(M42-N42)</f>
        <v/>
      </c>
      <c r="P42" s="394">
        <f>SUM(G42,H42,I42,O42)</f>
        <v/>
      </c>
      <c r="Q42" s="394" t="n"/>
    </row>
    <row r="43">
      <c r="A43" s="118" t="inlineStr">
        <is>
          <t>Dec 08 - Dec 14 2025</t>
        </is>
      </c>
      <c r="B43" s="394" t="n">
        <v>9869.469999999999</v>
      </c>
      <c r="C43" s="394">
        <f>(B43*0.06)*1.13</f>
        <v/>
      </c>
      <c r="D43" s="394">
        <f>(B43*0.02)*1.13</f>
        <v/>
      </c>
      <c r="E43" s="394" t="inlineStr">
        <is>
          <t>354</t>
        </is>
      </c>
      <c r="F43" s="394" t="n">
        <v>9574.700000000001</v>
      </c>
      <c r="G43" s="394" t="n">
        <v>6988.28</v>
      </c>
      <c r="H43" s="394" t="n">
        <v>35.98</v>
      </c>
      <c r="I43" s="394" t="n">
        <v>411.48</v>
      </c>
      <c r="J43" s="394" t="n">
        <v>2138.96</v>
      </c>
      <c r="K43" s="373" t="n">
        <v>2401.35</v>
      </c>
      <c r="L43" s="373" t="n">
        <v>0</v>
      </c>
      <c r="M43" s="373" t="n">
        <v>32.38</v>
      </c>
      <c r="N43" s="394" t="n">
        <v>0</v>
      </c>
      <c r="O43" s="394">
        <f>(K43-L43)+(M43-N43)</f>
        <v/>
      </c>
      <c r="P43" s="394">
        <f>SUM(G43,H43,I43,O43)</f>
        <v/>
      </c>
      <c r="Q43" s="394" t="n"/>
    </row>
    <row r="44">
      <c r="A44" s="11" t="inlineStr">
        <is>
          <t>Dec 15 - Dec 21 2025</t>
        </is>
      </c>
      <c r="B44" s="394" t="n">
        <v>11180.16</v>
      </c>
      <c r="C44" s="394">
        <f>(B44*0.06)*1.13</f>
        <v/>
      </c>
      <c r="D44" s="394">
        <f>(B44*0.02)*1.13</f>
        <v/>
      </c>
      <c r="E44" s="394" t="inlineStr">
        <is>
          <t>392</t>
        </is>
      </c>
      <c r="F44" s="394" t="n">
        <v>11100.22</v>
      </c>
      <c r="G44" s="394" t="n">
        <v>7883.06</v>
      </c>
      <c r="H44" s="394" t="n">
        <v>44.4</v>
      </c>
      <c r="I44" s="394" t="n">
        <v>280.92</v>
      </c>
      <c r="J44" s="394" t="n">
        <v>2891.84</v>
      </c>
      <c r="K44" s="373" t="n">
        <v>2949.92</v>
      </c>
      <c r="L44" s="373" t="n">
        <v>34.31</v>
      </c>
      <c r="M44" s="373" t="n">
        <v>56.17</v>
      </c>
      <c r="N44" s="394" t="n">
        <v>0</v>
      </c>
      <c r="O44" s="394">
        <f>(K44-L44)+(M44-N44)</f>
        <v/>
      </c>
      <c r="P44" s="394">
        <f>SUM(G44,H44,I44,O44)</f>
        <v/>
      </c>
      <c r="Q44" s="394" t="n"/>
    </row>
    <row r="45">
      <c r="A45" s="11" t="inlineStr">
        <is>
          <t>Dec 22 - Dec 28 2025</t>
        </is>
      </c>
      <c r="B45" s="394" t="n">
        <v>13373.91</v>
      </c>
      <c r="C45" s="394">
        <f>(B45*0.06)*1.13</f>
        <v/>
      </c>
      <c r="D45" s="394">
        <f>(B45*0.02)*1.13</f>
        <v/>
      </c>
      <c r="E45" s="304" t="n">
        <v>470</v>
      </c>
      <c r="F45" s="394" t="n">
        <v>13348.99</v>
      </c>
      <c r="G45" s="394" t="n">
        <v>9816.200000000001</v>
      </c>
      <c r="H45" s="394" t="n">
        <v>233.78</v>
      </c>
      <c r="I45" s="394" t="n">
        <v>544.38</v>
      </c>
      <c r="J45" s="394" t="n">
        <v>2754.63</v>
      </c>
      <c r="K45" s="373" t="n">
        <v>2747.15</v>
      </c>
      <c r="L45" s="373" t="n">
        <v>25.57</v>
      </c>
      <c r="M45" s="373" t="n">
        <v>57.97</v>
      </c>
      <c r="N45" s="394" t="n">
        <v>0</v>
      </c>
      <c r="O45" s="394">
        <f>(K45-L45)+(M45-N45)</f>
        <v/>
      </c>
      <c r="P45" s="394">
        <f>SUM(G45,H45,I45,O45)</f>
        <v/>
      </c>
      <c r="Q45" s="394" t="n"/>
    </row>
    <row r="46">
      <c r="A46" s="11" t="inlineStr">
        <is>
          <t>Dec 29 - Jan 04 2026</t>
        </is>
      </c>
      <c r="B46" s="394" t="n">
        <v>14273.33</v>
      </c>
      <c r="C46" s="394">
        <f>(B46*0.06)*1.13</f>
        <v/>
      </c>
      <c r="D46" s="394">
        <f>(B46*0.02)*1.13</f>
        <v/>
      </c>
      <c r="E46" s="394" t="inlineStr">
        <is>
          <t>509</t>
        </is>
      </c>
      <c r="F46" s="394" t="n">
        <v>14174.79</v>
      </c>
      <c r="G46" s="394" t="n">
        <v>10161.11</v>
      </c>
      <c r="H46" s="394" t="n">
        <v>123.47</v>
      </c>
      <c r="I46" s="394" t="n">
        <v>844.95</v>
      </c>
      <c r="J46" s="394" t="n">
        <v>3045.26</v>
      </c>
      <c r="K46" s="383" t="n">
        <v>3118.58</v>
      </c>
      <c r="L46" s="383" t="n">
        <v>18.36</v>
      </c>
      <c r="M46" s="383" t="n">
        <v>43.58</v>
      </c>
      <c r="N46" s="394" t="n">
        <v>0</v>
      </c>
      <c r="O46" s="394">
        <f>(K46-L46)+(M46-N46)</f>
        <v/>
      </c>
      <c r="P46" s="394">
        <f>SUM(G46,H46,I46,O46)</f>
        <v/>
      </c>
      <c r="Q46" s="394" t="n"/>
    </row>
    <row r="47">
      <c r="A47" s="11" t="inlineStr">
        <is>
          <t>Jan 05 - Jan 11 2026</t>
        </is>
      </c>
      <c r="B47" s="394" t="n">
        <v>9363.530000000001</v>
      </c>
      <c r="C47" s="394">
        <f>(B47*0.06)*1.13</f>
        <v/>
      </c>
      <c r="D47" s="394">
        <f>(B47*0.02)*1.13</f>
        <v/>
      </c>
      <c r="E47" s="394" t="inlineStr">
        <is>
          <t>326</t>
        </is>
      </c>
      <c r="F47" s="394" t="n">
        <v>9132.32</v>
      </c>
      <c r="G47" s="394" t="n">
        <v>6961.69</v>
      </c>
      <c r="H47" s="394" t="n">
        <v>132.39</v>
      </c>
      <c r="I47" s="394" t="n">
        <v>268.76</v>
      </c>
      <c r="J47" s="394" t="n">
        <v>1769.48</v>
      </c>
      <c r="K47" s="383" t="n">
        <v>2014.66</v>
      </c>
      <c r="L47" s="383" t="n">
        <v>30.16</v>
      </c>
      <c r="M47" s="383" t="n">
        <v>16.19</v>
      </c>
      <c r="N47" s="394" t="n">
        <v>0</v>
      </c>
      <c r="O47" s="394">
        <f>(K47-L47)+(M47-N47)</f>
        <v/>
      </c>
      <c r="P47" s="394">
        <f>SUM(G47,H47,I47,O47)</f>
        <v/>
      </c>
      <c r="Q47" s="394" t="n"/>
    </row>
    <row r="48">
      <c r="A48" s="11" t="inlineStr">
        <is>
          <t>Jan 12 - Jan 18 2026</t>
        </is>
      </c>
      <c r="B48" s="394" t="n">
        <v>10271.64</v>
      </c>
      <c r="C48" s="394">
        <f>(B48*0.06)*1.13</f>
        <v/>
      </c>
      <c r="D48" s="394">
        <f>(B48*0.02)*1.13</f>
        <v/>
      </c>
      <c r="E48" s="394" t="inlineStr">
        <is>
          <t>374</t>
        </is>
      </c>
      <c r="F48" s="394" t="n">
        <v>10109.78</v>
      </c>
      <c r="G48" s="394" t="n">
        <v>7388.68</v>
      </c>
      <c r="H48" s="394" t="n">
        <v>211.98</v>
      </c>
      <c r="I48" s="394" t="n">
        <v>470.29</v>
      </c>
      <c r="J48" s="394" t="n">
        <v>2038.83</v>
      </c>
      <c r="K48" s="383" t="n">
        <v>2196.26</v>
      </c>
      <c r="L48" s="383" t="n">
        <v>51.14</v>
      </c>
      <c r="M48" s="383" t="n">
        <v>55.57</v>
      </c>
      <c r="N48" s="394" t="n">
        <v>0</v>
      </c>
      <c r="O48" s="394">
        <f>(K48-L48)+(M48-N48)</f>
        <v/>
      </c>
      <c r="P48" s="394">
        <f>SUM(G48,H48,I48,O48)</f>
        <v/>
      </c>
      <c r="Q48" s="394" t="n"/>
    </row>
    <row r="49">
      <c r="A49" s="30" t="inlineStr">
        <is>
          <t>Jan 19 - Jan 25 2026</t>
        </is>
      </c>
      <c r="B49" s="394" t="n">
        <v>9224.26</v>
      </c>
      <c r="C49" s="394">
        <f>(B49*0.06)*1.13</f>
        <v/>
      </c>
      <c r="D49" s="394">
        <f>(B49*0.02)*1.13</f>
        <v/>
      </c>
      <c r="E49" s="394" t="inlineStr">
        <is>
          <t>301</t>
        </is>
      </c>
      <c r="F49" s="394" t="n">
        <v>8631.540000000001</v>
      </c>
      <c r="G49" s="394" t="n">
        <v>6645.18</v>
      </c>
      <c r="H49" s="394" t="n">
        <v>253.76</v>
      </c>
      <c r="I49" s="394" t="n">
        <v>302.54</v>
      </c>
      <c r="J49" s="394" t="n">
        <v>1430.06</v>
      </c>
      <c r="K49" s="383" t="n">
        <v>2051.95</v>
      </c>
      <c r="L49" s="383" t="n">
        <v>29.17</v>
      </c>
      <c r="M49" s="383" t="n">
        <v>0</v>
      </c>
      <c r="N49" s="394" t="n">
        <v>0</v>
      </c>
      <c r="O49" s="394">
        <f>(K49-L49)+(M49-N49)</f>
        <v/>
      </c>
      <c r="P49" s="394">
        <f>SUM(G49,H49,I49,O49)</f>
        <v/>
      </c>
      <c r="Q49" s="394" t="n"/>
    </row>
    <row r="50">
      <c r="A50" s="30" t="inlineStr">
        <is>
          <t>Jan 26 - Feb 01 2026</t>
        </is>
      </c>
      <c r="B50" s="394" t="n">
        <v>10390.4</v>
      </c>
      <c r="C50" s="394">
        <f>(B50*0.06)*1.13</f>
        <v/>
      </c>
      <c r="D50" s="394">
        <f>(B50*0.02)*1.13</f>
        <v/>
      </c>
      <c r="E50" s="394" t="inlineStr">
        <is>
          <t>355</t>
        </is>
      </c>
      <c r="F50" s="394" t="n">
        <v>9920.48</v>
      </c>
      <c r="G50" s="394" t="n">
        <v>7232.29</v>
      </c>
      <c r="H50" s="394" t="n">
        <v>38.8</v>
      </c>
      <c r="I50" s="394" t="n">
        <v>364.06</v>
      </c>
      <c r="J50" s="394" t="n">
        <v>2285.33</v>
      </c>
      <c r="K50" s="383" t="n">
        <v>2808.6</v>
      </c>
      <c r="L50" s="383" t="n">
        <v>66.54000000000001</v>
      </c>
      <c r="M50" s="383" t="n">
        <v>13.19</v>
      </c>
      <c r="N50" s="394" t="n">
        <v>0</v>
      </c>
      <c r="O50" s="394">
        <f>(K50-L50)+(M50-N50)</f>
        <v/>
      </c>
      <c r="P50" s="394">
        <f>SUM(G50,H50,I50,O50)</f>
        <v/>
      </c>
      <c r="Q50" s="394" t="n"/>
    </row>
    <row r="51">
      <c r="A51" s="30" t="inlineStr">
        <is>
          <t>Feb 02 - Feb 08 2026</t>
        </is>
      </c>
      <c r="B51" s="394" t="n">
        <v>10700.15</v>
      </c>
      <c r="C51" s="394">
        <f>(B51*0.06)*1.13</f>
        <v/>
      </c>
      <c r="D51" s="394">
        <f>(B51*0.02)*1.13</f>
        <v/>
      </c>
      <c r="E51" s="394" t="inlineStr">
        <is>
          <t>340</t>
        </is>
      </c>
      <c r="F51" s="394" t="n">
        <v>10298.02</v>
      </c>
      <c r="G51" s="394" t="n">
        <v>7671.6</v>
      </c>
      <c r="H51" s="394" t="n">
        <v>38.8</v>
      </c>
      <c r="I51" s="394" t="n">
        <v>580.2</v>
      </c>
      <c r="J51" s="394" t="n">
        <v>2007.42</v>
      </c>
      <c r="K51" s="383" t="n">
        <v>2442.52</v>
      </c>
      <c r="L51" s="383" t="n">
        <v>32.97</v>
      </c>
      <c r="M51" s="383" t="n">
        <v>0</v>
      </c>
      <c r="N51" s="394" t="n">
        <v>0</v>
      </c>
      <c r="O51" s="394">
        <f>(K51-L51)+(M51-N51)</f>
        <v/>
      </c>
      <c r="P51" s="394">
        <f>SUM(G51,H51,I51,O51)</f>
        <v/>
      </c>
      <c r="Q51" s="394" t="n"/>
    </row>
    <row r="52">
      <c r="A52" s="11" t="inlineStr">
        <is>
          <t>Feb 09 - Feb 15 2026</t>
        </is>
      </c>
      <c r="B52" s="394" t="n">
        <v>13932.22</v>
      </c>
      <c r="C52" s="394">
        <f>(B52*0.06)*1.13</f>
        <v/>
      </c>
      <c r="D52" s="394">
        <f>(B52*0.02)*1.13</f>
        <v/>
      </c>
      <c r="E52" s="394" t="inlineStr">
        <is>
          <t>425</t>
        </is>
      </c>
      <c r="F52" s="394" t="n">
        <v>13203.56</v>
      </c>
      <c r="G52" s="394" t="n">
        <v>10525.45</v>
      </c>
      <c r="H52" s="394" t="n">
        <v>38.5</v>
      </c>
      <c r="I52" s="394" t="n">
        <v>386.83</v>
      </c>
      <c r="J52" s="394" t="n">
        <v>2252.78</v>
      </c>
      <c r="K52" s="389" t="n">
        <v>3015.4</v>
      </c>
      <c r="L52" s="389" t="n">
        <v>33.96</v>
      </c>
      <c r="M52" s="383" t="n">
        <v>0</v>
      </c>
      <c r="N52" s="394" t="n">
        <v>0</v>
      </c>
      <c r="O52" s="394">
        <f>(K52-L52)+(M52-N52)</f>
        <v/>
      </c>
      <c r="P52" s="394">
        <f>SUM(G52,H52,I52,O52)</f>
        <v/>
      </c>
      <c r="Q52" s="394" t="n"/>
    </row>
    <row r="53">
      <c r="A53" s="11" t="inlineStr">
        <is>
          <t>Feb 16 - Feb 22 2026</t>
        </is>
      </c>
      <c r="B53" s="394" t="n">
        <v>8532.68</v>
      </c>
      <c r="C53" s="394">
        <f>(B53*0.06)*1.13</f>
        <v/>
      </c>
      <c r="D53" s="394">
        <f>(B53*0.02)*1.13</f>
        <v/>
      </c>
      <c r="E53" s="394" t="inlineStr">
        <is>
          <t>298</t>
        </is>
      </c>
      <c r="F53" s="394" t="n">
        <v>8212.1</v>
      </c>
      <c r="G53" s="394" t="n">
        <v>6364.25</v>
      </c>
      <c r="H53" s="394" t="n">
        <v>86.95999999999999</v>
      </c>
      <c r="I53" s="394" t="n">
        <v>409.04</v>
      </c>
      <c r="J53" s="394" t="n">
        <v>1351.85</v>
      </c>
      <c r="K53" s="389" t="n">
        <v>1672.43</v>
      </c>
      <c r="L53" s="383" t="n">
        <v>0</v>
      </c>
      <c r="M53" s="383" t="n">
        <v>0</v>
      </c>
      <c r="N53" s="394" t="n">
        <v>0</v>
      </c>
      <c r="O53" s="394">
        <f>(K53-L53)+(M53-N53)</f>
        <v/>
      </c>
      <c r="P53" s="394">
        <f>SUM(G53,H53,I53,O53)</f>
        <v/>
      </c>
      <c r="Q53" s="394" t="n"/>
    </row>
    <row r="54">
      <c r="A54" s="11" t="inlineStr">
        <is>
          <t>Feb 23 - Mar 1 2026</t>
        </is>
      </c>
      <c r="B54" s="394" t="n">
        <v>9735.910000000002</v>
      </c>
      <c r="C54" s="394">
        <f>(B54*0.06)*1.13</f>
        <v/>
      </c>
      <c r="D54" s="394">
        <f>(B54*0.02)*1.13</f>
        <v/>
      </c>
      <c r="E54" s="394" t="inlineStr">
        <is>
          <t>322</t>
        </is>
      </c>
      <c r="F54" s="394" t="n">
        <v>9428.010000000002</v>
      </c>
      <c r="G54" s="394" t="n">
        <v>7184.93</v>
      </c>
      <c r="H54" s="394" t="n">
        <v>186.27</v>
      </c>
      <c r="I54" s="394" t="n">
        <v>590.6900000000001</v>
      </c>
      <c r="J54" s="394" t="n">
        <v>1466.12</v>
      </c>
      <c r="K54" s="389" t="n">
        <v>1774.02</v>
      </c>
      <c r="L54" s="383" t="n">
        <v>0</v>
      </c>
      <c r="M54" s="383" t="n">
        <v>0</v>
      </c>
      <c r="N54" s="394" t="n">
        <v>0</v>
      </c>
      <c r="O54" s="394">
        <f>(K54-L54)+(M54-N54)</f>
        <v/>
      </c>
      <c r="P54" s="394">
        <f>SUM(G54,H54,I54,O54)</f>
        <v/>
      </c>
      <c r="Q54" s="394" t="n"/>
    </row>
    <row r="55">
      <c r="A55" s="11" t="inlineStr">
        <is>
          <t>Mar 02 - Mar 08 2026</t>
        </is>
      </c>
      <c r="B55" s="394" t="n">
        <v>8111.74</v>
      </c>
      <c r="C55" s="394">
        <f>(B55*0.06)*1.13</f>
        <v/>
      </c>
      <c r="D55" s="394">
        <f>(B55*0.02)*1.13</f>
        <v/>
      </c>
      <c r="E55" s="394" t="inlineStr">
        <is>
          <t>291</t>
        </is>
      </c>
      <c r="F55" s="394" t="n">
        <v>8102.06</v>
      </c>
      <c r="G55" s="394" t="n">
        <v>6102.38</v>
      </c>
      <c r="H55" s="394" t="n">
        <v>65</v>
      </c>
      <c r="I55" s="394" t="n">
        <v>315.67</v>
      </c>
      <c r="J55" s="394" t="n">
        <v>1619.01</v>
      </c>
      <c r="K55" s="389" t="n">
        <v>1628.69</v>
      </c>
      <c r="L55" s="383" t="n">
        <v>0</v>
      </c>
      <c r="M55" s="383" t="n">
        <v>0</v>
      </c>
      <c r="N55" s="394" t="n">
        <v>0</v>
      </c>
      <c r="O55" s="394">
        <f>(K55-L55)+(M55-N55)</f>
        <v/>
      </c>
      <c r="P55" s="394">
        <f>SUM(G55,H55,I55,O55)</f>
        <v/>
      </c>
      <c r="Q55" s="394" t="n"/>
    </row>
    <row r="56">
      <c r="A56" s="11" t="inlineStr">
        <is>
          <t>Mar 09 - Mar 15 2026</t>
        </is>
      </c>
      <c r="B56" s="394" t="n">
        <v>10028.44</v>
      </c>
      <c r="C56" s="394">
        <f>(B56*0.06)*1.13</f>
        <v/>
      </c>
      <c r="D56" s="394">
        <f>(B56*0.02)*1.13</f>
        <v/>
      </c>
      <c r="E56" s="394" t="inlineStr">
        <is>
          <t>372</t>
        </is>
      </c>
      <c r="F56" s="394" t="n">
        <v>10044.13</v>
      </c>
      <c r="G56" s="394" t="n">
        <v>6942.44</v>
      </c>
      <c r="H56" s="394" t="n">
        <v>30.3</v>
      </c>
      <c r="I56" s="394" t="n">
        <v>391.9</v>
      </c>
      <c r="J56" s="394" t="n">
        <v>2679.49</v>
      </c>
      <c r="K56" s="383" t="n">
        <v>2680.78</v>
      </c>
      <c r="L56" s="383" t="n">
        <v>16.98</v>
      </c>
      <c r="M56" s="383" t="n">
        <v>0</v>
      </c>
      <c r="N56" s="394" t="n">
        <v>0</v>
      </c>
      <c r="O56" s="394">
        <f>(K56-L56)+(M56-N56)</f>
        <v/>
      </c>
      <c r="P56" s="394">
        <f>SUM(G56,H56,I56,O56)</f>
        <v/>
      </c>
      <c r="Q56" s="394" t="n"/>
    </row>
    <row r="57">
      <c r="A57" s="11" t="inlineStr">
        <is>
          <t>Mar 16 - Mar 22 2026</t>
        </is>
      </c>
      <c r="B57" s="394" t="n">
        <v>14607.41</v>
      </c>
      <c r="C57" s="394">
        <f>(B57*0.06)*1.13</f>
        <v/>
      </c>
      <c r="D57" s="394">
        <f>(B57*0.02)*1.13</f>
        <v/>
      </c>
      <c r="E57" s="394" t="inlineStr">
        <is>
          <t>516</t>
        </is>
      </c>
      <c r="F57" s="394" t="n">
        <v>14580.6</v>
      </c>
      <c r="G57" s="394" t="n">
        <v>10611.56</v>
      </c>
      <c r="H57" s="394" t="n">
        <v>106.77</v>
      </c>
      <c r="I57" s="394" t="n">
        <v>486.22</v>
      </c>
      <c r="J57" s="394" t="n">
        <v>3376.05</v>
      </c>
      <c r="K57" s="312" t="n">
        <v>3403.65</v>
      </c>
      <c r="L57" s="118" t="n">
        <v>16.98</v>
      </c>
      <c r="M57" s="389" t="n">
        <v>16.19</v>
      </c>
      <c r="N57" s="394" t="n">
        <v>0</v>
      </c>
      <c r="O57" s="394">
        <f>(K57-L57)+(M57-N57)</f>
        <v/>
      </c>
      <c r="P57" s="394">
        <f>SUM(G57,H57,I57,O57)</f>
        <v/>
      </c>
      <c r="Q57" s="394" t="n"/>
    </row>
    <row r="58">
      <c r="A58" s="11" t="inlineStr">
        <is>
          <t>Mar 23 - Mar 29 2026</t>
        </is>
      </c>
      <c r="B58" s="394" t="n">
        <v>11031.85</v>
      </c>
      <c r="C58" s="394">
        <f>(B58*0.06)*1.13</f>
        <v/>
      </c>
      <c r="D58" s="394">
        <f>(B58*0.02)*1.13</f>
        <v/>
      </c>
      <c r="E58" s="394" t="inlineStr">
        <is>
          <t>397</t>
        </is>
      </c>
      <c r="F58" s="394" t="n">
        <v>11057.11</v>
      </c>
      <c r="G58" s="394" t="n">
        <v>8209.610000000001</v>
      </c>
      <c r="H58" s="394" t="n">
        <v>91.2</v>
      </c>
      <c r="I58" s="394" t="n">
        <v>511.17</v>
      </c>
      <c r="J58" s="394" t="n">
        <v>2245.13</v>
      </c>
      <c r="K58" s="389" t="n">
        <v>2237.64</v>
      </c>
      <c r="L58" s="389" t="n">
        <v>33.96</v>
      </c>
      <c r="M58" s="389" t="n">
        <v>16.19</v>
      </c>
      <c r="N58" s="394" t="n">
        <v>0</v>
      </c>
      <c r="O58" s="394">
        <f>(K58-L58)+(M58-N58)</f>
        <v/>
      </c>
      <c r="P58" s="394">
        <f>SUM(G58,H58,I58,O58)</f>
        <v/>
      </c>
      <c r="Q58" s="394" t="n"/>
    </row>
    <row r="59">
      <c r="A59" s="11" t="inlineStr">
        <is>
          <t>Mar 30 - Apr 05 2026</t>
        </is>
      </c>
      <c r="B59" s="394" t="n">
        <v>12357.04</v>
      </c>
      <c r="C59" s="394">
        <f>(B59*0.06)*1.13</f>
        <v/>
      </c>
      <c r="D59" s="394">
        <f>(B59*0.02)*1.13</f>
        <v/>
      </c>
      <c r="E59" s="394" t="inlineStr">
        <is>
          <t>448</t>
        </is>
      </c>
      <c r="F59" s="394" t="n">
        <v>12363.61</v>
      </c>
      <c r="G59" s="394" t="n">
        <v>9235.58</v>
      </c>
      <c r="H59" s="394" t="n">
        <v>35.09</v>
      </c>
      <c r="I59" s="394" t="n">
        <v>432.28</v>
      </c>
      <c r="J59" s="394" t="n">
        <v>2660.66</v>
      </c>
      <c r="K59" s="561" t="n">
        <v>2671.86</v>
      </c>
      <c r="L59" s="561" t="n">
        <v>33.96</v>
      </c>
      <c r="M59" s="561" t="n">
        <v>16.19</v>
      </c>
      <c r="N59" s="394" t="n">
        <v>0</v>
      </c>
      <c r="O59" s="394">
        <f>(K59-L59)+(M59-N59)</f>
        <v/>
      </c>
      <c r="P59" s="394">
        <f>SUM(G59,H59,I59,O59)</f>
        <v/>
      </c>
      <c r="Q59" s="394" t="n"/>
    </row>
    <row r="60">
      <c r="A60" s="2" t="inlineStr">
        <is>
          <t>Apr 06 - Apr 12</t>
        </is>
      </c>
      <c r="B60" s="394" t="n">
        <v>11773.82</v>
      </c>
      <c r="C60" s="394">
        <f>(B60*0.06)*1.13</f>
        <v/>
      </c>
      <c r="D60" s="394">
        <f>(B60*0.02)*1.13</f>
        <v/>
      </c>
      <c r="E60" s="401" t="inlineStr">
        <is>
          <t>433</t>
        </is>
      </c>
      <c r="F60" s="401" t="n">
        <v>11556.72</v>
      </c>
      <c r="G60" s="401" t="n">
        <v>8700.6</v>
      </c>
      <c r="H60" s="401" t="n">
        <v>88.79000000000001</v>
      </c>
      <c r="I60" s="401" t="n">
        <v>497.3</v>
      </c>
      <c r="J60" s="401" t="n">
        <v>2270.03</v>
      </c>
      <c r="K60" s="383" t="n">
        <v>2492.31</v>
      </c>
      <c r="L60" s="383" t="n">
        <v>33.96</v>
      </c>
      <c r="M60" s="383" t="n">
        <v>28.78</v>
      </c>
      <c r="N60" s="394" t="n">
        <v>0</v>
      </c>
      <c r="O60" s="394">
        <f>(K60-L60)+(M60-N60)</f>
        <v/>
      </c>
      <c r="P60" s="394">
        <f>SUM(G60,H60,I60,O60)</f>
        <v/>
      </c>
      <c r="Q60" s="394" t="n"/>
    </row>
    <row r="61">
      <c r="A61" s="11" t="inlineStr">
        <is>
          <t>Apr 13 - Apr 19</t>
        </is>
      </c>
      <c r="B61" s="394" t="n">
        <v>11156.76</v>
      </c>
      <c r="C61" s="394">
        <f>(B61*0.06)*1.13</f>
        <v/>
      </c>
      <c r="D61" s="394">
        <f>(B61*0.02)*1.13</f>
        <v/>
      </c>
      <c r="E61" s="402" t="inlineStr">
        <is>
          <t>422</t>
        </is>
      </c>
      <c r="F61" s="402" t="n">
        <v>11242.53</v>
      </c>
      <c r="G61" s="402" t="n">
        <v>8349.5</v>
      </c>
      <c r="H61" s="402" t="n">
        <v>96.59999999999999</v>
      </c>
      <c r="I61" s="402" t="n">
        <v>326.85</v>
      </c>
      <c r="J61" s="402" t="n">
        <v>2469.58</v>
      </c>
      <c r="K61" s="383" t="inlineStr">
        <is>
          <t>$2,403.59</t>
        </is>
      </c>
      <c r="L61" s="383" t="inlineStr">
        <is>
          <t>$32.97</t>
        </is>
      </c>
      <c r="M61" s="383" t="n">
        <v>13.19</v>
      </c>
      <c r="N61" s="394" t="n">
        <v>0</v>
      </c>
      <c r="O61" s="394">
        <f>(K61-L61)+(M61-N61)</f>
        <v/>
      </c>
      <c r="P61" s="394">
        <f>SUM(G61,H61,I61,O61)</f>
        <v/>
      </c>
      <c r="Q61" s="394" t="n"/>
    </row>
    <row r="62">
      <c r="A62" s="11" t="inlineStr">
        <is>
          <t>Apr 20 - Apr 26</t>
        </is>
      </c>
      <c r="B62" s="394" t="n">
        <v>11058.33</v>
      </c>
      <c r="C62" s="394">
        <f>(B62*0.06)*1.13</f>
        <v/>
      </c>
      <c r="D62" s="394">
        <f>(B62*0.02)*1.13</f>
        <v/>
      </c>
      <c r="E62" s="402" t="inlineStr">
        <is>
          <t>405</t>
        </is>
      </c>
      <c r="F62" s="402" t="n">
        <v>11044.28</v>
      </c>
      <c r="G62" s="402" t="n">
        <v>7584.8</v>
      </c>
      <c r="H62" s="402" t="n">
        <v>133.78</v>
      </c>
      <c r="I62" s="402" t="n">
        <v>564.26</v>
      </c>
      <c r="J62" s="402" t="n">
        <v>2761.44</v>
      </c>
      <c r="K62" s="383" t="n">
        <v>2739.3</v>
      </c>
      <c r="L62" s="383" t="n">
        <v>0</v>
      </c>
      <c r="M62" s="383" t="n">
        <v>53.17</v>
      </c>
      <c r="N62" s="394" t="n">
        <v>16.98</v>
      </c>
      <c r="O62" s="394">
        <f>(K62-L62)+(M62-N62)</f>
        <v/>
      </c>
      <c r="P62" s="394">
        <f>SUM(G62,H62,I62,O62)</f>
        <v/>
      </c>
      <c r="Q62" s="394" t="n"/>
    </row>
    <row r="63" ht="14.4" customHeight="1">
      <c r="A63" s="11" t="inlineStr">
        <is>
          <t>Apr 27 - May 03</t>
        </is>
      </c>
      <c r="B63" s="394" t="n">
        <v>10850.57</v>
      </c>
      <c r="C63" s="394">
        <f>(B63*0.06)*1.13</f>
        <v/>
      </c>
      <c r="D63" s="394">
        <f>(B63*0.02)*1.13</f>
        <v/>
      </c>
      <c r="E63" s="402" t="inlineStr">
        <is>
          <t>396</t>
        </is>
      </c>
      <c r="F63" s="402" t="n">
        <v>10803.26</v>
      </c>
      <c r="G63" s="402" t="n">
        <v>8249.379999999999</v>
      </c>
      <c r="H63" s="402" t="n">
        <v>81.39</v>
      </c>
      <c r="I63" s="402" t="n">
        <v>308.26</v>
      </c>
      <c r="J63" s="402" t="n">
        <v>2164.23</v>
      </c>
      <c r="K63" s="338" t="inlineStr">
        <is>
          <t>$2,211.54</t>
        </is>
      </c>
      <c r="L63" s="402" t="n">
        <v>0</v>
      </c>
      <c r="M63" s="402" t="n">
        <v>0</v>
      </c>
      <c r="N63" s="402" t="n">
        <v>0</v>
      </c>
      <c r="O63" s="394">
        <f>(K63-L63)+(M63-N63)</f>
        <v/>
      </c>
      <c r="P63" s="394">
        <f>SUM(G63,H63,I63,O63)</f>
        <v/>
      </c>
      <c r="Q63" s="402" t="n"/>
      <c r="R63" s="402" t="n"/>
      <c r="S63" s="402" t="n"/>
      <c r="T63" s="402" t="n"/>
      <c r="U63" s="402" t="n"/>
      <c r="V63" s="402" t="n"/>
      <c r="W63" s="402" t="n"/>
      <c r="X63" s="402" t="n"/>
      <c r="Y63" s="402" t="n">
        <v>10803.26</v>
      </c>
      <c r="Z63" s="402" t="n">
        <v>0</v>
      </c>
      <c r="AA63" s="402" t="n">
        <v>895.61</v>
      </c>
      <c r="AB63" s="402" t="n">
        <v>1709.93</v>
      </c>
      <c r="AC63" s="402" t="n">
        <v>6575.71</v>
      </c>
      <c r="AD63" s="402" t="n">
        <v>1622.01</v>
      </c>
    </row>
    <row r="64" ht="14.4" customHeight="1">
      <c r="A64" s="334" t="inlineStr">
        <is>
          <t>May 4 - May 10</t>
        </is>
      </c>
      <c r="B64" s="471" t="n">
        <v>10497.02</v>
      </c>
      <c r="C64" s="394">
        <f>(B64*0.06)*1.13</f>
        <v/>
      </c>
      <c r="D64" s="394">
        <f>(B64*0.02)*1.13</f>
        <v/>
      </c>
      <c r="E64" s="402" t="n">
        <v>394</v>
      </c>
      <c r="F64" s="402" t="n">
        <v>10497.02</v>
      </c>
      <c r="G64" s="402" t="n">
        <v>7772.05</v>
      </c>
      <c r="H64" s="402" t="n">
        <v>119.09</v>
      </c>
      <c r="I64" s="402" t="n">
        <v>476.99</v>
      </c>
      <c r="J64" s="402" t="n">
        <v>2128.89</v>
      </c>
      <c r="K64" s="405" t="n">
        <v>2128.89</v>
      </c>
      <c r="L64" s="402" t="n">
        <v>0</v>
      </c>
      <c r="M64" s="402" t="n">
        <v>0</v>
      </c>
      <c r="N64" s="402" t="n">
        <v>0</v>
      </c>
      <c r="O64" s="394">
        <f>(K64-L64)+(M64-N64)</f>
        <v/>
      </c>
      <c r="P64" s="394">
        <f>SUM(G64,H64,I64,O64)</f>
        <v/>
      </c>
      <c r="Q64" s="402" t="n"/>
      <c r="R64" s="402" t="n"/>
      <c r="S64" s="402" t="n"/>
      <c r="T64" s="402" t="n"/>
      <c r="U64" s="402" t="n"/>
      <c r="V64" s="402" t="n"/>
      <c r="W64" s="402" t="n"/>
      <c r="X64" s="402" t="n"/>
      <c r="Y64" s="402" t="n"/>
      <c r="Z64" s="402" t="n"/>
      <c r="AA64" s="402" t="n"/>
      <c r="AB64" s="402" t="n"/>
      <c r="AC64" s="402" t="n"/>
      <c r="AD64" s="402" t="n"/>
    </row>
    <row r="65" ht="14.4" customHeight="1">
      <c r="A65" s="334" t="inlineStr">
        <is>
          <t>May 11 - May 17</t>
        </is>
      </c>
      <c r="B65" s="471" t="n"/>
      <c r="C65" s="471" t="n"/>
      <c r="D65" s="471" t="n"/>
      <c r="E65" s="402" t="n">
        <v>428</v>
      </c>
      <c r="F65" s="402" t="n">
        <v>12986.95</v>
      </c>
      <c r="G65" s="402" t="n">
        <v>9346.610000000001</v>
      </c>
      <c r="H65" s="402" t="n">
        <v>118.77</v>
      </c>
      <c r="I65" s="402" t="n">
        <v>401.43</v>
      </c>
      <c r="J65" s="402" t="n">
        <v>3120.14</v>
      </c>
      <c r="K65" s="405" t="n"/>
      <c r="L65" s="402" t="n"/>
      <c r="M65" s="402" t="n"/>
      <c r="N65" s="402" t="n"/>
      <c r="O65" s="471" t="n"/>
      <c r="P65" s="471" t="n"/>
      <c r="Q65" s="402" t="n"/>
      <c r="R65" s="402" t="n"/>
      <c r="S65" s="402" t="n"/>
      <c r="T65" s="402" t="n"/>
      <c r="U65" s="402" t="n"/>
      <c r="V65" s="402" t="n"/>
      <c r="W65" s="402" t="n"/>
      <c r="X65" s="402" t="n"/>
      <c r="Y65" s="402" t="n"/>
      <c r="Z65" s="402" t="n"/>
      <c r="AA65" s="402" t="n"/>
      <c r="AB65" s="402" t="n"/>
      <c r="AC65" s="402" t="n"/>
      <c r="AD65" s="402" t="n"/>
    </row>
    <row r="66" ht="27.6" customHeight="1">
      <c r="A66" s="334" t="n"/>
      <c r="B66" s="471" t="n"/>
      <c r="C66" s="471" t="n"/>
      <c r="D66" s="471" t="n"/>
      <c r="E66" s="402" t="n"/>
      <c r="F66" s="402" t="n"/>
      <c r="G66" s="402" t="n"/>
      <c r="H66" s="402" t="n"/>
      <c r="I66" s="402" t="n"/>
      <c r="J66" s="402" t="n"/>
      <c r="K66" s="405" t="n"/>
      <c r="L66" s="402" t="n"/>
      <c r="M66" s="402" t="n"/>
      <c r="N66" s="402" t="n"/>
      <c r="O66" s="471" t="n"/>
      <c r="P66" s="471" t="n"/>
      <c r="Q66" s="402" t="n"/>
      <c r="R66" s="402" t="n"/>
      <c r="S66" s="402" t="n"/>
      <c r="T66" s="402" t="n"/>
      <c r="U66" s="402" t="n"/>
      <c r="V66" s="402" t="n"/>
      <c r="W66" s="402" t="n"/>
      <c r="X66" s="402" t="n"/>
      <c r="Y66" s="402" t="n"/>
      <c r="Z66" s="402" t="n"/>
      <c r="AA66" s="402" t="n"/>
      <c r="AB66" s="402" t="n"/>
      <c r="AC66" s="402" t="n"/>
      <c r="AD66" s="402" t="n"/>
    </row>
    <row r="67" ht="27.6" customHeight="1">
      <c r="A67" s="353" t="inlineStr">
        <is>
          <t>May 11 - May 17</t>
        </is>
      </c>
      <c r="B67" s="471" t="n">
        <v>11914.85</v>
      </c>
      <c r="C67" s="394">
        <f>(B65*0.06)*1.13</f>
        <v/>
      </c>
      <c r="D67" s="394">
        <f>(B65*0.02)*1.13</f>
        <v/>
      </c>
      <c r="E67" s="402" t="n">
        <v>390</v>
      </c>
      <c r="F67" s="402" t="n">
        <v>11973.59</v>
      </c>
      <c r="G67" s="402" t="n">
        <v>8866.52</v>
      </c>
      <c r="H67" s="402" t="n">
        <v>149.06</v>
      </c>
      <c r="I67" s="402" t="n">
        <v>226.85</v>
      </c>
      <c r="J67" s="402" t="n">
        <v>2731.16</v>
      </c>
      <c r="K67" s="405" t="n">
        <v>2597.45</v>
      </c>
      <c r="L67" s="402" t="n">
        <v>0</v>
      </c>
      <c r="M67" s="402" t="n">
        <v>74.97</v>
      </c>
      <c r="N67" s="402" t="n">
        <v>0</v>
      </c>
      <c r="O67" s="471">
        <f>(K65-L65)+(M65-N65)</f>
        <v/>
      </c>
      <c r="P67" s="471">
        <f>SUM(G65,H65,I65,O65)</f>
        <v/>
      </c>
      <c r="Q67" s="402" t="n"/>
      <c r="R67" s="402" t="n"/>
      <c r="S67" s="402" t="n"/>
      <c r="T67" s="402" t="n"/>
      <c r="U67" s="402" t="n"/>
      <c r="V67" s="402" t="n"/>
      <c r="W67" s="402" t="n"/>
      <c r="X67" s="402" t="n"/>
      <c r="Y67" s="402" t="n"/>
      <c r="Z67" s="402" t="n"/>
      <c r="AA67" s="402" t="n"/>
      <c r="AB67" s="402" t="n"/>
      <c r="AC67" s="402" t="n"/>
      <c r="AD67" s="402" t="n"/>
    </row>
    <row r="68" ht="27.6" customHeight="1">
      <c r="A68" s="353" t="inlineStr">
        <is>
          <t>May 18 - May 24</t>
        </is>
      </c>
      <c r="B68" s="471" t="n">
        <v>9788.68</v>
      </c>
      <c r="C68" s="394">
        <f>(B66*0.06)*1.13</f>
        <v/>
      </c>
      <c r="D68" s="394">
        <f>(B66*0.02)*1.13</f>
        <v/>
      </c>
      <c r="E68" s="402" t="n">
        <v>353</v>
      </c>
      <c r="F68" s="402" t="n">
        <v>9828.870000000001</v>
      </c>
      <c r="G68" s="402" t="n">
        <v>7591.52</v>
      </c>
      <c r="H68" s="402" t="n">
        <v>43.18</v>
      </c>
      <c r="I68" s="402" t="n">
        <v>269.68</v>
      </c>
      <c r="J68" s="402" t="n">
        <v>1924.49</v>
      </c>
      <c r="K68" s="405" t="n">
        <v>1884.3</v>
      </c>
      <c r="L68" s="402" t="n">
        <v>0</v>
      </c>
      <c r="M68" s="402" t="n">
        <v>0</v>
      </c>
      <c r="N68" s="402" t="n">
        <v>0</v>
      </c>
      <c r="O68" s="471">
        <f>(K66-L66)+(M66-N66)</f>
        <v/>
      </c>
      <c r="P68" s="471">
        <f>SUM(G66,H66,I66,O66)</f>
        <v/>
      </c>
      <c r="Q68" s="402" t="n"/>
      <c r="R68" s="402" t="n"/>
      <c r="S68" s="402" t="n"/>
      <c r="T68" s="402" t="n"/>
      <c r="U68" s="402" t="n"/>
      <c r="V68" s="402" t="n"/>
      <c r="W68" s="402" t="n"/>
      <c r="X68" s="402" t="n"/>
      <c r="Y68" s="402" t="n"/>
      <c r="Z68" s="402" t="n"/>
      <c r="AA68" s="402" t="n"/>
      <c r="AB68" s="402" t="n"/>
      <c r="AC68" s="402" t="n"/>
      <c r="AD68" s="402" t="n"/>
    </row>
    <row r="69" ht="27.6" customHeight="1">
      <c r="A69" s="353" t="inlineStr">
        <is>
          <t>May 25 - May 31</t>
        </is>
      </c>
      <c r="B69" s="471" t="n"/>
      <c r="C69" s="471" t="n"/>
      <c r="D69" s="471" t="n"/>
      <c r="E69" s="402" t="n">
        <v>428</v>
      </c>
      <c r="F69" s="402" t="n">
        <v>12986.95</v>
      </c>
      <c r="G69" s="402" t="n">
        <v>9346.610000000001</v>
      </c>
      <c r="H69" s="402" t="n">
        <v>118.77</v>
      </c>
      <c r="I69" s="402" t="n">
        <v>401.43</v>
      </c>
      <c r="J69" s="402" t="n">
        <v>3120.14</v>
      </c>
      <c r="K69" s="405" t="n"/>
      <c r="L69" s="402" t="n"/>
      <c r="M69" s="402" t="n"/>
      <c r="N69" s="402" t="n"/>
      <c r="O69" s="471" t="n"/>
      <c r="P69" s="471" t="n"/>
      <c r="Q69" s="402" t="n"/>
      <c r="R69" s="402" t="n"/>
      <c r="S69" s="402" t="n"/>
      <c r="T69" s="402" t="n"/>
      <c r="U69" s="402" t="n"/>
      <c r="V69" s="402" t="n"/>
      <c r="W69" s="402" t="n"/>
      <c r="X69" s="402" t="n"/>
      <c r="Y69" s="402" t="n"/>
      <c r="Z69" s="402" t="n"/>
      <c r="AA69" s="402" t="n"/>
      <c r="AB69" s="402" t="n"/>
      <c r="AC69" s="402" t="n"/>
      <c r="AD69" s="402" t="n"/>
    </row>
    <row r="70">
      <c r="A70" s="353" t="n"/>
      <c r="B70" s="471" t="n"/>
      <c r="C70" s="471" t="n"/>
      <c r="D70" s="471" t="n"/>
      <c r="E70" s="402" t="n"/>
      <c r="F70" s="402" t="n"/>
      <c r="G70" s="402" t="n"/>
      <c r="H70" s="402" t="n"/>
      <c r="I70" s="402" t="n"/>
      <c r="J70" s="402" t="n"/>
      <c r="K70" s="405" t="n"/>
      <c r="L70" s="402" t="n"/>
      <c r="M70" s="402" t="n"/>
      <c r="N70" s="402" t="n"/>
      <c r="O70" s="471" t="n"/>
      <c r="P70" s="471" t="n"/>
      <c r="Q70" s="402" t="n"/>
      <c r="R70" s="402" t="n"/>
      <c r="S70" s="402" t="n"/>
      <c r="T70" s="402" t="n"/>
      <c r="U70" s="402" t="n"/>
      <c r="V70" s="402" t="n"/>
      <c r="W70" s="402" t="n"/>
      <c r="X70" s="402" t="n"/>
      <c r="Y70" s="402" t="n"/>
      <c r="Z70" s="402" t="n"/>
      <c r="AA70" s="402" t="n"/>
      <c r="AB70" s="402" t="n"/>
      <c r="AC70" s="402" t="n"/>
      <c r="AD70" s="402" t="n"/>
    </row>
    <row r="71">
      <c r="A71" s="546" t="inlineStr">
        <is>
          <t>Lebovic</t>
        </is>
      </c>
      <c r="B71" s="358" t="n"/>
      <c r="C71" s="358" t="n"/>
      <c r="D71" s="355" t="n"/>
      <c r="E71" s="546" t="n"/>
      <c r="F71" s="546" t="n"/>
      <c r="G71" s="394" t="n"/>
      <c r="H71" s="394" t="n"/>
      <c r="I71" s="394" t="n"/>
      <c r="J71" s="394" t="n"/>
      <c r="K71" s="394" t="n"/>
      <c r="L71" s="394" t="n"/>
      <c r="M71" s="394" t="n"/>
      <c r="N71" s="394" t="n"/>
      <c r="O71" s="394" t="n"/>
      <c r="P71" s="394" t="n"/>
      <c r="Q71" s="394" t="n"/>
    </row>
    <row r="72">
      <c r="A72" s="415" t="inlineStr">
        <is>
          <t>Statement For Selected Period</t>
        </is>
      </c>
      <c r="B72" s="415" t="inlineStr">
        <is>
          <t>Total Revenue (Net Sales)</t>
        </is>
      </c>
      <c r="C72" s="415" t="inlineStr">
        <is>
          <t>Royalties
(6%) +HST</t>
        </is>
      </c>
      <c r="D72" s="415" t="inlineStr">
        <is>
          <t>Marketing
(2%) +HST</t>
        </is>
      </c>
      <c r="E72" s="415" t="n"/>
      <c r="F72" s="415" t="n"/>
      <c r="G72" s="394" t="n"/>
      <c r="H72" s="394" t="n"/>
      <c r="I72" s="394" t="n"/>
      <c r="J72" s="394" t="n"/>
      <c r="K72" s="394" t="n"/>
      <c r="L72" s="394" t="n"/>
      <c r="M72" s="394" t="n"/>
      <c r="N72" s="394" t="n"/>
      <c r="O72" s="394" t="n"/>
      <c r="P72" s="394" t="n"/>
      <c r="Q72" s="394" t="n"/>
    </row>
    <row r="73">
      <c r="A73" s="11" t="inlineStr">
        <is>
          <t>Mar 09 - Mar 15 2026</t>
        </is>
      </c>
      <c r="B73" s="394" t="n">
        <v>10028.44</v>
      </c>
      <c r="C73" s="394">
        <f>(B67*0.06)*1.13</f>
        <v/>
      </c>
      <c r="D73" s="394">
        <f>(B67*0.02)*1.13</f>
        <v/>
      </c>
      <c r="E73" s="382" t="n"/>
      <c r="F73" s="382" t="n"/>
      <c r="G73" s="382" t="n"/>
      <c r="H73" s="382" t="n"/>
      <c r="I73" s="382" t="n"/>
      <c r="J73" s="382" t="n"/>
      <c r="K73" s="382" t="n"/>
      <c r="L73" s="382" t="n"/>
      <c r="M73" s="382" t="n"/>
      <c r="N73" s="382" t="n"/>
      <c r="O73" s="382" t="n"/>
      <c r="P73" s="382" t="n"/>
      <c r="Q73" s="382" t="n"/>
    </row>
    <row r="74">
      <c r="A74" s="11" t="inlineStr">
        <is>
          <t>Mar 16 - Mar 22 2026</t>
        </is>
      </c>
      <c r="B74" s="394" t="n">
        <v>14607.41</v>
      </c>
      <c r="C74" s="394">
        <f>(B68*0.06)*1.13</f>
        <v/>
      </c>
      <c r="D74" s="394">
        <f>(B68*0.02)*1.13</f>
        <v/>
      </c>
      <c r="E74" s="382" t="n"/>
      <c r="F74" s="382" t="n"/>
      <c r="G74" s="382" t="n"/>
      <c r="H74" s="382" t="n"/>
      <c r="I74" s="382" t="n"/>
      <c r="J74" s="382" t="n"/>
      <c r="K74" s="382" t="n"/>
      <c r="L74" s="382" t="n"/>
      <c r="M74" s="382" t="n"/>
      <c r="N74" s="382" t="n"/>
      <c r="O74" s="382" t="n"/>
      <c r="P74" s="382" t="n"/>
      <c r="Q74" s="382" t="n"/>
    </row>
    <row r="75">
      <c r="A75" s="11" t="inlineStr">
        <is>
          <t>Mar 23 - Mar 29 2026</t>
        </is>
      </c>
      <c r="B75" s="394" t="n">
        <v>11031.85</v>
      </c>
      <c r="C75" s="394">
        <f>(B69*0.06)*1.13</f>
        <v/>
      </c>
      <c r="D75" s="394">
        <f>(B69*0.02)*1.13</f>
        <v/>
      </c>
      <c r="E75" s="382" t="n"/>
      <c r="F75" s="382" t="n"/>
      <c r="G75" s="382" t="n"/>
      <c r="H75" s="382" t="n"/>
      <c r="I75" s="382" t="n"/>
      <c r="J75" s="382" t="n"/>
      <c r="K75" s="382" t="n"/>
      <c r="L75" s="382" t="n"/>
      <c r="M75" s="382" t="n"/>
      <c r="N75" s="382" t="n"/>
      <c r="O75" s="382" t="n"/>
      <c r="P75" s="382" t="n"/>
      <c r="Q75" s="382" t="n"/>
    </row>
    <row r="76">
      <c r="A76" s="11" t="inlineStr">
        <is>
          <t>Mar 30 - Apr 05 2026</t>
        </is>
      </c>
      <c r="B76" s="394" t="n">
        <v>12357.04</v>
      </c>
      <c r="C76" s="394">
        <f>(B70*0.06)*1.13</f>
        <v/>
      </c>
      <c r="D76" s="394">
        <f>(B70*0.02)*1.13</f>
        <v/>
      </c>
    </row>
    <row r="77">
      <c r="A77" s="2" t="inlineStr">
        <is>
          <t>Apr 06 - Apr 12</t>
        </is>
      </c>
      <c r="B77" s="394" t="n">
        <v>11773.82</v>
      </c>
      <c r="C77" s="394">
        <f>(B71*0.06)*1.13</f>
        <v/>
      </c>
      <c r="D77" s="394">
        <f>(B71*0.02)*1.13</f>
        <v/>
      </c>
    </row>
    <row r="78">
      <c r="A78" s="11" t="inlineStr">
        <is>
          <t>Apr 13 - Apr 19</t>
        </is>
      </c>
      <c r="B78" s="394" t="n">
        <v>11156.76</v>
      </c>
      <c r="C78" s="394">
        <f>(B72*0.06)*1.13</f>
        <v/>
      </c>
      <c r="D78" s="394">
        <f>(B72*0.02)*1.13</f>
        <v/>
      </c>
    </row>
    <row r="79">
      <c r="A79" s="11" t="inlineStr">
        <is>
          <t>Apr 20 - Apr 26</t>
        </is>
      </c>
      <c r="B79" s="394" t="n">
        <v>11058.33</v>
      </c>
      <c r="C79" s="394">
        <f>(B73*0.06)*1.13</f>
        <v/>
      </c>
      <c r="D79" s="394">
        <f>(B73*0.02)*1.13</f>
        <v/>
      </c>
    </row>
    <row r="80">
      <c r="A80" s="11" t="inlineStr">
        <is>
          <t>Apr 27 - May 03</t>
        </is>
      </c>
      <c r="B80" s="394" t="n">
        <v>10850.57</v>
      </c>
      <c r="C80" s="394">
        <f>(B75*0.06)*1.13</f>
        <v/>
      </c>
      <c r="D80" s="394">
        <f>(B75*0.02)*1.13</f>
        <v/>
      </c>
    </row>
    <row r="81">
      <c r="A81" s="334" t="inlineStr">
        <is>
          <t>May 4 - May 10</t>
        </is>
      </c>
      <c r="B81" s="471" t="n">
        <v>10497.02</v>
      </c>
      <c r="C81" s="394">
        <f>(B76*0.06)*1.13</f>
        <v/>
      </c>
      <c r="D81" s="394">
        <f>(B76*0.02)*1.13</f>
        <v/>
      </c>
    </row>
    <row r="82">
      <c r="A82" s="353" t="inlineStr">
        <is>
          <t>May 11 - May 17</t>
        </is>
      </c>
      <c r="B82" s="471" t="n">
        <v>11914.85</v>
      </c>
      <c r="C82" s="394">
        <f>(B78*0.06)*1.13</f>
        <v/>
      </c>
      <c r="D82" s="394">
        <f>(B78*0.02)*1.13</f>
        <v/>
      </c>
    </row>
    <row r="83">
      <c r="A83" s="353" t="inlineStr">
        <is>
          <t>May 18 - May 24</t>
        </is>
      </c>
      <c r="B83" s="471" t="n">
        <v>9788.68</v>
      </c>
      <c r="C83" s="394">
        <f>(B80*0.06)*1.13</f>
        <v/>
      </c>
      <c r="D83" s="394">
        <f>(B80*0.02)*1.13</f>
        <v/>
      </c>
    </row>
  </sheetData>
  <mergeCells count="1">
    <mergeCell ref="A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9"/>
  <sheetViews>
    <sheetView topLeftCell="A76" zoomScale="91" workbookViewId="0">
      <selection activeCell="A85" sqref="A85"/>
    </sheetView>
  </sheetViews>
  <sheetFormatPr baseColWidth="8" defaultRowHeight="14.4"/>
  <cols>
    <col width="29.5546875" customWidth="1" min="1" max="1"/>
    <col width="45.44140625" customWidth="1" style="68" min="3" max="3"/>
    <col width="19.6640625" customWidth="1" min="7" max="7"/>
    <col width="14.109375" bestFit="1" customWidth="1" min="8" max="8"/>
    <col width="16.109375" customWidth="1" min="9" max="9"/>
  </cols>
  <sheetData>
    <row r="1" ht="32.4" customHeight="1">
      <c r="A1" s="360" t="inlineStr">
        <is>
          <t>Statement For Selected Period</t>
        </is>
      </c>
      <c r="B1" s="1" t="n"/>
      <c r="C1" s="361" t="inlineStr">
        <is>
          <t>Total Revenue</t>
        </is>
      </c>
      <c r="G1" s="360" t="n">
        <v>2021</v>
      </c>
      <c r="H1" s="355" t="n"/>
      <c r="I1" s="360" t="n">
        <v>2022</v>
      </c>
      <c r="J1" s="355" t="n"/>
      <c r="K1" s="361" t="n">
        <v>2023</v>
      </c>
      <c r="L1" s="355" t="n"/>
    </row>
    <row r="2" ht="27.6" customHeight="1">
      <c r="A2" s="2" t="inlineStr">
        <is>
          <t>August 28 2023 - September 3 2023</t>
        </is>
      </c>
      <c r="B2" s="1" t="n"/>
      <c r="C2" s="562" t="n">
        <v>4166.7</v>
      </c>
      <c r="G2" s="2" t="inlineStr">
        <is>
          <t>January</t>
        </is>
      </c>
      <c r="H2" s="1" t="n"/>
      <c r="I2" s="2" t="inlineStr">
        <is>
          <t>January</t>
        </is>
      </c>
      <c r="J2" s="455" t="n"/>
      <c r="K2" s="2" t="inlineStr">
        <is>
          <t>January</t>
        </is>
      </c>
      <c r="L2" s="455" t="n"/>
    </row>
    <row r="3" ht="27.6" customHeight="1">
      <c r="A3" s="2" t="inlineStr">
        <is>
          <t>September 4 2023 - September 10 2023</t>
        </is>
      </c>
      <c r="B3" s="23" t="n"/>
      <c r="C3" s="562" t="n">
        <v>3219.13</v>
      </c>
      <c r="G3" s="2" t="inlineStr">
        <is>
          <t>February</t>
        </is>
      </c>
      <c r="H3" s="1" t="n"/>
      <c r="I3" s="2" t="inlineStr">
        <is>
          <t>February</t>
        </is>
      </c>
      <c r="J3" s="455" t="n"/>
      <c r="K3" s="2" t="inlineStr">
        <is>
          <t>February</t>
        </is>
      </c>
      <c r="L3" s="455" t="n"/>
    </row>
    <row r="4" ht="27.6" customHeight="1">
      <c r="A4" s="2" t="inlineStr">
        <is>
          <t>September 11 2023 - September 17 2023</t>
        </is>
      </c>
      <c r="B4" s="1" t="n"/>
      <c r="C4" s="562" t="n">
        <v>2599.21</v>
      </c>
      <c r="G4" s="2" t="inlineStr">
        <is>
          <t>March</t>
        </is>
      </c>
      <c r="H4" s="1" t="n"/>
      <c r="I4" s="2" t="inlineStr">
        <is>
          <t>March</t>
        </is>
      </c>
      <c r="J4" s="455" t="n"/>
      <c r="K4" s="2" t="inlineStr">
        <is>
          <t>March</t>
        </is>
      </c>
      <c r="L4" s="455" t="n"/>
    </row>
    <row r="5" ht="27.6" customHeight="1">
      <c r="A5" s="2" t="inlineStr">
        <is>
          <t>September 18 2023 - September 24 2023</t>
        </is>
      </c>
      <c r="B5" s="1" t="n"/>
      <c r="C5" s="562" t="n">
        <v>2651.56</v>
      </c>
      <c r="G5" s="2" t="inlineStr">
        <is>
          <t>April</t>
        </is>
      </c>
      <c r="H5" s="1" t="n"/>
      <c r="I5" s="2" t="inlineStr">
        <is>
          <t>April</t>
        </is>
      </c>
      <c r="J5" s="455" t="n"/>
      <c r="K5" s="2" t="inlineStr">
        <is>
          <t>April</t>
        </is>
      </c>
      <c r="L5" s="455" t="n"/>
    </row>
    <row r="6" ht="27.6" customHeight="1">
      <c r="A6" s="2" t="inlineStr">
        <is>
          <t>September 25 2023 - October 1 2023</t>
        </is>
      </c>
      <c r="B6" s="1" t="n"/>
      <c r="C6" s="562" t="n">
        <v>2789.88</v>
      </c>
      <c r="G6" s="2" t="inlineStr">
        <is>
          <t>May</t>
        </is>
      </c>
      <c r="H6" s="1" t="n"/>
      <c r="I6" s="2" t="inlineStr">
        <is>
          <t>May</t>
        </is>
      </c>
      <c r="J6" s="455" t="n"/>
      <c r="K6" s="2" t="inlineStr">
        <is>
          <t>May</t>
        </is>
      </c>
      <c r="L6" s="455" t="n"/>
    </row>
    <row r="7" ht="27.6" customHeight="1">
      <c r="A7" s="2" t="inlineStr">
        <is>
          <t>October 2 2023 - October 8 2023</t>
        </is>
      </c>
      <c r="B7" s="1" t="n"/>
      <c r="C7" s="562" t="n">
        <v>2574.14</v>
      </c>
      <c r="G7" s="2" t="inlineStr">
        <is>
          <t>June</t>
        </is>
      </c>
      <c r="H7" s="1" t="n"/>
      <c r="I7" s="2" t="inlineStr">
        <is>
          <t>June</t>
        </is>
      </c>
      <c r="J7" s="455" t="n"/>
      <c r="K7" s="2" t="inlineStr">
        <is>
          <t>June</t>
        </is>
      </c>
      <c r="L7" s="455" t="n"/>
    </row>
    <row r="8" ht="27.6" customHeight="1">
      <c r="A8" s="2" t="inlineStr">
        <is>
          <t>October 9 2023 - October 15 2023</t>
        </is>
      </c>
      <c r="B8" s="1" t="n"/>
      <c r="C8" s="562" t="n">
        <v>1082.12</v>
      </c>
      <c r="G8" s="2" t="inlineStr">
        <is>
          <t>July</t>
        </is>
      </c>
      <c r="H8" s="455" t="n"/>
      <c r="I8" s="2" t="inlineStr">
        <is>
          <t>July</t>
        </is>
      </c>
      <c r="J8" s="455" t="n"/>
      <c r="K8" s="2" t="inlineStr">
        <is>
          <t>July</t>
        </is>
      </c>
      <c r="L8" s="455" t="n"/>
    </row>
    <row r="9" ht="27.6" customHeight="1">
      <c r="A9" s="2" t="inlineStr">
        <is>
          <t>October 16 2023 - October 22 2023</t>
        </is>
      </c>
      <c r="B9" s="1" t="n"/>
      <c r="C9" s="562" t="n">
        <v>1958.96</v>
      </c>
      <c r="G9" s="2" t="inlineStr">
        <is>
          <t>August</t>
        </is>
      </c>
      <c r="H9" s="455" t="n"/>
      <c r="I9" s="2" t="inlineStr">
        <is>
          <t>August</t>
        </is>
      </c>
      <c r="J9" s="455" t="n"/>
      <c r="K9" s="2" t="inlineStr">
        <is>
          <t>August</t>
        </is>
      </c>
      <c r="L9" s="455" t="n"/>
    </row>
    <row r="10" ht="27.6" customHeight="1">
      <c r="A10" s="2" t="inlineStr">
        <is>
          <t>October 23 2023 - October 29 2023</t>
        </is>
      </c>
      <c r="B10" s="1" t="n"/>
      <c r="C10" s="562" t="n">
        <v>2578.65</v>
      </c>
      <c r="G10" s="2" t="inlineStr">
        <is>
          <t>September</t>
        </is>
      </c>
      <c r="H10" s="455" t="n"/>
      <c r="I10" s="2" t="inlineStr">
        <is>
          <t>September</t>
        </is>
      </c>
      <c r="J10" s="455" t="n"/>
      <c r="K10" s="2" t="inlineStr">
        <is>
          <t>September</t>
        </is>
      </c>
      <c r="L10" s="455" t="n"/>
    </row>
    <row r="11" ht="27.6" customHeight="1">
      <c r="A11" s="2" t="inlineStr">
        <is>
          <t>October 30 2023 - November 5 2023</t>
        </is>
      </c>
      <c r="B11" s="1" t="n"/>
      <c r="C11" s="562" t="n">
        <v>1982.42</v>
      </c>
      <c r="G11" s="2" t="inlineStr">
        <is>
          <t>October</t>
        </is>
      </c>
      <c r="H11" s="455" t="n"/>
      <c r="I11" s="2" t="inlineStr">
        <is>
          <t>October</t>
        </is>
      </c>
      <c r="J11" s="455" t="n"/>
      <c r="K11" s="2" t="inlineStr">
        <is>
          <t>October</t>
        </is>
      </c>
      <c r="L11" s="455" t="n"/>
    </row>
    <row r="12" ht="27.6" customHeight="1">
      <c r="A12" s="2" t="inlineStr">
        <is>
          <t>November 6 2023 - November 12 2023</t>
        </is>
      </c>
      <c r="B12" s="1" t="n"/>
      <c r="C12" s="563" t="n">
        <v>2017.05</v>
      </c>
      <c r="G12" s="2" t="inlineStr">
        <is>
          <t>November</t>
        </is>
      </c>
      <c r="H12" s="455" t="n"/>
      <c r="I12" s="2" t="inlineStr">
        <is>
          <t>November</t>
        </is>
      </c>
      <c r="J12" s="455" t="n"/>
      <c r="K12" s="2" t="inlineStr">
        <is>
          <t>November</t>
        </is>
      </c>
      <c r="L12" s="1" t="n"/>
    </row>
    <row r="13" ht="27.6" customHeight="1">
      <c r="A13" s="2" t="inlineStr">
        <is>
          <t>November 13 2023 - November 19 2023</t>
        </is>
      </c>
      <c r="B13" s="1" t="n"/>
      <c r="C13" s="562" t="n">
        <v>1739.75</v>
      </c>
      <c r="G13" s="2" t="inlineStr">
        <is>
          <t>December</t>
        </is>
      </c>
      <c r="H13" s="455" t="n"/>
      <c r="I13" s="2" t="inlineStr">
        <is>
          <t>December</t>
        </is>
      </c>
      <c r="J13" s="455" t="n"/>
      <c r="K13" s="2" t="inlineStr">
        <is>
          <t>December</t>
        </is>
      </c>
      <c r="L13" s="1" t="n"/>
    </row>
    <row r="14" ht="27.6" customHeight="1">
      <c r="A14" s="2" t="inlineStr">
        <is>
          <t>November 20 2023 - November 26 2023</t>
        </is>
      </c>
      <c r="B14" s="1" t="n"/>
      <c r="C14" s="562" t="n">
        <v>2268.07</v>
      </c>
      <c r="G14" s="5" t="n"/>
      <c r="H14" s="456" t="n"/>
      <c r="I14" s="5" t="n"/>
      <c r="J14" s="456" t="n"/>
      <c r="K14" s="5" t="n"/>
    </row>
    <row r="15" ht="27.6" customHeight="1">
      <c r="A15" s="2" t="inlineStr">
        <is>
          <t>November 27 2023 - December 03 2024</t>
        </is>
      </c>
      <c r="B15" s="1" t="n"/>
      <c r="C15" s="562" t="n">
        <v>1215.9</v>
      </c>
      <c r="G15" s="5" t="n"/>
      <c r="H15" s="456" t="n"/>
      <c r="I15" s="5" t="n"/>
      <c r="J15" s="456" t="n"/>
      <c r="K15" s="5" t="n"/>
    </row>
    <row r="16" ht="27.6" customHeight="1">
      <c r="A16" s="2" t="inlineStr">
        <is>
          <t>December 04 2023 - December 10 2024</t>
        </is>
      </c>
      <c r="B16" s="1" t="n"/>
      <c r="C16" s="562" t="n">
        <v>1745.73</v>
      </c>
      <c r="G16" s="5" t="n"/>
      <c r="H16" s="456" t="n"/>
      <c r="I16" s="5" t="n"/>
      <c r="J16" s="456" t="n"/>
      <c r="K16" s="5" t="n"/>
    </row>
    <row r="17" ht="27.6" customHeight="1">
      <c r="A17" s="2" t="inlineStr">
        <is>
          <t>December 11 2023 - December 17 2024</t>
        </is>
      </c>
      <c r="B17" s="1" t="n"/>
      <c r="C17" s="562" t="n">
        <v>1417.9</v>
      </c>
      <c r="G17" s="5" t="n"/>
      <c r="H17" s="456" t="n"/>
      <c r="I17" s="5" t="n"/>
      <c r="J17" s="456" t="n"/>
      <c r="K17" s="5" t="n"/>
    </row>
    <row r="18" ht="27.6" customHeight="1">
      <c r="A18" s="2" t="inlineStr">
        <is>
          <t>December 18 2023 - December 24 2024</t>
        </is>
      </c>
      <c r="B18" s="1" t="n"/>
      <c r="C18" s="562" t="n">
        <v>1543.85</v>
      </c>
      <c r="G18" s="5" t="n"/>
      <c r="H18" s="456" t="n"/>
      <c r="I18" s="5" t="n"/>
      <c r="J18" s="456" t="n"/>
      <c r="K18" s="5" t="n"/>
    </row>
    <row r="19" ht="27.6" customHeight="1">
      <c r="A19" s="2" t="inlineStr">
        <is>
          <t>December 25 2023 - December 31 2024</t>
        </is>
      </c>
      <c r="B19" s="1" t="n"/>
      <c r="C19" s="562" t="n">
        <v>3540.79</v>
      </c>
      <c r="G19" s="5" t="n"/>
      <c r="H19" s="456" t="n"/>
      <c r="I19" s="5" t="n"/>
      <c r="J19" s="456" t="n"/>
      <c r="K19" s="5" t="n"/>
    </row>
    <row r="20">
      <c r="A20" s="2" t="inlineStr">
        <is>
          <t>Jan 1 - Jan 07 2024</t>
        </is>
      </c>
      <c r="B20" s="1" t="n"/>
      <c r="C20" s="562" t="n">
        <v>2103.18</v>
      </c>
      <c r="G20" s="5" t="n"/>
      <c r="H20" s="456" t="n"/>
      <c r="I20" s="5" t="n"/>
      <c r="J20" s="456" t="n"/>
      <c r="K20" s="5" t="n"/>
    </row>
    <row r="21">
      <c r="A21" s="2" t="inlineStr">
        <is>
          <t>Jan 8 - Jan 14 2024</t>
        </is>
      </c>
      <c r="B21" s="1" t="n"/>
      <c r="C21" s="562" t="n">
        <v>946.48</v>
      </c>
      <c r="G21" s="5" t="n"/>
      <c r="H21" s="456" t="n"/>
      <c r="I21" s="5" t="n"/>
      <c r="J21" s="456" t="n"/>
      <c r="K21" s="5" t="n"/>
    </row>
    <row r="22">
      <c r="A22" s="2" t="inlineStr">
        <is>
          <t>Jan 15 - Jan 21 2024</t>
        </is>
      </c>
      <c r="B22" s="1" t="n"/>
      <c r="C22" s="562" t="n">
        <v>1127.92</v>
      </c>
      <c r="G22" s="5" t="n"/>
      <c r="H22" s="456" t="n"/>
      <c r="I22" s="5" t="n"/>
      <c r="J22" s="456" t="n"/>
      <c r="K22" s="5" t="n"/>
    </row>
    <row r="23">
      <c r="A23" s="2" t="inlineStr">
        <is>
          <t>Jan 22 - Jan 28 2025</t>
        </is>
      </c>
      <c r="B23" s="1" t="n"/>
      <c r="C23" s="562" t="n">
        <v>1638.32</v>
      </c>
      <c r="G23" s="5" t="n"/>
      <c r="H23" s="456" t="n"/>
      <c r="I23" s="5" t="n"/>
      <c r="J23" s="456" t="n"/>
      <c r="K23" s="5" t="n"/>
    </row>
    <row r="24">
      <c r="A24" s="27" t="inlineStr">
        <is>
          <t>Jan 29 - Feb 04 2026</t>
        </is>
      </c>
      <c r="B24" s="29" t="n"/>
      <c r="C24" s="490" t="n">
        <v>1504.01</v>
      </c>
      <c r="G24" s="5" t="n"/>
      <c r="H24" s="456" t="n"/>
      <c r="I24" s="5" t="n"/>
      <c r="J24" s="456" t="n"/>
      <c r="K24" s="5" t="n"/>
    </row>
    <row r="25">
      <c r="A25" s="30" t="inlineStr">
        <is>
          <t>Feb 05 - Feb 11 2026</t>
        </is>
      </c>
      <c r="B25" s="31" t="n"/>
      <c r="C25" s="564" t="n">
        <v>946.48</v>
      </c>
      <c r="G25" s="5" t="n"/>
      <c r="H25" s="456" t="n"/>
      <c r="I25" s="5" t="n"/>
      <c r="J25" s="456" t="n"/>
      <c r="K25" s="5" t="n"/>
    </row>
    <row r="26">
      <c r="A26" s="2" t="inlineStr">
        <is>
          <t>Feb 12 - Feb 18 2024</t>
        </is>
      </c>
      <c r="B26" s="1" t="n"/>
      <c r="C26" s="562" t="n">
        <v>1906.72</v>
      </c>
      <c r="G26" s="5" t="n"/>
      <c r="H26" s="456" t="n"/>
      <c r="I26" s="5" t="n"/>
      <c r="J26" s="456" t="n"/>
      <c r="K26" s="5" t="n"/>
    </row>
    <row r="27">
      <c r="A27" s="2" t="inlineStr">
        <is>
          <t>Feb 19 - Feb 25 2024</t>
        </is>
      </c>
      <c r="B27" s="1" t="n"/>
      <c r="C27" s="562" t="n">
        <v>1683.29</v>
      </c>
      <c r="G27" s="5" t="n"/>
      <c r="H27" s="456" t="n"/>
      <c r="I27" s="5" t="n"/>
      <c r="J27" s="456" t="n"/>
      <c r="K27" s="5" t="n"/>
    </row>
    <row r="28">
      <c r="A28" s="45" t="inlineStr">
        <is>
          <t>Feb 26 - Mar 03, 2024</t>
        </is>
      </c>
      <c r="B28" s="1" t="n"/>
      <c r="C28" s="562" t="n">
        <v>1708.23</v>
      </c>
    </row>
    <row r="29">
      <c r="A29" s="45" t="inlineStr">
        <is>
          <t>Mar 04 - Mar 10, 2024</t>
        </is>
      </c>
      <c r="B29" s="9" t="n"/>
      <c r="C29" s="562" t="n">
        <v>1699.57</v>
      </c>
    </row>
    <row r="30">
      <c r="A30" s="45" t="inlineStr">
        <is>
          <t>Mar 11 - Mar 17, 2024</t>
        </is>
      </c>
      <c r="B30" s="9" t="n"/>
      <c r="C30" s="562" t="n">
        <v>1841.59</v>
      </c>
    </row>
    <row r="31">
      <c r="A31" s="45" t="inlineStr">
        <is>
          <t>Mar 18 - Mar 25, 2024</t>
        </is>
      </c>
      <c r="B31" s="9" t="n"/>
      <c r="C31" s="562" t="n">
        <v>1236.41</v>
      </c>
    </row>
    <row r="32">
      <c r="A32" s="45" t="inlineStr">
        <is>
          <t>Mar 25 - Mar 31, 2024</t>
        </is>
      </c>
      <c r="B32" s="9" t="n"/>
      <c r="C32" s="562" t="n">
        <v>2701.96</v>
      </c>
    </row>
    <row r="33">
      <c r="A33" s="2" t="inlineStr">
        <is>
          <t>Apr 1 - Apr 07 2024</t>
        </is>
      </c>
      <c r="B33" s="9" t="n"/>
      <c r="C33" s="562" t="n">
        <v>1756.68</v>
      </c>
    </row>
    <row r="34">
      <c r="A34" s="2" t="inlineStr">
        <is>
          <t>Apr 8 - Apr 14 2024</t>
        </is>
      </c>
      <c r="B34" s="9" t="n"/>
      <c r="C34" s="562" t="n">
        <v>2877.74</v>
      </c>
    </row>
    <row r="35">
      <c r="A35" s="27" t="inlineStr">
        <is>
          <t>Apr 15 - Apr 21 2024</t>
        </is>
      </c>
      <c r="B35" s="42" t="n"/>
      <c r="C35" s="490" t="n">
        <v>1594.93</v>
      </c>
    </row>
    <row r="36">
      <c r="A36" s="2" t="inlineStr">
        <is>
          <t>Apr 22 - Apr 28 2024</t>
        </is>
      </c>
      <c r="B36" s="9" t="n"/>
      <c r="C36" s="562" t="n">
        <v>1965.42</v>
      </c>
    </row>
    <row r="37">
      <c r="A37" s="2" t="inlineStr">
        <is>
          <t>Apr 29 - May 5 2024</t>
        </is>
      </c>
      <c r="B37" s="9" t="n"/>
      <c r="C37" s="562" t="n">
        <v>2139.13</v>
      </c>
    </row>
    <row r="38">
      <c r="A38" s="2" t="inlineStr">
        <is>
          <t>May 6 - May 12 2024</t>
        </is>
      </c>
      <c r="B38" s="9" t="n"/>
      <c r="C38" s="562" t="n">
        <v>2377.91</v>
      </c>
    </row>
    <row r="39">
      <c r="A39" s="2" t="inlineStr">
        <is>
          <t>May 13 - May 19 2024</t>
        </is>
      </c>
      <c r="B39" s="9" t="n"/>
      <c r="C39" s="562" t="n">
        <v>2787.09</v>
      </c>
    </row>
    <row r="40">
      <c r="A40" s="27" t="inlineStr">
        <is>
          <t>May 20 - May 26 2024</t>
        </is>
      </c>
      <c r="B40" s="42" t="n"/>
      <c r="C40" s="490" t="n">
        <v>3499.68</v>
      </c>
    </row>
    <row r="41">
      <c r="A41" s="2" t="inlineStr">
        <is>
          <t>May 27 - Jun 02 2024</t>
        </is>
      </c>
      <c r="B41" s="9" t="n"/>
      <c r="C41" s="562" t="n">
        <v>2455.04</v>
      </c>
    </row>
    <row r="42">
      <c r="A42" s="2" t="inlineStr">
        <is>
          <t>Jun 03 - Jun 09 2024</t>
        </is>
      </c>
      <c r="B42" s="1" t="n"/>
      <c r="C42" s="562" t="n">
        <v>2708.26</v>
      </c>
    </row>
    <row r="43">
      <c r="A43" s="2" t="inlineStr">
        <is>
          <t>Jun 10 - Jun 16 2024</t>
        </is>
      </c>
      <c r="B43" s="1" t="n"/>
      <c r="C43" s="562" t="n">
        <v>3023.76</v>
      </c>
    </row>
    <row r="44">
      <c r="A44" s="27" t="inlineStr">
        <is>
          <t>Jun 17 - Jun 23 2024</t>
        </is>
      </c>
      <c r="B44" s="29" t="n"/>
      <c r="C44" s="490" t="n">
        <v>3690.22</v>
      </c>
    </row>
    <row r="45">
      <c r="A45" s="2" t="inlineStr">
        <is>
          <t>Jun 24 - Jun 30 2024</t>
        </is>
      </c>
      <c r="B45" s="9" t="n"/>
      <c r="C45" s="562" t="n">
        <v>3265.25</v>
      </c>
    </row>
    <row r="46">
      <c r="A46" s="2" t="inlineStr">
        <is>
          <t>Jul 1 - Jul 7 2024</t>
        </is>
      </c>
      <c r="B46" s="9" t="n"/>
      <c r="C46" s="562" t="n">
        <v>4064.59</v>
      </c>
    </row>
    <row r="47">
      <c r="A47" s="27" t="inlineStr">
        <is>
          <t>Jul 8 - Jul 14 2024</t>
        </is>
      </c>
      <c r="B47" s="42" t="n"/>
      <c r="C47" s="490" t="n">
        <v>3310.09</v>
      </c>
    </row>
    <row r="48">
      <c r="A48" s="2" t="inlineStr">
        <is>
          <t>Jul 15 - Jul 21 2024</t>
        </is>
      </c>
      <c r="B48" s="9" t="n"/>
      <c r="C48" s="490" t="n">
        <v>3214.73</v>
      </c>
    </row>
    <row r="49">
      <c r="A49" s="2" t="inlineStr">
        <is>
          <t>Jul 22 - Jul 28 2024</t>
        </is>
      </c>
      <c r="B49" s="9" t="n"/>
      <c r="C49" s="562" t="n">
        <v>3248.67</v>
      </c>
    </row>
    <row r="50">
      <c r="A50" s="2" t="inlineStr">
        <is>
          <t>Jul 29 - Aug 04 2024</t>
        </is>
      </c>
      <c r="B50" s="9" t="n"/>
      <c r="C50" s="562" t="n">
        <v>3503.39</v>
      </c>
    </row>
    <row r="51">
      <c r="A51" s="2" t="inlineStr">
        <is>
          <t>Aug 05 - Aug 11 2024</t>
        </is>
      </c>
      <c r="B51" s="9" t="n"/>
      <c r="C51" s="562" t="n">
        <v>2592.09</v>
      </c>
    </row>
    <row r="52">
      <c r="A52" s="2" t="inlineStr">
        <is>
          <t>Aug 12 - Aug 18 2024</t>
        </is>
      </c>
      <c r="B52" s="9" t="n"/>
      <c r="C52" s="562" t="n">
        <v>2452.01</v>
      </c>
    </row>
    <row r="53">
      <c r="A53" s="27" t="inlineStr">
        <is>
          <t>Aug 19 - Aug 25 2024</t>
        </is>
      </c>
      <c r="B53" s="42" t="n"/>
      <c r="C53" s="490" t="n">
        <v>3152.84</v>
      </c>
    </row>
    <row r="54">
      <c r="A54" s="27" t="inlineStr">
        <is>
          <t>Aug 26 - Sep 01 2024</t>
        </is>
      </c>
      <c r="B54" s="42" t="n"/>
      <c r="C54" s="490" t="n">
        <v>3014.01</v>
      </c>
    </row>
    <row r="55">
      <c r="A55" s="2" t="inlineStr">
        <is>
          <t>Sep 02 - Sep 08 2024</t>
        </is>
      </c>
      <c r="B55" s="9" t="n"/>
      <c r="C55" s="562" t="n">
        <v>2136.43</v>
      </c>
    </row>
    <row r="56">
      <c r="A56" s="2" t="inlineStr">
        <is>
          <t>Sep 09 - Sep 15 2024</t>
        </is>
      </c>
      <c r="B56" s="56" t="n"/>
      <c r="C56" s="562" t="n">
        <v>2650.5</v>
      </c>
    </row>
    <row r="57">
      <c r="A57" s="2" t="inlineStr">
        <is>
          <t>Sep 16 - Sep 22 2024</t>
        </is>
      </c>
      <c r="B57" s="56" t="n"/>
      <c r="C57" s="562" t="n">
        <v>2465.76</v>
      </c>
    </row>
    <row r="58">
      <c r="A58" s="2" t="inlineStr">
        <is>
          <t>Sep 23 - Sep 29 2024</t>
        </is>
      </c>
      <c r="B58" s="56" t="n"/>
      <c r="C58" s="562" t="n">
        <v>1858.01</v>
      </c>
    </row>
    <row r="59">
      <c r="A59" s="2" t="inlineStr">
        <is>
          <t>Sep 30 - Oct 06 2024</t>
        </is>
      </c>
      <c r="B59" s="56" t="n"/>
      <c r="C59" s="562" t="n">
        <v>1659.65</v>
      </c>
    </row>
    <row r="60">
      <c r="A60" s="2" t="inlineStr">
        <is>
          <t>Oct 07 - Oct 13 2024</t>
        </is>
      </c>
      <c r="B60" s="56" t="n"/>
      <c r="C60" s="562" t="n">
        <v>1748.13</v>
      </c>
    </row>
    <row r="61">
      <c r="A61" s="2" t="inlineStr">
        <is>
          <t>Oct 14 - Oct 20 2024</t>
        </is>
      </c>
      <c r="B61" s="56" t="n"/>
      <c r="C61" s="562" t="n">
        <v>1997.88</v>
      </c>
    </row>
    <row r="62">
      <c r="A62" s="2" t="inlineStr">
        <is>
          <t>Oct 21 - Oct 27 2024</t>
        </is>
      </c>
      <c r="B62" s="56" t="n"/>
      <c r="C62" s="562" t="n">
        <v>1220.27</v>
      </c>
    </row>
    <row r="63">
      <c r="A63" s="2" t="inlineStr">
        <is>
          <t>Oct 28 - Nov 03 2024</t>
        </is>
      </c>
      <c r="B63" s="56" t="n"/>
      <c r="C63" s="562" t="n">
        <v>1532.7</v>
      </c>
    </row>
    <row r="64">
      <c r="A64" s="2" t="inlineStr">
        <is>
          <t>Nov 4 - Nov 10 2024</t>
        </is>
      </c>
      <c r="B64" s="56" t="n"/>
      <c r="C64" s="562" t="n">
        <v>1557.8</v>
      </c>
    </row>
    <row r="65">
      <c r="A65" s="2" t="inlineStr">
        <is>
          <t>Nov 11 - Nov 17 2024</t>
        </is>
      </c>
      <c r="B65" s="56" t="n"/>
      <c r="C65" s="562" t="n">
        <v>1359.94</v>
      </c>
    </row>
    <row r="66">
      <c r="A66" s="2" t="inlineStr">
        <is>
          <t>Nov 18 - Nov 24 2024</t>
        </is>
      </c>
      <c r="B66" s="56" t="n"/>
      <c r="C66" s="562" t="n">
        <v>1143.14</v>
      </c>
    </row>
    <row r="67">
      <c r="A67" s="2" t="inlineStr">
        <is>
          <t>Nov 25 - Dec 01 2024</t>
        </is>
      </c>
      <c r="B67" s="56" t="n"/>
      <c r="C67" s="562" t="n">
        <v>1477.97</v>
      </c>
    </row>
    <row r="68">
      <c r="A68" s="2" t="inlineStr">
        <is>
          <t>Dec 02 - Dec 08 2024</t>
        </is>
      </c>
      <c r="B68" s="56" t="n"/>
      <c r="C68" s="562" t="n">
        <v>678.5700000000001</v>
      </c>
    </row>
    <row r="69">
      <c r="A69" s="2" t="inlineStr">
        <is>
          <t>Dec 09 - Dec 15 2024</t>
        </is>
      </c>
      <c r="B69" s="56" t="n"/>
      <c r="C69" s="562" t="n">
        <v>1129.92</v>
      </c>
    </row>
    <row r="70">
      <c r="A70" s="2" t="inlineStr">
        <is>
          <t>Dec 16 - Dec 22 2024</t>
        </is>
      </c>
      <c r="B70" s="56" t="n"/>
      <c r="C70" s="562" t="n">
        <v>235.21</v>
      </c>
    </row>
    <row r="71">
      <c r="A71" s="2" t="inlineStr">
        <is>
          <t>Dec 23 - Dec 29 2024</t>
        </is>
      </c>
      <c r="B71" s="56" t="n"/>
      <c r="C71" s="562" t="n">
        <v>2535.43</v>
      </c>
    </row>
    <row r="72">
      <c r="A72" s="2" t="inlineStr">
        <is>
          <t>Dec 30 - Jan 05 2025</t>
        </is>
      </c>
      <c r="B72" s="56" t="n"/>
      <c r="C72" s="562" t="n">
        <v>1753.36</v>
      </c>
    </row>
    <row r="73">
      <c r="A73" s="2" t="inlineStr">
        <is>
          <t>Jan 06 - Jan 12 2025</t>
        </is>
      </c>
      <c r="B73" s="118" t="n"/>
      <c r="C73" s="565" t="n">
        <v>906.35</v>
      </c>
    </row>
    <row r="74">
      <c r="A74" s="2" t="inlineStr">
        <is>
          <t>Jan 13 - Jan 19 2025</t>
        </is>
      </c>
      <c r="B74" s="118" t="n"/>
      <c r="C74" s="565" t="n">
        <v>928.38</v>
      </c>
    </row>
    <row r="75">
      <c r="A75" s="2" t="inlineStr">
        <is>
          <t>Jan 20 - Jan 26 2025</t>
        </is>
      </c>
      <c r="B75" s="118" t="n"/>
      <c r="C75" s="566" t="n">
        <v>1272.2</v>
      </c>
    </row>
    <row r="76">
      <c r="A76" s="2" t="inlineStr">
        <is>
          <t>Jan 27 - Feb 02 2025</t>
        </is>
      </c>
      <c r="B76" s="118" t="n"/>
      <c r="C76" s="562" t="n">
        <v>1080.17</v>
      </c>
    </row>
    <row r="77">
      <c r="A77" s="2" t="inlineStr">
        <is>
          <t>Feb 03 - Feb 09 2025</t>
        </is>
      </c>
      <c r="B77" s="118" t="n"/>
      <c r="C77" s="562" t="n">
        <v>790.01</v>
      </c>
    </row>
    <row r="78">
      <c r="A78" s="2" t="inlineStr">
        <is>
          <t>Feb 10 - Feb 16 2025</t>
        </is>
      </c>
      <c r="B78" s="118" t="n"/>
      <c r="C78" s="562" t="n">
        <v>653.6900000000001</v>
      </c>
    </row>
    <row r="79">
      <c r="A79" s="2" t="inlineStr">
        <is>
          <t>Feb 17 - Feb 23 2025</t>
        </is>
      </c>
      <c r="B79" s="118" t="n"/>
      <c r="C79" s="565" t="n"/>
    </row>
    <row r="80">
      <c r="A80" s="2" t="inlineStr">
        <is>
          <t>Feb 24 - Mar 02 2025</t>
        </is>
      </c>
      <c r="B80" s="118" t="n"/>
      <c r="C80" s="565" t="n"/>
    </row>
    <row r="81">
      <c r="A81" s="2" t="inlineStr">
        <is>
          <t>Mar 03 - Mar 09 2025</t>
        </is>
      </c>
      <c r="B81" s="118" t="n"/>
      <c r="C81" s="565" t="n"/>
    </row>
    <row r="82">
      <c r="A82" s="2" t="inlineStr">
        <is>
          <t>Mar 10 - Mar 16 2025</t>
        </is>
      </c>
      <c r="B82" s="118" t="n"/>
      <c r="C82" s="565" t="n"/>
    </row>
    <row r="83">
      <c r="A83" s="2" t="inlineStr">
        <is>
          <t>Mar 17 - Mar 23 2025</t>
        </is>
      </c>
      <c r="B83" s="118" t="n"/>
      <c r="C83" s="565" t="n"/>
    </row>
    <row r="84">
      <c r="A84" s="382" t="inlineStr">
        <is>
          <t>Mar 24 - Mar 30 2025</t>
        </is>
      </c>
      <c r="B84" s="118" t="n"/>
      <c r="C84" s="565" t="n"/>
    </row>
    <row r="85">
      <c r="A85" s="2" t="n"/>
      <c r="B85" s="118" t="n"/>
      <c r="C85" s="565" t="n"/>
    </row>
    <row r="86">
      <c r="A86" s="2" t="n"/>
      <c r="B86" s="118" t="n"/>
      <c r="C86" s="565" t="n"/>
    </row>
    <row r="87">
      <c r="A87" s="2" t="n"/>
      <c r="B87" s="118" t="n"/>
      <c r="C87" s="565" t="n"/>
    </row>
    <row r="88">
      <c r="A88" s="2" t="n"/>
      <c r="B88" s="118" t="n"/>
      <c r="C88" s="565" t="n"/>
    </row>
    <row r="89">
      <c r="A89" s="364" t="inlineStr">
        <is>
          <t>Karachi Tawa Icecream</t>
        </is>
      </c>
      <c r="B89" s="358" t="n"/>
      <c r="C89" s="355" t="n"/>
    </row>
    <row r="90" ht="27.6" customHeight="1">
      <c r="A90" s="103" t="inlineStr">
        <is>
          <t>Statement For Selected Period</t>
        </is>
      </c>
      <c r="B90" s="118" t="n"/>
      <c r="C90" s="361" t="inlineStr">
        <is>
          <t>Total Revenue</t>
        </is>
      </c>
    </row>
    <row r="91">
      <c r="A91" s="2" t="inlineStr">
        <is>
          <t>Jan 27 - Feb 02 2025</t>
        </is>
      </c>
      <c r="B91" s="56" t="n"/>
      <c r="C91" s="562" t="n">
        <v>1080.17</v>
      </c>
    </row>
    <row r="92">
      <c r="A92" s="2" t="inlineStr">
        <is>
          <t>Feb 03 - Feb 09 2025</t>
        </is>
      </c>
      <c r="B92" s="56" t="n"/>
      <c r="C92" s="562" t="n">
        <v>790.01</v>
      </c>
    </row>
    <row r="93">
      <c r="A93" s="2" t="inlineStr">
        <is>
          <t>Feb 10 - Feb 16 2025</t>
        </is>
      </c>
      <c r="B93" s="56" t="n"/>
      <c r="C93" s="562" t="n">
        <v>653.6900000000001</v>
      </c>
    </row>
    <row r="94">
      <c r="A94" s="2" t="inlineStr">
        <is>
          <t>Feb 17 - Feb 23 2025</t>
        </is>
      </c>
    </row>
    <row r="95">
      <c r="A95" s="2" t="inlineStr">
        <is>
          <t>Feb 24 - Mar 02 2025</t>
        </is>
      </c>
    </row>
    <row r="96">
      <c r="A96" s="2" t="inlineStr">
        <is>
          <t>Mar 03 - Mar 09 2025</t>
        </is>
      </c>
    </row>
    <row r="97">
      <c r="A97" s="2" t="inlineStr">
        <is>
          <t>Mar 10 - Mar 16 2025</t>
        </is>
      </c>
    </row>
    <row r="98">
      <c r="A98" s="2" t="inlineStr">
        <is>
          <t>Mar 17 - Mar 23 2025</t>
        </is>
      </c>
    </row>
    <row r="99">
      <c r="A99" s="382" t="inlineStr">
        <is>
          <t>Mar 24 - Mar 30 2025</t>
        </is>
      </c>
    </row>
  </sheetData>
  <mergeCells count="4">
    <mergeCell ref="G1:H1"/>
    <mergeCell ref="A89:C89"/>
    <mergeCell ref="I1:J1"/>
    <mergeCell ref="K1:L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D24"/>
  <sheetViews>
    <sheetView topLeftCell="A6" workbookViewId="0">
      <selection activeCell="C25" sqref="C25"/>
    </sheetView>
  </sheetViews>
  <sheetFormatPr baseColWidth="8" defaultRowHeight="14.4"/>
  <cols>
    <col width="32.33203125" customWidth="1" min="1" max="1"/>
    <col width="21.44140625" customWidth="1" min="2" max="2"/>
    <col width="23" customWidth="1" min="3" max="3"/>
    <col width="25.6640625" customWidth="1" min="4" max="4"/>
  </cols>
  <sheetData>
    <row r="2" ht="27.6" customHeight="1">
      <c r="A2" s="2" t="inlineStr">
        <is>
          <t>November 20 2023 - November 26 2023</t>
        </is>
      </c>
      <c r="B2" s="460">
        <f>SUM(Highway!C14, Kababwala!C15, Icecream!C14, 'Pizza K Heartland'!C14, 'Pizza K Eglinton'!C26, 'Karachi Food Court'!C14)</f>
        <v/>
      </c>
    </row>
    <row r="3" ht="27.6" customHeight="1">
      <c r="A3" s="2" t="inlineStr">
        <is>
          <t>November 27 2023 - December 03 2024</t>
        </is>
      </c>
      <c r="B3" s="460">
        <f>SUM(Highway!C15, Kababwala!C16, Icecream!C15, 'Pizza K Heartland'!C15, 'Pizza K Eglinton'!C27, 'Karachi Food Court'!C15)</f>
        <v/>
      </c>
    </row>
    <row r="4" ht="27.6" customHeight="1">
      <c r="A4" s="2" t="inlineStr">
        <is>
          <t>December 04 2023 - December 10 2024</t>
        </is>
      </c>
      <c r="B4" s="460">
        <f>SUM(Highway!C16, Kababwala!C17, Icecream!C16, 'Pizza K Heartland'!C16, 'Pizza K Eglinton'!C28, 'Karachi Food Court'!C16)</f>
        <v/>
      </c>
    </row>
    <row r="5" ht="27.6" customHeight="1">
      <c r="A5" s="2" t="inlineStr">
        <is>
          <t>December 11 2023 - December 17 2024</t>
        </is>
      </c>
      <c r="B5" s="460">
        <f>SUM(Highway!C17, Kababwala!C18, Icecream!C17, 'Pizza K Heartland'!C17, 'Pizza K Eglinton'!C29, 'Karachi Food Court'!C17)</f>
        <v/>
      </c>
    </row>
    <row r="6" ht="27.6" customHeight="1">
      <c r="A6" s="2" t="inlineStr">
        <is>
          <t>December 18 2023 - December 24 2024</t>
        </is>
      </c>
      <c r="B6" s="460">
        <f>SUM(Highway!C18, Kababwala!C19, Icecream!C18, 'Pizza K Heartland'!C18, 'Pizza K Eglinton'!C30, 'Karachi Food Court'!C18, Markham!B3)</f>
        <v/>
      </c>
    </row>
    <row r="7" ht="27.6" customHeight="1">
      <c r="A7" s="2" t="inlineStr">
        <is>
          <t>December 25 2023 - December 31 2024</t>
        </is>
      </c>
      <c r="B7" s="460">
        <f>SUM(Highway!C19, Kababwala!C20, Icecream!C19, 'Pizza K Heartland'!C19, 'Pizza K Eglinton'!C31, 'Karachi Food Court'!C19, Markham!B4)</f>
        <v/>
      </c>
    </row>
    <row r="8">
      <c r="A8" s="2" t="inlineStr">
        <is>
          <t>Jan 1 - Jan 07 2024</t>
        </is>
      </c>
      <c r="B8" s="460">
        <f>SUM(Highway!C20, Kababwala!C21, Icecream!C20, 'Pizza K Heartland'!C20, 'Pizza K Eglinton'!C32, 'Karachi Food Court'!C20, Markham!B5)</f>
        <v/>
      </c>
    </row>
    <row r="9">
      <c r="A9" s="15" t="inlineStr">
        <is>
          <t>Jan 8 - Jan 14 2024</t>
        </is>
      </c>
      <c r="B9" s="460">
        <f>SUM(Highway!C21, Kababwala!C22, Icecream!C21, 'Pizza K Heartland'!C21, 'Pizza K Eglinton'!C33, 'Karachi Food Court'!C21, Markham!B6)</f>
        <v/>
      </c>
    </row>
    <row r="10">
      <c r="A10" s="15" t="inlineStr">
        <is>
          <t>Jan 15 - Jan 21 2024</t>
        </is>
      </c>
      <c r="B10" s="460">
        <f>SUM(Highway!C22, Kababwala!C23, Icecream!C22, 'Pizza K Heartland'!C22, 'Pizza K Eglinton'!C34, 'Karachi Food Court'!C22, Markham!B7)</f>
        <v/>
      </c>
    </row>
    <row r="11">
      <c r="A11" s="26" t="inlineStr">
        <is>
          <t>Jan 22 - Jan 28 2024</t>
        </is>
      </c>
      <c r="B11" s="460">
        <f>SUM(Highway!C23, Kababwala!C24, Icecream!C23, 'Pizza K Heartland'!C23, 'Pizza K Eglinton'!C35, 'Karachi Food Court'!C23, Markham!B8)</f>
        <v/>
      </c>
    </row>
    <row r="12">
      <c r="A12" s="27" t="inlineStr">
        <is>
          <t>Jan 29 - Feb 04 2024</t>
        </is>
      </c>
      <c r="B12" s="460">
        <f>SUM(Highway!C24, Kababwala!C25, Icecream!C24, 'Pizza K Heartland'!C24, 'Pizza K Eglinton'!C36, 'Karachi Food Court'!C24, Markham!B9)</f>
        <v/>
      </c>
    </row>
    <row r="13">
      <c r="A13" s="2" t="inlineStr">
        <is>
          <t>Feb 05 - Feb 11 2024</t>
        </is>
      </c>
      <c r="B13" s="460">
        <f>SUM(Highway!C25, Kababwala!C26, Icecream!C25, 'Pizza K Heartland'!C25, 'Pizza K Eglinton'!C37, 'Karachi Food Court'!C25, Markham!B10)</f>
        <v/>
      </c>
    </row>
    <row r="14">
      <c r="A14" s="2" t="inlineStr">
        <is>
          <t>Feb 12 - Feb 18 2024</t>
        </is>
      </c>
      <c r="B14" s="460">
        <f>SUM(Highway!C26, Kababwala!C27, Icecream!C26, 'Pizza K Heartland'!C26, 'Pizza K Eglinton'!C38, 'Karachi Food Court'!C26, Markham!B11)</f>
        <v/>
      </c>
    </row>
    <row r="15">
      <c r="A15" s="45" t="inlineStr">
        <is>
          <t>Mar 18 - Mar 25, 2024</t>
        </is>
      </c>
      <c r="B15" s="460">
        <f>SUM(Highway!C31,Kababwala!C32,Icecream!C31,'Pizza K Heartland'!C31,'Pizza K Eglinton'!C45,'Karachi Food Court'!C31,Markham!B16)</f>
        <v/>
      </c>
    </row>
    <row r="16">
      <c r="A16" s="2" t="inlineStr">
        <is>
          <t>May 20 - May 26 2024</t>
        </is>
      </c>
      <c r="B16" s="460">
        <f>SUM(Highway!C40,Kababwala!C40,Icecream!C40,'Pizza K Heartland'!C40,'Pizza K Eglinton'!C54,'Karachi Food Court'!C40,Markham!B25)</f>
        <v/>
      </c>
    </row>
    <row r="17">
      <c r="A17" s="2" t="inlineStr">
        <is>
          <t>May 27 - Jun 02 2024</t>
        </is>
      </c>
      <c r="B17" s="460">
        <f>SUM(Highway!C41,Kababwala!C42,Icecream!C41,'Pizza K Heartland'!C41,'Pizza K Eglinton'!C55,'Karachi Food Court'!C41,Markham!#REF!)</f>
        <v/>
      </c>
      <c r="C17" s="455" t="n">
        <v>14758.8</v>
      </c>
    </row>
    <row r="18" ht="17.4" customHeight="1">
      <c r="C18" s="567" t="n">
        <v>15998.15</v>
      </c>
    </row>
    <row r="19">
      <c r="C19" s="562" t="n">
        <v>2452.01</v>
      </c>
    </row>
    <row r="20">
      <c r="C20" s="17" t="n">
        <v>17470.75</v>
      </c>
    </row>
    <row r="21">
      <c r="C21" s="102" t="n">
        <v>41130.92</v>
      </c>
    </row>
    <row r="22">
      <c r="C22" s="496" t="n">
        <v>53846.11</v>
      </c>
    </row>
    <row r="23">
      <c r="D23" s="534" t="n">
        <v>13216.82</v>
      </c>
    </row>
    <row r="24">
      <c r="C24" s="460">
        <f>SUM(C17:C22)</f>
        <v/>
      </c>
      <c r="D24" s="460">
        <f>SUM(C17:C23)+D23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4.4"/>
  <cols>
    <col width="41.6640625" customWidth="1" min="1" max="1"/>
  </cols>
  <sheetData>
    <row r="1">
      <c r="A1" t="inlineStr">
        <is>
          <t>Uber Help</t>
        </is>
      </c>
    </row>
    <row r="2">
      <c r="A2" t="inlineStr">
        <is>
          <t>Smash Ox Dixie</t>
        </is>
      </c>
    </row>
    <row r="3">
      <c r="A3" t="inlineStr">
        <is>
          <t>Chickentarian Britannia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2026-06-01T16:06:06Z</dcterms:modified>
  <cp:lastModifiedBy>Mareeha Ahmed</cp:lastModifiedBy>
</cp:coreProperties>
</file>