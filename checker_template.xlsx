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he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5" fillId="0" borderId="0"/>
    <xf numFmtId="0" fontId="6" fillId="0" borderId="0"/>
    <xf numFmtId="0" fontId="5" fillId="0" borderId="0"/>
  </cellStyleXfs>
  <cellXfs count="62">
    <xf numFmtId="0" fontId="0" fillId="0" borderId="0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1" fontId="4" fillId="0" borderId="16" pivotButton="0" quotePrefix="0" xfId="0"/>
    <xf numFmtId="1" fontId="0" fillId="0" borderId="19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0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0" pivotButton="0" quotePrefix="0" xfId="0"/>
    <xf numFmtId="1" fontId="0" fillId="0" borderId="22" pivotButton="0" quotePrefix="0" xfId="0"/>
    <xf numFmtId="1" fontId="0" fillId="0" borderId="13" pivotButton="0" quotePrefix="0" xfId="0"/>
    <xf numFmtId="1" fontId="0" fillId="0" borderId="23" pivotButton="0" quotePrefix="0" xfId="0"/>
    <xf numFmtId="1" fontId="0" fillId="0" borderId="19" pivotButton="0" quotePrefix="0" xfId="0"/>
    <xf numFmtId="0" fontId="0" fillId="0" borderId="19" pivotButton="0" quotePrefix="0" xfId="0"/>
    <xf numFmtId="0" fontId="6" fillId="0" borderId="0" pivotButton="0" quotePrefix="0" xfId="1"/>
    <xf numFmtId="1" fontId="0" fillId="0" borderId="24" applyAlignment="1" pivotButton="0" quotePrefix="0" xfId="0">
      <alignment horizontal="center"/>
    </xf>
    <xf numFmtId="1" fontId="0" fillId="0" borderId="25" pivotButton="0" quotePrefix="0" xfId="0"/>
    <xf numFmtId="1" fontId="0" fillId="0" borderId="24" pivotButton="0" quotePrefix="0" xfId="0"/>
    <xf numFmtId="9" fontId="0" fillId="0" borderId="26" applyAlignment="1" pivotButton="0" quotePrefix="0" xfId="0">
      <alignment horizontal="center"/>
    </xf>
    <xf numFmtId="1" fontId="3" fillId="0" borderId="19" pivotButton="0" quotePrefix="0" xfId="0"/>
    <xf numFmtId="9" fontId="0" fillId="0" borderId="19" applyAlignment="1" pivotButton="0" quotePrefix="0" xfId="0">
      <alignment horizontal="center"/>
    </xf>
    <xf numFmtId="0" fontId="6" fillId="0" borderId="19" pivotButton="0" quotePrefix="0" xfId="1"/>
    <xf numFmtId="0" fontId="6" fillId="0" borderId="21" pivotButton="0" quotePrefix="0" xfId="1"/>
    <xf numFmtId="9" fontId="0" fillId="0" borderId="21" applyAlignment="1" pivotButton="0" quotePrefix="0" xfId="0">
      <alignment horizontal="center"/>
    </xf>
    <xf numFmtId="1" fontId="0" fillId="0" borderId="21" pivotButton="0" quotePrefix="0" xfId="0"/>
    <xf numFmtId="1" fontId="4" fillId="0" borderId="19" pivotButton="0" quotePrefix="0" xfId="0"/>
    <xf numFmtId="1" fontId="0" fillId="0" borderId="26" applyAlignment="1" pivotButton="0" quotePrefix="0" xfId="0">
      <alignment horizontal="center"/>
    </xf>
    <xf numFmtId="0" fontId="0" fillId="0" borderId="13" pivotButton="0" quotePrefix="0" xfId="0"/>
    <xf numFmtId="1" fontId="3" fillId="0" borderId="28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2" borderId="7" applyAlignment="1" pivotButton="0" quotePrefix="0" xfId="0">
      <alignment horizontal="center" vertical="center" wrapText="1"/>
    </xf>
    <xf numFmtId="1" fontId="0" fillId="2" borderId="11" applyAlignment="1" pivotButton="0" quotePrefix="0" xfId="0">
      <alignment horizontal="center" vertical="center" wrapText="1"/>
    </xf>
    <xf numFmtId="1" fontId="0" fillId="3" borderId="17" applyAlignment="1" pivotButton="0" quotePrefix="0" xfId="0">
      <alignment horizontal="center" wrapText="1"/>
    </xf>
    <xf numFmtId="0" fontId="0" fillId="0" borderId="18" pivotButton="0" quotePrefix="0" xfId="0"/>
    <xf numFmtId="1" fontId="0" fillId="4" borderId="7" applyAlignment="1" pivotButton="0" quotePrefix="0" xfId="0">
      <alignment horizontal="center" wrapText="1"/>
    </xf>
    <xf numFmtId="1" fontId="0" fillId="4" borderId="11" applyAlignment="1" pivotButton="0" quotePrefix="0" xfId="0">
      <alignment horizontal="center" wrapText="1"/>
    </xf>
    <xf numFmtId="1" fontId="0" fillId="5" borderId="27" applyAlignment="1" pivotButton="0" quotePrefix="0" xfId="0">
      <alignment horizontal="center" wrapText="1"/>
    </xf>
    <xf numFmtId="1" fontId="0" fillId="5" borderId="0" applyAlignment="1" pivotButton="0" quotePrefix="0" xfId="0">
      <alignment horizontal="center" wrapText="1"/>
    </xf>
    <xf numFmtId="1" fontId="0" fillId="5" borderId="5" applyAlignment="1" pivotButton="0" quotePrefix="0" xfId="0">
      <alignment horizontal="center" wrapText="1"/>
    </xf>
    <xf numFmtId="0" fontId="0" fillId="0" borderId="7" pivotButton="0" quotePrefix="0" xfId="0"/>
    <xf numFmtId="0" fontId="0" fillId="0" borderId="11" pivotButton="0" quotePrefix="0" xfId="0"/>
    <xf numFmtId="1" fontId="0" fillId="5" borderId="30" applyAlignment="1" pivotButton="0" quotePrefix="0" xfId="0">
      <alignment horizontal="center" wrapText="1"/>
    </xf>
    <xf numFmtId="1" fontId="5" fillId="0" borderId="12" applyAlignment="1" pivotButton="0" quotePrefix="0" xfId="0">
      <alignment horizontal="center"/>
    </xf>
    <xf numFmtId="1" fontId="5" fillId="0" borderId="19" applyAlignment="1" pivotButton="0" quotePrefix="0" xfId="0">
      <alignment horizontal="center"/>
    </xf>
    <xf numFmtId="1" fontId="5" fillId="0" borderId="24" applyAlignment="1" pivotButton="0" quotePrefix="0" xfId="0">
      <alignment horizontal="center"/>
    </xf>
    <xf numFmtId="1" fontId="5" fillId="0" borderId="20" applyAlignment="1" pivotButton="0" quotePrefix="0" xfId="0">
      <alignment horizontal="center"/>
    </xf>
  </cellXfs>
  <cellStyles count="3">
    <cellStyle name="Normal" xfId="0" builtinId="0"/>
    <cellStyle name="Hyperlink" xfId="1" builtinId="8"/>
    <cellStyle name="Normal 14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touchbistro.com/venue-management/bases/01439546-d97c-445a-8cb5-be2395ed6522/menu-management/menu-items/df6f390b-46a4-4b51-89f5-1516c0211b2d/edit" TargetMode="External" Id="rId1" /><Relationship Type="http://schemas.openxmlformats.org/officeDocument/2006/relationships/hyperlink" Target="https://admin.touchbistro.com/venue-management/bases/01439546-d97c-445a-8cb5-be2395ed6522/menu-management/menu-items/05e47ae2-2b51-45c5-9f02-5ce3dda2211a/edit" TargetMode="External" Id="rId2" /><Relationship Type="http://schemas.openxmlformats.org/officeDocument/2006/relationships/hyperlink" Target="https://admin.touchbistro.com/venue-management/bases/01439546-d97c-445a-8cb5-be2395ed6522/menu-management/menu-items/0c847f67-21a1-4065-8c8c-e317e0495309/edit" TargetMode="External" Id="rId3" /><Relationship Type="http://schemas.openxmlformats.org/officeDocument/2006/relationships/hyperlink" Target="https://admin.touchbistro.com/venue-management/bases/01439546-d97c-445a-8cb5-be2395ed6522/menu-management/menu-items/aa128a42-f6cb-46eb-b14c-3b51fe42c195/edit" TargetMode="External" Id="rId4" /><Relationship Type="http://schemas.openxmlformats.org/officeDocument/2006/relationships/hyperlink" Target="https://admin.touchbistro.com/venue-management/bases/01439546-d97c-445a-8cb5-be2395ed6522/menu-management/menu-items/2f9d951f-cb90-4247-95ce-6cbb91cfefa1/edit" TargetMode="External" Id="rId5" /><Relationship Type="http://schemas.openxmlformats.org/officeDocument/2006/relationships/hyperlink" Target="https://admin.touchbistro.com/venue-management/bases/01439546-d97c-445a-8cb5-be2395ed6522/menu-management/menu-items/4fe94ce1-0426-4371-81b0-285b4302c4af/edit" TargetMode="External" Id="rId6" /><Relationship Type="http://schemas.openxmlformats.org/officeDocument/2006/relationships/hyperlink" Target="https://admin.touchbistro.com/venue-management/bases/01439546-d97c-445a-8cb5-be2395ed6522/menu-management/menu-items/e3b52986-97d2-4e33-b0d2-e2e6715f38f9/edit" TargetMode="External" Id="rId7" /><Relationship Type="http://schemas.openxmlformats.org/officeDocument/2006/relationships/hyperlink" Target="https://admin.touchbistro.com/venue-management/bases/01439546-d97c-445a-8cb5-be2395ed6522/menu-management/menu-items/4412b54e-3f7f-4ca8-80e6-e3c45a026580/edit" TargetMode="External" Id="rId8" /><Relationship Type="http://schemas.openxmlformats.org/officeDocument/2006/relationships/hyperlink" Target="https://admin.touchbistro.com/venue-management/bases/01439546-d97c-445a-8cb5-be2395ed6522/menu-management/menu-items/84f84934-dcb3-4e05-8425-43d391649546/edit" TargetMode="External" Id="rId9" /><Relationship Type="http://schemas.openxmlformats.org/officeDocument/2006/relationships/hyperlink" Target="https://admin.touchbistro.com/venue-management/bases/01439546-d97c-445a-8cb5-be2395ed6522/menu-management/menu-items/7cdbd6c6-b939-4df3-939f-5cd9344779e7/edit" TargetMode="External" Id="rId10" /><Relationship Type="http://schemas.openxmlformats.org/officeDocument/2006/relationships/hyperlink" Target="https://admin.touchbistro.com/venue-management/bases/01439546-d97c-445a-8cb5-be2395ed6522/menu-management/menu-items/59f019da-bb37-4a18-bea4-26d990b5040c/edit" TargetMode="External" Id="rId11" /><Relationship Type="http://schemas.openxmlformats.org/officeDocument/2006/relationships/hyperlink" Target="https://admin.touchbistro.com/venue-management/bases/01439546-d97c-445a-8cb5-be2395ed6522/menu-management/menu-items/2bd61595-812c-4416-a307-222a02b47505/edit" TargetMode="External" Id="rId12" /><Relationship Type="http://schemas.openxmlformats.org/officeDocument/2006/relationships/hyperlink" Target="https://admin.touchbistro.com/venue-management/bases/01439546-d97c-445a-8cb5-be2395ed6522/menu-management/menu-items/50393bcc-d010-4a6e-8fef-a98027e00f00/edit" TargetMode="External" Id="rId13" /><Relationship Type="http://schemas.openxmlformats.org/officeDocument/2006/relationships/hyperlink" Target="https://admin.touchbistro.com/venue-management/bases/01439546-d97c-445a-8cb5-be2395ed6522/menu-management/menu-items/accf72be-911b-42c7-a918-d3f60740e488/edit" TargetMode="External" Id="rId14" /><Relationship Type="http://schemas.openxmlformats.org/officeDocument/2006/relationships/hyperlink" Target="https://admin.touchbistro.com/venue-management/bases/01439546-d97c-445a-8cb5-be2395ed6522/menu-management/menu-items/9e3d9f50-4f51-4952-9435-e24cce4fc01e/edit" TargetMode="External" Id="rId15" /><Relationship Type="http://schemas.openxmlformats.org/officeDocument/2006/relationships/hyperlink" Target="https://admin.touchbistro.com/venue-management/bases/01439546-d97c-445a-8cb5-be2395ed6522/menu-management/menu-items/93b60787-751d-4fdf-a4b3-3bc58974092a/edit" TargetMode="External" Id="rId16" /><Relationship Type="http://schemas.openxmlformats.org/officeDocument/2006/relationships/hyperlink" Target="https://admin.touchbistro.com/venue-management/bases/01439546-d97c-445a-8cb5-be2395ed6522/menu-management/menu-items/5b36a339-0250-4b39-95b2-72c24c966d71/edit" TargetMode="External" Id="rId17" /><Relationship Type="http://schemas.openxmlformats.org/officeDocument/2006/relationships/hyperlink" Target="https://admin.touchbistro.com/venue-management/bases/01439546-d97c-445a-8cb5-be2395ed6522/menu-management/menu-items/8b2f9892-70fd-4992-8aff-94d6d2e4a8be/edit" TargetMode="External" Id="rId18" /><Relationship Type="http://schemas.openxmlformats.org/officeDocument/2006/relationships/hyperlink" Target="https://admin.touchbistro.com/venue-management/bases/01439546-d97c-445a-8cb5-be2395ed6522/menu-management/menu-items/f2f68cfd-160f-443f-b0e2-5944eb30dcbb/edit" TargetMode="External" Id="rId19" /><Relationship Type="http://schemas.openxmlformats.org/officeDocument/2006/relationships/hyperlink" Target="https://admin.touchbistro.com/venue-management/bases/01439546-d97c-445a-8cb5-be2395ed6522/menu-management/menu-items/8923206e-df78-4292-8b5a-a727be8dda3b/edit" TargetMode="External" Id="rId20" /><Relationship Type="http://schemas.openxmlformats.org/officeDocument/2006/relationships/hyperlink" Target="https://admin.touchbistro.com/venue-management/bases/01439546-d97c-445a-8cb5-be2395ed6522/menu-management/menu-items/a8616aa7-a5b9-4995-ab0f-5a596af3d4cf/edit" TargetMode="External" Id="rId21" /><Relationship Type="http://schemas.openxmlformats.org/officeDocument/2006/relationships/hyperlink" Target="https://admin.touchbistro.com/venue-management/bases/01439546-d97c-445a-8cb5-be2395ed6522/menu-management/menu-items/ec911df3-6ffa-4635-831d-3567717d4aee/edit" TargetMode="External" Id="rId22" /><Relationship Type="http://schemas.openxmlformats.org/officeDocument/2006/relationships/hyperlink" Target="https://admin.touchbistro.com/venue-management/bases/01439546-d97c-445a-8cb5-be2395ed6522/menu-management/menu-items/27758f93-2425-4fcc-ad9c-5290c34d77d0/edit" TargetMode="External" Id="rId23" /><Relationship Type="http://schemas.openxmlformats.org/officeDocument/2006/relationships/hyperlink" Target="https://admin.touchbistro.com/venue-management/bases/01439546-d97c-445a-8cb5-be2395ed6522/menu-management/menu-items/65b3938d-6ca8-4ae3-a145-9c456e9a2f4f/edit" TargetMode="External" Id="rId24" /><Relationship Type="http://schemas.openxmlformats.org/officeDocument/2006/relationships/hyperlink" Target="https://admin.touchbistro.com/venue-management/bases/01439546-d97c-445a-8cb5-be2395ed6522/menu-management/menu-items/55c760df-a930-4b4f-81ad-c3453e901016/edit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tabSelected="1" workbookViewId="0">
      <selection activeCell="C8" sqref="C8"/>
    </sheetView>
  </sheetViews>
  <sheetFormatPr baseColWidth="8" defaultRowHeight="15"/>
  <cols>
    <col width="9.85546875" customWidth="1" min="1" max="1"/>
    <col width="42.85546875" customWidth="1" min="2" max="2"/>
    <col width="9.85546875" customWidth="1" min="3" max="3"/>
    <col width="12" customWidth="1" min="19" max="19"/>
    <col width="10" customWidth="1" min="20" max="20"/>
    <col width="12" customWidth="1" min="21" max="21"/>
    <col width="10" customWidth="1" min="22" max="22"/>
  </cols>
  <sheetData>
    <row r="1" ht="15.75" customHeight="1" thickBot="1">
      <c r="A1" s="40" t="inlineStr">
        <is>
          <t>Jul 13 - Jul 19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2" t="n"/>
    </row>
    <row r="2" ht="15" customHeight="1" thickBot="1">
      <c r="A2" s="43" t="n"/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5" t="n"/>
    </row>
    <row r="3" ht="15" customHeight="1" thickBot="1">
      <c r="A3" s="1" t="n"/>
      <c r="B3" s="2" t="inlineStr">
        <is>
          <t>Items</t>
        </is>
      </c>
      <c r="C3" s="3" t="inlineStr">
        <is>
          <t>markham</t>
        </is>
      </c>
      <c r="D3" s="4" t="inlineStr">
        <is>
          <t>percentage</t>
        </is>
      </c>
      <c r="E3" s="3" t="inlineStr">
        <is>
          <t>ajax</t>
        </is>
      </c>
      <c r="F3" s="4" t="inlineStr">
        <is>
          <t>percentage</t>
        </is>
      </c>
      <c r="G3" s="3" t="inlineStr">
        <is>
          <t>lebovic</t>
        </is>
      </c>
      <c r="H3" s="4" t="inlineStr">
        <is>
          <t>percentage</t>
        </is>
      </c>
      <c r="I3" s="3" t="inlineStr">
        <is>
          <t>wonderland</t>
        </is>
      </c>
      <c r="J3" s="4" t="inlineStr">
        <is>
          <t>percentage</t>
        </is>
      </c>
      <c r="K3" s="3" t="inlineStr">
        <is>
          <t>downtown</t>
        </is>
      </c>
      <c r="L3" s="4" t="inlineStr">
        <is>
          <t>percentage</t>
        </is>
      </c>
      <c r="M3" s="3" t="inlineStr">
        <is>
          <t>highway</t>
        </is>
      </c>
      <c r="N3" s="4" t="inlineStr">
        <is>
          <t>percentage</t>
        </is>
      </c>
      <c r="O3" s="3" t="inlineStr">
        <is>
          <t>heartland</t>
        </is>
      </c>
      <c r="P3" s="4" t="inlineStr">
        <is>
          <t>percentage</t>
        </is>
      </c>
      <c r="Q3" s="5" t="inlineStr">
        <is>
          <t>eglinton</t>
        </is>
      </c>
      <c r="R3" s="4" t="inlineStr">
        <is>
          <t>percentage</t>
        </is>
      </c>
      <c r="S3" s="3" t="inlineStr">
        <is>
          <t>oshawa</t>
        </is>
      </c>
      <c r="T3" s="3" t="inlineStr">
        <is>
          <t>percentage</t>
        </is>
      </c>
      <c r="U3" s="3" t="inlineStr">
        <is>
          <t>milton</t>
        </is>
      </c>
      <c r="V3" s="3" t="inlineStr">
        <is>
          <t>percentage</t>
        </is>
      </c>
      <c r="W3" s="3" t="inlineStr">
        <is>
          <t>food court</t>
        </is>
      </c>
      <c r="X3" s="4" t="inlineStr">
        <is>
          <t>percentage</t>
        </is>
      </c>
      <c r="Y3" s="5" t="inlineStr">
        <is>
          <t>kabab wala</t>
        </is>
      </c>
      <c r="Z3" s="6" t="inlineStr">
        <is>
          <t>percentage</t>
        </is>
      </c>
      <c r="AA3" s="7" t="inlineStr">
        <is>
          <t>kababwala Q St</t>
        </is>
      </c>
      <c r="AB3" s="6" t="inlineStr">
        <is>
          <t>percentage</t>
        </is>
      </c>
    </row>
    <row r="4" ht="14.45" customHeight="1">
      <c r="A4" s="47" t="inlineStr">
        <is>
          <t>Pizza K Deals</t>
        </is>
      </c>
      <c r="B4" s="8" t="inlineStr">
        <is>
          <t>Wing Wednesday - 10</t>
        </is>
      </c>
      <c r="C4" s="9">
        <f>IFERROR(SUMIF('Markham Rd'!$A:$A, B4, 'Markham Rd'!$F:$F), 0)</f>
        <v/>
      </c>
      <c r="D4" s="10" t="n"/>
      <c r="E4" s="9">
        <f>IFERROR(SUMIF(Ajax!$A:$A, B4, Ajax!$F:$F), 0)</f>
        <v/>
      </c>
      <c r="F4" s="10" t="n"/>
      <c r="G4" s="9">
        <f>IFERROR(SUMIF(Lebovic!$A:$A, B4, Lebovic!$F:$F), 0)</f>
        <v/>
      </c>
      <c r="H4" s="10" t="n"/>
      <c r="I4" s="9">
        <f>IFERROR(SUMIF(Wonderland!$A:$A, B4, Wonderland!$F:$F), 0)</f>
        <v/>
      </c>
      <c r="J4" s="10" t="n"/>
      <c r="K4" s="9">
        <f>IFERROR(SUMIF('Pizza Karachi Downtown TO'!$A:$A, B4, 'Pizza Karachi Downtown TO'!$F:$F), 0)</f>
        <v/>
      </c>
      <c r="L4" s="10" t="n"/>
      <c r="M4" s="9">
        <f>IFERROR(SUMIF('Highway Karahi'!$A:$A, B4, 'Highway Karahi'!$F:$F), 0)</f>
        <v/>
      </c>
      <c r="N4" s="10" t="n"/>
      <c r="O4" s="9">
        <f>IFERROR(SUMIF(Heartland!$A:$A, B4, Heartland!$F:$F), 0)</f>
        <v/>
      </c>
      <c r="P4" s="10" t="n"/>
      <c r="Q4" s="9">
        <f>IFERROR(SUMIF(Eglinton!$A:$A, B4, Eglinton!$F:$F), 0)</f>
        <v/>
      </c>
      <c r="R4" s="10" t="n"/>
      <c r="S4" s="58">
        <f>IFERROR(SUMIF(Oshawa!$A:$A, B4, Oshawa!$F:$F), 0)</f>
        <v/>
      </c>
      <c r="T4" s="58" t="n"/>
      <c r="U4" s="58">
        <f>IFERROR(SUMIF(Milton!$A:$A, B4, Milton!$F:$F), 0)</f>
        <v/>
      </c>
      <c r="V4" s="58" t="n"/>
      <c r="W4" s="11" t="inlineStr">
        <is>
          <t>-</t>
        </is>
      </c>
      <c r="X4" s="9" t="n"/>
      <c r="Y4" s="9" t="inlineStr">
        <is>
          <t>-</t>
        </is>
      </c>
      <c r="Z4" s="12" t="n"/>
      <c r="AA4" s="12" t="n"/>
      <c r="AB4" s="13" t="n"/>
    </row>
    <row r="5">
      <c r="A5" s="55" t="n"/>
      <c r="B5" s="14" t="inlineStr">
        <is>
          <t>Personal Pizza Lunch Deal</t>
        </is>
      </c>
      <c r="C5" s="9">
        <f>IFERROR(SUMIF('Markham Rd'!$A:$A, B5, 'Markham Rd'!$F:$F), 0)</f>
        <v/>
      </c>
      <c r="D5" s="10" t="n"/>
      <c r="E5" s="9">
        <f>IFERROR(SUMIF(Ajax!$A:$A, B5, Ajax!$F:$F), 0)</f>
        <v/>
      </c>
      <c r="F5" s="10" t="n"/>
      <c r="G5" s="9">
        <f>IFERROR(SUMIF(Lebovic!$A:$A, B5, Lebovic!$F:$F), 0)</f>
        <v/>
      </c>
      <c r="H5" s="10" t="n"/>
      <c r="I5" s="9">
        <f>IFERROR(SUMIF(Wonderland!$A:$A, B5, Wonderland!$F:$F), 0)</f>
        <v/>
      </c>
      <c r="J5" s="10" t="n"/>
      <c r="K5" s="9">
        <f>IFERROR(SUMIF('Pizza Karachi Downtown TO'!$A:$A, B5, 'Pizza Karachi Downtown TO'!$F:$F), 0)</f>
        <v/>
      </c>
      <c r="L5" s="10" t="n"/>
      <c r="M5" s="9">
        <f>IFERROR(SUMIF('Highway Karahi'!$A:$A, B5, 'Highway Karahi'!$F:$F), 0)</f>
        <v/>
      </c>
      <c r="N5" s="10" t="n"/>
      <c r="O5" s="9">
        <f>IFERROR(SUMIF(Heartland!$A:$A, B5, Heartland!$F:$F), 0)</f>
        <v/>
      </c>
      <c r="P5" s="10" t="n"/>
      <c r="Q5" s="9">
        <f>IFERROR(SUMIF(Eglinton!$A:$A, B5, Eglinton!$F:$F), 0)</f>
        <v/>
      </c>
      <c r="R5" s="10" t="n"/>
      <c r="S5" s="58">
        <f>IFERROR(SUMIF(Oshawa!$A:$A, B5, Oshawa!$F:$F), 0)</f>
        <v/>
      </c>
      <c r="T5" s="58" t="n"/>
      <c r="U5" s="58">
        <f>IFERROR(SUMIF(Milton!$A:$A, B5, Milton!$F:$F), 0)</f>
        <v/>
      </c>
      <c r="V5" s="58" t="n"/>
      <c r="W5" s="11" t="inlineStr">
        <is>
          <t>-</t>
        </is>
      </c>
      <c r="X5" s="9" t="n"/>
      <c r="Y5" s="9" t="inlineStr">
        <is>
          <t>-</t>
        </is>
      </c>
      <c r="Z5" s="12" t="n"/>
      <c r="AA5" s="12" t="n"/>
      <c r="AB5" s="13" t="n"/>
    </row>
    <row r="6">
      <c r="A6" s="55" t="n"/>
      <c r="B6" s="14" t="inlineStr">
        <is>
          <t>Personal Pizza Lunch Deal - OO</t>
        </is>
      </c>
      <c r="C6" s="9">
        <f>IFERROR(SUMIF('Markham Rd'!$A:$A, B6, 'Markham Rd'!$F:$F), 0)</f>
        <v/>
      </c>
      <c r="D6" s="10" t="n"/>
      <c r="E6" s="9">
        <f>IFERROR(SUMIF(Ajax!$A:$A, B6, Ajax!$F:$F), 0)</f>
        <v/>
      </c>
      <c r="F6" s="10" t="n"/>
      <c r="G6" s="9">
        <f>IFERROR(SUMIF(Lebovic!$A:$A, B6, Lebovic!$F:$F), 0)</f>
        <v/>
      </c>
      <c r="H6" s="10" t="n"/>
      <c r="I6" s="9">
        <f>IFERROR(SUMIF(Wonderland!$A:$A, B6, Wonderland!$F:$F), 0)</f>
        <v/>
      </c>
      <c r="J6" s="10" t="n"/>
      <c r="K6" s="9">
        <f>IFERROR(SUMIF('Pizza Karachi Downtown TO'!$A:$A, B6, 'Pizza Karachi Downtown TO'!$F:$F), 0)</f>
        <v/>
      </c>
      <c r="L6" s="10" t="n"/>
      <c r="M6" s="9">
        <f>IFERROR(SUMIF('Highway Karahi'!$A:$A, B6, 'Highway Karahi'!$F:$F), 0)</f>
        <v/>
      </c>
      <c r="N6" s="10" t="n"/>
      <c r="O6" s="9">
        <f>IFERROR(SUMIF(Heartland!$A:$A, B6, Heartland!$F:$F), 0)</f>
        <v/>
      </c>
      <c r="P6" s="10" t="n"/>
      <c r="Q6" s="9">
        <f>IFERROR(SUMIF(Eglinton!$A:$A, B6, Eglinton!$F:$F), 0)</f>
        <v/>
      </c>
      <c r="R6" s="10" t="n"/>
      <c r="S6" s="58">
        <f>IFERROR(SUMIF(Oshawa!$A:$A, B6, Oshawa!$F:$F), 0)</f>
        <v/>
      </c>
      <c r="T6" s="58" t="n"/>
      <c r="U6" s="58">
        <f>IFERROR(SUMIF(Milton!$A:$A, B6, Milton!$F:$F), 0)</f>
        <v/>
      </c>
      <c r="V6" s="58" t="n"/>
      <c r="W6" s="11" t="inlineStr">
        <is>
          <t>-</t>
        </is>
      </c>
      <c r="X6" s="9" t="n"/>
      <c r="Y6" s="9" t="inlineStr">
        <is>
          <t>-</t>
        </is>
      </c>
      <c r="Z6" s="12" t="n"/>
      <c r="AA6" s="12" t="n"/>
      <c r="AB6" s="13" t="n"/>
    </row>
    <row r="7">
      <c r="A7" s="55" t="n"/>
      <c r="B7" s="36" t="inlineStr">
        <is>
          <t>Wings Lunch Deal - OO</t>
        </is>
      </c>
      <c r="C7" s="15">
        <f>IFERROR(SUMIF('Markham Rd'!$A:$A, B7, 'Markham Rd'!$F:$F), 0)</f>
        <v/>
      </c>
      <c r="D7" s="31" t="n"/>
      <c r="E7" s="15">
        <f>IFERROR(SUMIF(Ajax!$A:$A, B7, Ajax!$F:$F), 0)</f>
        <v/>
      </c>
      <c r="F7" s="31" t="n"/>
      <c r="G7" s="15">
        <f>IFERROR(SUMIF(Lebovic!$A:$A, B7, Lebovic!$F:$F), 0)</f>
        <v/>
      </c>
      <c r="H7" s="31" t="n"/>
      <c r="I7" s="15">
        <f>IFERROR(SUMIF(Wonderland!$A:$A, B7, Wonderland!$F:$F), 0)</f>
        <v/>
      </c>
      <c r="J7" s="31" t="n"/>
      <c r="K7" s="15">
        <f>IFERROR(SUMIF('Pizza Karachi Downtown TO'!$A:$A, B7, 'Pizza Karachi Downtown TO'!$F:$F), 0)</f>
        <v/>
      </c>
      <c r="L7" s="31" t="n"/>
      <c r="M7" s="15">
        <f>IFERROR(SUMIF('Highway Karahi'!$A:$A, B7, 'Highway Karahi'!$F:$F), 0)</f>
        <v/>
      </c>
      <c r="N7" s="31" t="n"/>
      <c r="O7" s="9">
        <f>IFERROR(SUMIF(Heartland!$A:$A, B7, Heartland!$F:$F), 0)</f>
        <v/>
      </c>
      <c r="P7" s="10" t="n"/>
      <c r="Q7" s="9">
        <f>IFERROR(SUMIF(Eglinton!$A:$A, B7, Eglinton!$F:$F), 0)</f>
        <v/>
      </c>
      <c r="R7" s="10" t="n"/>
      <c r="S7" s="59">
        <f>IFERROR(SUMIF(Oshawa!$A:$A, B7, Oshawa!$F:$F), 0)</f>
        <v/>
      </c>
      <c r="T7" s="59" t="n"/>
      <c r="U7" s="59">
        <f>IFERROR(SUMIF(Milton!$A:$A, B7, Milton!$F:$F), 0)</f>
        <v/>
      </c>
      <c r="V7" s="59" t="n"/>
      <c r="W7" s="11" t="inlineStr">
        <is>
          <t>-</t>
        </is>
      </c>
      <c r="X7" s="9" t="n"/>
      <c r="Y7" s="9" t="inlineStr">
        <is>
          <t>-</t>
        </is>
      </c>
      <c r="Z7" s="12" t="n"/>
      <c r="AA7" s="12" t="n"/>
      <c r="AB7" s="13" t="n"/>
    </row>
    <row r="8">
      <c r="A8" s="55" t="n"/>
      <c r="B8" s="36" t="inlineStr">
        <is>
          <t>Wings Lunch Deal</t>
        </is>
      </c>
      <c r="C8" s="15">
        <f>IFERROR(SUMIF('Markham Rd'!$A:$A, B8, 'Markham Rd'!$F:$F), 0)</f>
        <v/>
      </c>
      <c r="D8" s="31" t="n"/>
      <c r="E8" s="15">
        <f>IFERROR(SUMIF(Ajax!$A:$A, B8, Ajax!$F:$F), 0)</f>
        <v/>
      </c>
      <c r="F8" s="31" t="n"/>
      <c r="G8" s="15">
        <f>IFERROR(SUMIF(Lebovic!$A:$A, B8, Lebovic!$F:$F), 0)</f>
        <v/>
      </c>
      <c r="H8" s="31" t="n"/>
      <c r="I8" s="15">
        <f>IFERROR(SUMIF(Wonderland!$A:$A, B8, Wonderland!$F:$F), 0)</f>
        <v/>
      </c>
      <c r="J8" s="31" t="n"/>
      <c r="K8" s="15">
        <f>IFERROR(SUMIF('Pizza Karachi Downtown TO'!$A:$A, B8, 'Pizza Karachi Downtown TO'!$F:$F), 0)</f>
        <v/>
      </c>
      <c r="L8" s="31" t="n"/>
      <c r="M8" s="15">
        <f>IFERROR(SUMIF('Highway Karahi'!$A:$A, B8, 'Highway Karahi'!$F:$F), 0)</f>
        <v/>
      </c>
      <c r="N8" s="31" t="n"/>
      <c r="O8" s="9">
        <f>IFERROR(SUMIF(Heartland!$A:$A, B8, Heartland!$F:$F), 0)</f>
        <v/>
      </c>
      <c r="P8" s="10" t="n"/>
      <c r="Q8" s="9">
        <f>IFERROR(SUMIF(Eglinton!$A:$A, B8, Eglinton!$F:$F), 0)</f>
        <v/>
      </c>
      <c r="R8" s="10" t="n"/>
      <c r="S8" s="59">
        <f>IFERROR(SUMIF(Oshawa!$A:$A, B8, Oshawa!$F:$F), 0)</f>
        <v/>
      </c>
      <c r="T8" s="59" t="n"/>
      <c r="U8" s="59">
        <f>IFERROR(SUMIF(Milton!$A:$A, B8, Milton!$F:$F), 0)</f>
        <v/>
      </c>
      <c r="V8" s="59" t="n"/>
      <c r="W8" s="11" t="inlineStr">
        <is>
          <t>-</t>
        </is>
      </c>
      <c r="X8" s="9" t="n"/>
      <c r="Y8" s="9" t="inlineStr">
        <is>
          <t>-</t>
        </is>
      </c>
      <c r="Z8" s="12" t="n"/>
      <c r="AA8" s="12" t="n"/>
      <c r="AB8" s="13" t="n"/>
    </row>
    <row r="9">
      <c r="A9" s="55" t="n"/>
      <c r="B9" s="36" t="inlineStr">
        <is>
          <t>Late Night Deal (2 Med $34.99)</t>
        </is>
      </c>
      <c r="C9" s="15">
        <f>IFERROR(SUMIF('Markham Rd'!$A:$A, B9, 'Markham Rd'!$F:$F), 0)</f>
        <v/>
      </c>
      <c r="D9" s="31" t="n"/>
      <c r="E9" s="15">
        <f>IFERROR(SUMIF(Ajax!$A:$A, B9, Ajax!$F:$F), 0)</f>
        <v/>
      </c>
      <c r="F9" s="31" t="n"/>
      <c r="G9" s="15">
        <f>IFERROR(SUMIF(Lebovic!$A:$A, B9, Lebovic!$F:$F), 0)</f>
        <v/>
      </c>
      <c r="H9" s="31" t="n"/>
      <c r="I9" s="15">
        <f>IFERROR(SUMIF(Wonderland!$A:$A, B9, Wonderland!$F:$F), 0)</f>
        <v/>
      </c>
      <c r="J9" s="31" t="n"/>
      <c r="K9" s="15">
        <f>IFERROR(SUMIF('Pizza Karachi Downtown TO'!$A:$A, B9, 'Pizza Karachi Downtown TO'!$F:$F), 0)</f>
        <v/>
      </c>
      <c r="L9" s="31" t="n"/>
      <c r="M9" s="15">
        <f>IFERROR(SUMIF('Highway Karahi'!$A:$A, B9, 'Highway Karahi'!$F:$F), 0)</f>
        <v/>
      </c>
      <c r="N9" s="31" t="n"/>
      <c r="O9" s="9">
        <f>IFERROR(SUMIF(Heartland!$A:$A, B9, Heartland!$F:$F), 0)</f>
        <v/>
      </c>
      <c r="P9" s="10" t="n"/>
      <c r="Q9" s="9">
        <f>IFERROR(SUMIF(Eglinton!$A:$A, B9, Eglinton!$F:$F), 0)</f>
        <v/>
      </c>
      <c r="R9" s="10" t="n"/>
      <c r="S9" s="59">
        <f>IFERROR(SUMIF(Oshawa!$A:$A, B9, Oshawa!$F:$F), 0)</f>
        <v/>
      </c>
      <c r="T9" s="59" t="n"/>
      <c r="U9" s="59">
        <f>IFERROR(SUMIF(Milton!$A:$A, B9, Milton!$F:$F), 0)</f>
        <v/>
      </c>
      <c r="V9" s="59" t="n"/>
      <c r="W9" s="11" t="n"/>
      <c r="X9" s="9" t="n"/>
      <c r="Y9" s="9" t="n"/>
      <c r="Z9" s="12" t="n"/>
      <c r="AA9" s="12" t="n"/>
      <c r="AB9" s="13" t="n"/>
    </row>
    <row r="10">
      <c r="A10" s="55" t="n"/>
      <c r="B10" s="25" t="inlineStr">
        <is>
          <t>Late Night Deal (2 Large $44.99)</t>
        </is>
      </c>
      <c r="C10" s="15">
        <f>IFERROR(SUMIF('Markham Rd'!$A:$A, B10, 'Markham Rd'!$F:$F), 0)</f>
        <v/>
      </c>
      <c r="D10" s="31" t="n"/>
      <c r="E10" s="15">
        <f>IFERROR(SUMIF(Ajax!$A:$A, B10, Ajax!$F:$F), 0)</f>
        <v/>
      </c>
      <c r="F10" s="31" t="n"/>
      <c r="G10" s="15">
        <f>IFERROR(SUMIF(Lebovic!$A:$A, B10, Lebovic!$F:$F), 0)</f>
        <v/>
      </c>
      <c r="H10" s="31" t="n"/>
      <c r="I10" s="15">
        <f>IFERROR(SUMIF(Wonderland!$A:$A, B10, Wonderland!$F:$F), 0)</f>
        <v/>
      </c>
      <c r="J10" s="31" t="n"/>
      <c r="K10" s="15">
        <f>IFERROR(SUMIF('Pizza Karachi Downtown TO'!$A:$A, B10, 'Pizza Karachi Downtown TO'!$F:$F), 0)</f>
        <v/>
      </c>
      <c r="L10" s="31" t="n"/>
      <c r="M10" s="15">
        <f>IFERROR(SUMIF('Highway Karahi'!$A:$A, B10, 'Highway Karahi'!$F:$F), 0)</f>
        <v/>
      </c>
      <c r="N10" s="31" t="n"/>
      <c r="O10" s="9">
        <f>IFERROR(SUMIF(Heartland!$A:$A, B10, Heartland!$F:$F), 0)</f>
        <v/>
      </c>
      <c r="P10" s="10" t="n"/>
      <c r="Q10" s="9">
        <f>IFERROR(SUMIF(Eglinton!$A:$A, B10, Eglinton!$F:$F), 0)</f>
        <v/>
      </c>
      <c r="R10" s="10" t="n"/>
      <c r="S10" s="59">
        <f>IFERROR(SUMIF(Oshawa!$A:$A, B10, Oshawa!$F:$F), 0)</f>
        <v/>
      </c>
      <c r="T10" s="59" t="n"/>
      <c r="U10" s="59">
        <f>IFERROR(SUMIF(Milton!$A:$A, B10, Milton!$F:$F), 0)</f>
        <v/>
      </c>
      <c r="V10" s="59" t="n"/>
      <c r="W10" s="11" t="n"/>
      <c r="X10" s="9" t="n"/>
      <c r="Y10" s="9" t="n"/>
      <c r="Z10" s="12" t="n"/>
      <c r="AA10" s="12" t="n"/>
      <c r="AB10" s="13" t="n"/>
    </row>
    <row r="11">
      <c r="A11" s="55" t="n"/>
      <c r="B11" s="32" t="inlineStr">
        <is>
          <t>Sidekick Combo - 12</t>
        </is>
      </c>
      <c r="C11" s="15">
        <f>IFERROR(SUMIF('Markham Rd'!$A:$A, B11, 'Markham Rd'!$F:$F), 0)</f>
        <v/>
      </c>
      <c r="D11" s="31" t="n"/>
      <c r="E11" s="15">
        <f>IFERROR(SUMIF(Ajax!$A:$A, B11, Ajax!$F:$F), 0)</f>
        <v/>
      </c>
      <c r="F11" s="31" t="n"/>
      <c r="G11" s="15">
        <f>IFERROR(SUMIF(Lebovic!$A:$A, B11, Lebovic!$F:$F), 0)</f>
        <v/>
      </c>
      <c r="H11" s="31" t="n"/>
      <c r="I11" s="15">
        <f>IFERROR(SUMIF(Wonderland!$A:$A, B11, Wonderland!$F:$F), 0)</f>
        <v/>
      </c>
      <c r="J11" s="31" t="n"/>
      <c r="K11" s="15">
        <f>IFERROR(SUMIF('Pizza Karachi Downtown TO'!$A:$A, B11, 'Pizza Karachi Downtown TO'!$F:$F), 0)</f>
        <v/>
      </c>
      <c r="L11" s="31" t="n"/>
      <c r="M11" s="15">
        <f>IFERROR(SUMIF('Highway Karahi'!$A:$A, B11, 'Highway Karahi'!$F:$F), 0)</f>
        <v/>
      </c>
      <c r="N11" s="31" t="n"/>
      <c r="O11" s="9">
        <f>IFERROR(SUMIF(Heartland!$A:$A, B11, Heartland!$F:$F), 0)</f>
        <v/>
      </c>
      <c r="P11" s="10" t="n"/>
      <c r="Q11" s="9">
        <f>IFERROR(SUMIF(Eglinton!$A:$A, B11, Eglinton!$F:$F), 0)</f>
        <v/>
      </c>
      <c r="R11" s="10" t="n"/>
      <c r="S11" s="59">
        <f>IFERROR(SUMIF(Oshawa!$A:$A, B11, Oshawa!$F:$F), 0)</f>
        <v/>
      </c>
      <c r="T11" s="59" t="n"/>
      <c r="U11" s="59">
        <f>IFERROR(SUMIF(Milton!$A:$A, B11, Milton!$F:$F), 0)</f>
        <v/>
      </c>
      <c r="V11" s="59" t="n"/>
      <c r="W11" s="11" t="n"/>
      <c r="X11" s="9" t="n"/>
      <c r="Y11" s="9" t="n"/>
      <c r="Z11" s="12" t="n"/>
      <c r="AA11" s="12" t="n"/>
      <c r="AB11" s="13" t="n"/>
    </row>
    <row r="12">
      <c r="A12" s="55" t="n"/>
      <c r="B12" s="32" t="inlineStr">
        <is>
          <t>Sidekick Combo - 12 - OO</t>
        </is>
      </c>
      <c r="C12" s="15">
        <f>IFERROR(SUMIF('Markham Rd'!$A:$A, B12, 'Markham Rd'!$F:$F), 0)</f>
        <v/>
      </c>
      <c r="D12" s="31" t="n"/>
      <c r="E12" s="15">
        <f>IFERROR(SUMIF(Ajax!$A:$A, B12, Ajax!$F:$F), 0)</f>
        <v/>
      </c>
      <c r="F12" s="31" t="n"/>
      <c r="G12" s="15">
        <f>IFERROR(SUMIF(Lebovic!$A:$A, B12, Lebovic!$F:$F), 0)</f>
        <v/>
      </c>
      <c r="H12" s="31" t="n"/>
      <c r="I12" s="15">
        <f>IFERROR(SUMIF(Wonderland!$A:$A, B12, Wonderland!$F:$F), 0)</f>
        <v/>
      </c>
      <c r="J12" s="31" t="n"/>
      <c r="K12" s="15">
        <f>IFERROR(SUMIF('Pizza Karachi Downtown TO'!$A:$A, B12, 'Pizza Karachi Downtown TO'!$F:$F), 0)</f>
        <v/>
      </c>
      <c r="L12" s="31" t="n"/>
      <c r="M12" s="15">
        <f>IFERROR(SUMIF('Highway Karahi'!$A:$A, B12, 'Highway Karahi'!$F:$F), 0)</f>
        <v/>
      </c>
      <c r="N12" s="31" t="n"/>
      <c r="O12" s="9">
        <f>IFERROR(SUMIF(Heartland!$A:$A, B12, Heartland!$F:$F), 0)</f>
        <v/>
      </c>
      <c r="P12" s="10" t="n"/>
      <c r="Q12" s="9">
        <f>IFERROR(SUMIF(Eglinton!$A:$A, B12, Eglinton!$F:$F), 0)</f>
        <v/>
      </c>
      <c r="R12" s="10" t="n"/>
      <c r="S12" s="59">
        <f>IFERROR(SUMIF(Oshawa!$A:$A, B12, Oshawa!$F:$F), 0)</f>
        <v/>
      </c>
      <c r="T12" s="59" t="n"/>
      <c r="U12" s="59">
        <f>IFERROR(SUMIF(Milton!$A:$A, B12, Milton!$F:$F), 0)</f>
        <v/>
      </c>
      <c r="V12" s="59" t="n"/>
      <c r="W12" s="11" t="n"/>
      <c r="X12" s="9" t="n"/>
      <c r="Y12" s="9" t="n"/>
      <c r="Z12" s="12" t="n"/>
      <c r="AA12" s="12" t="n"/>
      <c r="AB12" s="13" t="n"/>
    </row>
    <row r="13">
      <c r="A13" s="55" t="n"/>
      <c r="B13" s="32" t="inlineStr">
        <is>
          <t>Sidekick Combo - 14</t>
        </is>
      </c>
      <c r="C13" s="15">
        <f>IFERROR(SUMIF('Markham Rd'!$A:$A, B13, 'Markham Rd'!$F:$F), 0)</f>
        <v/>
      </c>
      <c r="D13" s="31" t="n"/>
      <c r="E13" s="15">
        <f>IFERROR(SUMIF(Ajax!$A:$A, B13, Ajax!$F:$F), 0)</f>
        <v/>
      </c>
      <c r="F13" s="31" t="n"/>
      <c r="G13" s="15">
        <f>IFERROR(SUMIF(Lebovic!$A:$A, B13, Lebovic!$F:$F), 0)</f>
        <v/>
      </c>
      <c r="H13" s="31" t="n"/>
      <c r="I13" s="15">
        <f>IFERROR(SUMIF(Wonderland!$A:$A, B13, Wonderland!$F:$F), 0)</f>
        <v/>
      </c>
      <c r="J13" s="31" t="n"/>
      <c r="K13" s="15">
        <f>IFERROR(SUMIF('Pizza Karachi Downtown TO'!$A:$A, B13, 'Pizza Karachi Downtown TO'!$F:$F), 0)</f>
        <v/>
      </c>
      <c r="L13" s="31" t="n"/>
      <c r="M13" s="15">
        <f>IFERROR(SUMIF('Highway Karahi'!$A:$A, B13, 'Highway Karahi'!$F:$F), 0)</f>
        <v/>
      </c>
      <c r="N13" s="31" t="n"/>
      <c r="O13" s="9">
        <f>IFERROR(SUMIF(Heartland!$A:$A, B13, Heartland!$F:$F), 0)</f>
        <v/>
      </c>
      <c r="P13" s="10" t="n"/>
      <c r="Q13" s="9">
        <f>IFERROR(SUMIF(Eglinton!$A:$A, B13, Eglinton!$F:$F), 0)</f>
        <v/>
      </c>
      <c r="R13" s="10" t="n"/>
      <c r="S13" s="59">
        <f>IFERROR(SUMIF(Oshawa!$A:$A, B13, Oshawa!$F:$F), 0)</f>
        <v/>
      </c>
      <c r="T13" s="59" t="n"/>
      <c r="U13" s="59">
        <f>IFERROR(SUMIF(Milton!$A:$A, B13, Milton!$F:$F), 0)</f>
        <v/>
      </c>
      <c r="V13" s="59" t="n"/>
      <c r="W13" s="11" t="n"/>
      <c r="X13" s="9" t="n"/>
      <c r="Y13" s="9" t="n"/>
      <c r="Z13" s="12" t="n"/>
      <c r="AA13" s="12" t="n"/>
      <c r="AB13" s="13" t="n"/>
    </row>
    <row r="14">
      <c r="A14" s="55" t="n"/>
      <c r="B14" s="32" t="inlineStr">
        <is>
          <t>Sidekick Combo - 14 - OO</t>
        </is>
      </c>
      <c r="C14" s="15">
        <f>IFERROR(SUMIF('Markham Rd'!$A:$A, B14, 'Markham Rd'!$F:$F), 0)</f>
        <v/>
      </c>
      <c r="D14" s="31" t="n"/>
      <c r="E14" s="15">
        <f>IFERROR(SUMIF(Ajax!$A:$A, B14, Ajax!$F:$F), 0)</f>
        <v/>
      </c>
      <c r="F14" s="31" t="n"/>
      <c r="G14" s="15">
        <f>IFERROR(SUMIF(Lebovic!$A:$A, B14, Lebovic!$F:$F), 0)</f>
        <v/>
      </c>
      <c r="H14" s="31" t="n"/>
      <c r="I14" s="15">
        <f>IFERROR(SUMIF(Wonderland!$A:$A, B14, Wonderland!$F:$F), 0)</f>
        <v/>
      </c>
      <c r="J14" s="31" t="n"/>
      <c r="K14" s="15">
        <f>IFERROR(SUMIF('Pizza Karachi Downtown TO'!$A:$A, B14, 'Pizza Karachi Downtown TO'!$F:$F), 0)</f>
        <v/>
      </c>
      <c r="L14" s="31" t="n"/>
      <c r="M14" s="15">
        <f>IFERROR(SUMIF('Highway Karahi'!$A:$A, B14, 'Highway Karahi'!$F:$F), 0)</f>
        <v/>
      </c>
      <c r="N14" s="31" t="n"/>
      <c r="O14" s="9">
        <f>IFERROR(SUMIF(Heartland!$A:$A, B14, Heartland!$F:$F), 0)</f>
        <v/>
      </c>
      <c r="P14" s="10" t="n"/>
      <c r="Q14" s="9">
        <f>IFERROR(SUMIF(Eglinton!$A:$A, B14, Eglinton!$F:$F), 0)</f>
        <v/>
      </c>
      <c r="R14" s="10" t="n"/>
      <c r="S14" s="59">
        <f>IFERROR(SUMIF(Oshawa!$A:$A, B14, Oshawa!$F:$F), 0)</f>
        <v/>
      </c>
      <c r="T14" s="59" t="n"/>
      <c r="U14" s="59">
        <f>IFERROR(SUMIF(Milton!$A:$A, B14, Milton!$F:$F), 0)</f>
        <v/>
      </c>
      <c r="V14" s="59" t="n"/>
      <c r="W14" s="11" t="n"/>
      <c r="X14" s="9" t="n"/>
      <c r="Y14" s="9" t="n"/>
      <c r="Z14" s="12" t="n"/>
      <c r="AA14" s="12" t="n"/>
      <c r="AB14" s="13" t="n"/>
    </row>
    <row r="15">
      <c r="A15" s="55" t="n"/>
      <c r="B15" s="32" t="inlineStr">
        <is>
          <t>Wingman Combo - 12</t>
        </is>
      </c>
      <c r="C15" s="15">
        <f>IFERROR(SUMIF('Markham Rd'!$A:$A, B15, 'Markham Rd'!$F:$F), 0)</f>
        <v/>
      </c>
      <c r="D15" s="31" t="n"/>
      <c r="E15" s="15">
        <f>IFERROR(SUMIF(Ajax!$A:$A, B15, Ajax!$F:$F), 0)</f>
        <v/>
      </c>
      <c r="F15" s="31" t="n"/>
      <c r="G15" s="15">
        <f>IFERROR(SUMIF(Lebovic!$A:$A, B15, Lebovic!$F:$F), 0)</f>
        <v/>
      </c>
      <c r="H15" s="31" t="n"/>
      <c r="I15" s="15">
        <f>IFERROR(SUMIF(Wonderland!$A:$A, B15, Wonderland!$F:$F), 0)</f>
        <v/>
      </c>
      <c r="J15" s="31" t="n"/>
      <c r="K15" s="15">
        <f>IFERROR(SUMIF('Pizza Karachi Downtown TO'!$A:$A, B15, 'Pizza Karachi Downtown TO'!$F:$F), 0)</f>
        <v/>
      </c>
      <c r="L15" s="31" t="n"/>
      <c r="M15" s="15">
        <f>IFERROR(SUMIF('Highway Karahi'!$A:$A, B15, 'Highway Karahi'!$F:$F), 0)</f>
        <v/>
      </c>
      <c r="N15" s="31" t="n"/>
      <c r="O15" s="9">
        <f>IFERROR(SUMIF(Heartland!$A:$A, B15, Heartland!$F:$F), 0)</f>
        <v/>
      </c>
      <c r="P15" s="10" t="n"/>
      <c r="Q15" s="9">
        <f>IFERROR(SUMIF(Eglinton!$A:$A, B15, Eglinton!$F:$F), 0)</f>
        <v/>
      </c>
      <c r="R15" s="10" t="n"/>
      <c r="S15" s="59">
        <f>IFERROR(SUMIF(Oshawa!$A:$A, B15, Oshawa!$F:$F), 0)</f>
        <v/>
      </c>
      <c r="T15" s="59" t="n"/>
      <c r="U15" s="59">
        <f>IFERROR(SUMIF(Milton!$A:$A, B15, Milton!$F:$F), 0)</f>
        <v/>
      </c>
      <c r="V15" s="59" t="n"/>
      <c r="W15" s="11" t="n"/>
      <c r="X15" s="9" t="n"/>
      <c r="Y15" s="9" t="n"/>
      <c r="Z15" s="12" t="n"/>
      <c r="AA15" s="12" t="n"/>
      <c r="AB15" s="13" t="n"/>
    </row>
    <row r="16">
      <c r="A16" s="55" t="n"/>
      <c r="B16" s="32" t="inlineStr">
        <is>
          <t>Wingman Combo - 12 - OO</t>
        </is>
      </c>
      <c r="C16" s="15">
        <f>IFERROR(SUMIF('Markham Rd'!$A:$A, B16, 'Markham Rd'!$F:$F), 0)</f>
        <v/>
      </c>
      <c r="D16" s="31" t="n"/>
      <c r="E16" s="15">
        <f>IFERROR(SUMIF(Ajax!$A:$A, B16, Ajax!$F:$F), 0)</f>
        <v/>
      </c>
      <c r="F16" s="31" t="n"/>
      <c r="G16" s="15">
        <f>IFERROR(SUMIF(Lebovic!$A:$A, B16, Lebovic!$F:$F), 0)</f>
        <v/>
      </c>
      <c r="H16" s="31" t="n"/>
      <c r="I16" s="15">
        <f>IFERROR(SUMIF(Wonderland!$A:$A, B16, Wonderland!$F:$F), 0)</f>
        <v/>
      </c>
      <c r="J16" s="31" t="n"/>
      <c r="K16" s="15">
        <f>IFERROR(SUMIF('Pizza Karachi Downtown TO'!$A:$A, B16, 'Pizza Karachi Downtown TO'!$F:$F), 0)</f>
        <v/>
      </c>
      <c r="L16" s="31" t="n"/>
      <c r="M16" s="15">
        <f>IFERROR(SUMIF('Highway Karahi'!$A:$A, B16, 'Highway Karahi'!$F:$F), 0)</f>
        <v/>
      </c>
      <c r="N16" s="31" t="n"/>
      <c r="O16" s="9">
        <f>IFERROR(SUMIF(Heartland!$A:$A, B16, Heartland!$F:$F), 0)</f>
        <v/>
      </c>
      <c r="P16" s="10" t="n"/>
      <c r="Q16" s="9">
        <f>IFERROR(SUMIF(Eglinton!$A:$A, B16, Eglinton!$F:$F), 0)</f>
        <v/>
      </c>
      <c r="R16" s="10" t="n"/>
      <c r="S16" s="59">
        <f>IFERROR(SUMIF(Oshawa!$A:$A, B16, Oshawa!$F:$F), 0)</f>
        <v/>
      </c>
      <c r="T16" s="59" t="n"/>
      <c r="U16" s="59">
        <f>IFERROR(SUMIF(Milton!$A:$A, B16, Milton!$F:$F), 0)</f>
        <v/>
      </c>
      <c r="V16" s="59" t="n"/>
      <c r="W16" s="11" t="n"/>
      <c r="X16" s="9" t="n"/>
      <c r="Y16" s="9" t="n"/>
      <c r="Z16" s="12" t="n"/>
      <c r="AA16" s="12" t="n"/>
      <c r="AB16" s="13" t="n"/>
    </row>
    <row r="17">
      <c r="A17" s="55" t="n"/>
      <c r="B17" s="32" t="inlineStr">
        <is>
          <t>Wingman Combo - 14</t>
        </is>
      </c>
      <c r="C17" s="15">
        <f>IFERROR(SUMIF('Markham Rd'!$A:$A, B17, 'Markham Rd'!$F:$F), 0)</f>
        <v/>
      </c>
      <c r="D17" s="31" t="n"/>
      <c r="E17" s="15">
        <f>IFERROR(SUMIF(Ajax!$A:$A, B17, Ajax!$F:$F), 0)</f>
        <v/>
      </c>
      <c r="F17" s="31" t="n"/>
      <c r="G17" s="15">
        <f>IFERROR(SUMIF(Lebovic!$A:$A, B17, Lebovic!$F:$F), 0)</f>
        <v/>
      </c>
      <c r="H17" s="31" t="n"/>
      <c r="I17" s="15">
        <f>IFERROR(SUMIF(Wonderland!$A:$A, B17, Wonderland!$F:$F), 0)</f>
        <v/>
      </c>
      <c r="J17" s="31" t="n"/>
      <c r="K17" s="15">
        <f>IFERROR(SUMIF('Pizza Karachi Downtown TO'!$A:$A, B17, 'Pizza Karachi Downtown TO'!$F:$F), 0)</f>
        <v/>
      </c>
      <c r="L17" s="31" t="n"/>
      <c r="M17" s="15">
        <f>IFERROR(SUMIF('Highway Karahi'!$A:$A, B17, 'Highway Karahi'!$F:$F), 0)</f>
        <v/>
      </c>
      <c r="N17" s="31" t="n"/>
      <c r="O17" s="9">
        <f>IFERROR(SUMIF(Heartland!$A:$A, B17, Heartland!$F:$F), 0)</f>
        <v/>
      </c>
      <c r="P17" s="10" t="n"/>
      <c r="Q17" s="9">
        <f>IFERROR(SUMIF(Eglinton!$A:$A, B17, Eglinton!$F:$F), 0)</f>
        <v/>
      </c>
      <c r="R17" s="10" t="n"/>
      <c r="S17" s="59">
        <f>IFERROR(SUMIF(Oshawa!$A:$A, B17, Oshawa!$F:$F), 0)</f>
        <v/>
      </c>
      <c r="T17" s="59" t="n"/>
      <c r="U17" s="59">
        <f>IFERROR(SUMIF(Milton!$A:$A, B17, Milton!$F:$F), 0)</f>
        <v/>
      </c>
      <c r="V17" s="59" t="n"/>
      <c r="W17" s="11" t="n"/>
      <c r="X17" s="9" t="n"/>
      <c r="Y17" s="9" t="n"/>
      <c r="Z17" s="12" t="n"/>
      <c r="AA17" s="12" t="n"/>
      <c r="AB17" s="13" t="n"/>
    </row>
    <row r="18">
      <c r="A18" s="55" t="n"/>
      <c r="B18" s="32" t="inlineStr">
        <is>
          <t>Wingman Combo - 14 - OO</t>
        </is>
      </c>
      <c r="C18" s="15">
        <f>IFERROR(SUMIF('Markham Rd'!$A:$A, B18, 'Markham Rd'!$F:$F), 0)</f>
        <v/>
      </c>
      <c r="D18" s="31" t="n"/>
      <c r="E18" s="15">
        <f>IFERROR(SUMIF(Ajax!$A:$A, B18, Ajax!$F:$F), 0)</f>
        <v/>
      </c>
      <c r="F18" s="31" t="n"/>
      <c r="G18" s="15">
        <f>IFERROR(SUMIF(Lebovic!$A:$A, B18, Lebovic!$F:$F), 0)</f>
        <v/>
      </c>
      <c r="H18" s="31" t="n"/>
      <c r="I18" s="15">
        <f>IFERROR(SUMIF(Wonderland!$A:$A, B18, Wonderland!$F:$F), 0)</f>
        <v/>
      </c>
      <c r="J18" s="31" t="n"/>
      <c r="K18" s="15">
        <f>IFERROR(SUMIF('Pizza Karachi Downtown TO'!$A:$A, B18, 'Pizza Karachi Downtown TO'!$F:$F), 0)</f>
        <v/>
      </c>
      <c r="L18" s="31" t="n"/>
      <c r="M18" s="15">
        <f>IFERROR(SUMIF('Highway Karahi'!$A:$A, B18, 'Highway Karahi'!$F:$F), 0)</f>
        <v/>
      </c>
      <c r="N18" s="31" t="n"/>
      <c r="O18" s="9">
        <f>IFERROR(SUMIF(Heartland!$A:$A, B18, Heartland!$F:$F), 0)</f>
        <v/>
      </c>
      <c r="P18" s="10" t="n"/>
      <c r="Q18" s="9">
        <f>IFERROR(SUMIF(Eglinton!$A:$A, B18, Eglinton!$F:$F), 0)</f>
        <v/>
      </c>
      <c r="R18" s="10" t="n"/>
      <c r="S18" s="59">
        <f>IFERROR(SUMIF(Oshawa!$A:$A, B18, Oshawa!$F:$F), 0)</f>
        <v/>
      </c>
      <c r="T18" s="59" t="n"/>
      <c r="U18" s="59">
        <f>IFERROR(SUMIF(Milton!$A:$A, B18, Milton!$F:$F), 0)</f>
        <v/>
      </c>
      <c r="V18" s="59" t="n"/>
      <c r="W18" s="11" t="n"/>
      <c r="X18" s="9" t="n"/>
      <c r="Y18" s="9" t="n"/>
      <c r="Z18" s="12" t="n"/>
      <c r="AA18" s="12" t="n"/>
      <c r="AB18" s="13" t="n"/>
    </row>
    <row r="19">
      <c r="A19" s="55" t="n"/>
      <c r="B19" s="32" t="inlineStr">
        <is>
          <t>Family Feast 12</t>
        </is>
      </c>
      <c r="C19" s="15">
        <f>IFERROR(SUMIF('Markham Rd'!$A:$A, B19, 'Markham Rd'!$F:$F), 0)</f>
        <v/>
      </c>
      <c r="D19" s="31" t="n"/>
      <c r="E19" s="15">
        <f>IFERROR(SUMIF(Ajax!$A:$A, B19, Ajax!$F:$F), 0)</f>
        <v/>
      </c>
      <c r="F19" s="31" t="n"/>
      <c r="G19" s="15">
        <f>IFERROR(SUMIF(Lebovic!$A:$A, B19, Lebovic!$F:$F), 0)</f>
        <v/>
      </c>
      <c r="H19" s="31" t="n"/>
      <c r="I19" s="15">
        <f>IFERROR(SUMIF(Wonderland!$A:$A, B19, Wonderland!$F:$F), 0)</f>
        <v/>
      </c>
      <c r="J19" s="31" t="n"/>
      <c r="K19" s="15">
        <f>IFERROR(SUMIF('Pizza Karachi Downtown TO'!$A:$A, B19, 'Pizza Karachi Downtown TO'!$F:$F), 0)</f>
        <v/>
      </c>
      <c r="L19" s="31" t="n"/>
      <c r="M19" s="15">
        <f>IFERROR(SUMIF('Highway Karahi'!$A:$A, B19, 'Highway Karahi'!$F:$F), 0)</f>
        <v/>
      </c>
      <c r="N19" s="31" t="n"/>
      <c r="O19" s="9">
        <f>IFERROR(SUMIF(Heartland!$A:$A, B19, Heartland!$F:$F), 0)</f>
        <v/>
      </c>
      <c r="P19" s="10" t="n"/>
      <c r="Q19" s="9">
        <f>IFERROR(SUMIF(Eglinton!$A:$A, B19, Eglinton!$F:$F), 0)</f>
        <v/>
      </c>
      <c r="R19" s="10" t="n"/>
      <c r="S19" s="59">
        <f>IFERROR(SUMIF(Oshawa!$A:$A, B19, Oshawa!$F:$F), 0)</f>
        <v/>
      </c>
      <c r="T19" s="59" t="n"/>
      <c r="U19" s="59">
        <f>IFERROR(SUMIF(Milton!$A:$A, B19, Milton!$F:$F), 0)</f>
        <v/>
      </c>
      <c r="V19" s="59" t="n"/>
      <c r="W19" s="11" t="n"/>
      <c r="X19" s="9" t="n"/>
      <c r="Y19" s="9" t="n"/>
      <c r="Z19" s="12" t="n"/>
      <c r="AA19" s="12" t="n"/>
      <c r="AB19" s="13" t="n"/>
    </row>
    <row r="20">
      <c r="A20" s="55" t="n"/>
      <c r="B20" s="32" t="inlineStr">
        <is>
          <t>Family Feast - 12 - OO</t>
        </is>
      </c>
      <c r="C20" s="15">
        <f>IFERROR(SUMIF('Markham Rd'!$A:$A, B20, 'Markham Rd'!$F:$F), 0)</f>
        <v/>
      </c>
      <c r="D20" s="31" t="n"/>
      <c r="E20" s="15">
        <f>IFERROR(SUMIF(Ajax!$A:$A, B20, Ajax!$F:$F), 0)</f>
        <v/>
      </c>
      <c r="F20" s="31" t="n"/>
      <c r="G20" s="15">
        <f>IFERROR(SUMIF(Lebovic!$A:$A, B20, Lebovic!$F:$F), 0)</f>
        <v/>
      </c>
      <c r="H20" s="31" t="n"/>
      <c r="I20" s="15">
        <f>IFERROR(SUMIF(Wonderland!$A:$A, B20, Wonderland!$F:$F), 0)</f>
        <v/>
      </c>
      <c r="J20" s="31" t="n"/>
      <c r="K20" s="15">
        <f>IFERROR(SUMIF('Pizza Karachi Downtown TO'!$A:$A, B20, 'Pizza Karachi Downtown TO'!$F:$F), 0)</f>
        <v/>
      </c>
      <c r="L20" s="31" t="n"/>
      <c r="M20" s="15">
        <f>IFERROR(SUMIF('Highway Karahi'!$A:$A, B20, 'Highway Karahi'!$F:$F), 0)</f>
        <v/>
      </c>
      <c r="N20" s="31" t="n"/>
      <c r="O20" s="9">
        <f>IFERROR(SUMIF(Heartland!$A:$A, B20, Heartland!$F:$F), 0)</f>
        <v/>
      </c>
      <c r="P20" s="10" t="n"/>
      <c r="Q20" s="9">
        <f>IFERROR(SUMIF(Eglinton!$A:$A, B20, Eglinton!$F:$F), 0)</f>
        <v/>
      </c>
      <c r="R20" s="10" t="n"/>
      <c r="S20" s="59">
        <f>IFERROR(SUMIF(Oshawa!$A:$A, B20, Oshawa!$F:$F), 0)</f>
        <v/>
      </c>
      <c r="T20" s="59" t="n"/>
      <c r="U20" s="59">
        <f>IFERROR(SUMIF(Milton!$A:$A, B20, Milton!$F:$F), 0)</f>
        <v/>
      </c>
      <c r="V20" s="59" t="n"/>
      <c r="W20" s="11" t="n"/>
      <c r="X20" s="9" t="n"/>
      <c r="Y20" s="9" t="n"/>
      <c r="Z20" s="12" t="n"/>
      <c r="AA20" s="12" t="n"/>
      <c r="AB20" s="13" t="n"/>
    </row>
    <row r="21">
      <c r="A21" s="55" t="n"/>
      <c r="B21" s="32" t="inlineStr">
        <is>
          <t>Family Feast - 14</t>
        </is>
      </c>
      <c r="C21" s="15">
        <f>IFERROR(SUMIF('Markham Rd'!$A:$A, B21, 'Markham Rd'!$F:$F), 0)</f>
        <v/>
      </c>
      <c r="D21" s="31" t="n"/>
      <c r="E21" s="15">
        <f>IFERROR(SUMIF(Ajax!$A:$A, B21, Ajax!$F:$F), 0)</f>
        <v/>
      </c>
      <c r="F21" s="31" t="n"/>
      <c r="G21" s="15">
        <f>IFERROR(SUMIF(Lebovic!$A:$A, B21, Lebovic!$F:$F), 0)</f>
        <v/>
      </c>
      <c r="H21" s="31" t="n"/>
      <c r="I21" s="15">
        <f>IFERROR(SUMIF(Wonderland!$A:$A, B21, Wonderland!$F:$F), 0)</f>
        <v/>
      </c>
      <c r="J21" s="31" t="n"/>
      <c r="K21" s="15">
        <f>IFERROR(SUMIF('Pizza Karachi Downtown TO'!$A:$A, B21, 'Pizza Karachi Downtown TO'!$F:$F), 0)</f>
        <v/>
      </c>
      <c r="L21" s="31" t="n"/>
      <c r="M21" s="15">
        <f>IFERROR(SUMIF('Highway Karahi'!$A:$A, B21, 'Highway Karahi'!$F:$F), 0)</f>
        <v/>
      </c>
      <c r="N21" s="31" t="n"/>
      <c r="O21" s="9">
        <f>IFERROR(SUMIF(Heartland!$A:$A, B21, Heartland!$F:$F), 0)</f>
        <v/>
      </c>
      <c r="P21" s="10" t="n"/>
      <c r="Q21" s="9">
        <f>IFERROR(SUMIF(Eglinton!$A:$A, B21, Eglinton!$F:$F), 0)</f>
        <v/>
      </c>
      <c r="R21" s="10" t="n"/>
      <c r="S21" s="59">
        <f>IFERROR(SUMIF(Oshawa!$A:$A, B21, Oshawa!$F:$F), 0)</f>
        <v/>
      </c>
      <c r="T21" s="59" t="n"/>
      <c r="U21" s="59">
        <f>IFERROR(SUMIF(Milton!$A:$A, B21, Milton!$F:$F), 0)</f>
        <v/>
      </c>
      <c r="V21" s="59" t="n"/>
      <c r="W21" s="11" t="n"/>
      <c r="X21" s="9" t="n"/>
      <c r="Y21" s="9" t="n"/>
      <c r="Z21" s="12" t="n"/>
      <c r="AA21" s="12" t="n"/>
      <c r="AB21" s="13" t="n"/>
    </row>
    <row r="22">
      <c r="A22" s="55" t="n"/>
      <c r="B22" s="32" t="inlineStr">
        <is>
          <t>Family Feast - 14 - OO</t>
        </is>
      </c>
      <c r="C22" s="15">
        <f>IFERROR(SUMIF('Markham Rd'!$A:$A, B22, 'Markham Rd'!$F:$F), 0)</f>
        <v/>
      </c>
      <c r="D22" s="31" t="n"/>
      <c r="E22" s="15">
        <f>IFERROR(SUMIF(Ajax!$A:$A, B22, Ajax!$F:$F), 0)</f>
        <v/>
      </c>
      <c r="F22" s="31" t="n"/>
      <c r="G22" s="15">
        <f>IFERROR(SUMIF(Lebovic!$A:$A, B22, Lebovic!$F:$F), 0)</f>
        <v/>
      </c>
      <c r="H22" s="31" t="n"/>
      <c r="I22" s="15">
        <f>IFERROR(SUMIF(Wonderland!$A:$A, B22, Wonderland!$F:$F), 0)</f>
        <v/>
      </c>
      <c r="J22" s="31" t="n"/>
      <c r="K22" s="15">
        <f>IFERROR(SUMIF('Pizza Karachi Downtown TO'!$A:$A, B22, 'Pizza Karachi Downtown TO'!$F:$F), 0)</f>
        <v/>
      </c>
      <c r="L22" s="31" t="n"/>
      <c r="M22" s="15">
        <f>IFERROR(SUMIF('Highway Karahi'!$A:$A, B22, 'Highway Karahi'!$F:$F), 0)</f>
        <v/>
      </c>
      <c r="N22" s="31" t="n"/>
      <c r="O22" s="9">
        <f>IFERROR(SUMIF(Heartland!$A:$A, B22, Heartland!$F:$F), 0)</f>
        <v/>
      </c>
      <c r="P22" s="10" t="n"/>
      <c r="Q22" s="9">
        <f>IFERROR(SUMIF(Eglinton!$A:$A, B22, Eglinton!$F:$F), 0)</f>
        <v/>
      </c>
      <c r="R22" s="10" t="n"/>
      <c r="S22" s="59">
        <f>IFERROR(SUMIF(Oshawa!$A:$A, B22, Oshawa!$F:$F), 0)</f>
        <v/>
      </c>
      <c r="T22" s="59" t="n"/>
      <c r="U22" s="59">
        <f>IFERROR(SUMIF(Milton!$A:$A, B22, Milton!$F:$F), 0)</f>
        <v/>
      </c>
      <c r="V22" s="59" t="n"/>
      <c r="W22" s="11" t="n"/>
      <c r="X22" s="9" t="n"/>
      <c r="Y22" s="9" t="n"/>
      <c r="Z22" s="12" t="n"/>
      <c r="AA22" s="12" t="n"/>
      <c r="AB22" s="13" t="n"/>
    </row>
    <row r="23">
      <c r="A23" s="55" t="n"/>
      <c r="B23" s="32" t="inlineStr">
        <is>
          <t>Grand Feast 12</t>
        </is>
      </c>
      <c r="C23" s="15">
        <f>IFERROR(SUMIF('Markham Rd'!$A:$A, B23, 'Markham Rd'!$F:$F), 0)</f>
        <v/>
      </c>
      <c r="D23" s="31" t="n"/>
      <c r="E23" s="15">
        <f>IFERROR(SUMIF(Ajax!$A:$A, B23, Ajax!$F:$F), 0)</f>
        <v/>
      </c>
      <c r="F23" s="31" t="n"/>
      <c r="G23" s="15">
        <f>IFERROR(SUMIF(Lebovic!$A:$A, B23, Lebovic!$F:$F), 0)</f>
        <v/>
      </c>
      <c r="H23" s="31" t="n"/>
      <c r="I23" s="15">
        <f>IFERROR(SUMIF(Wonderland!$A:$A, B23, Wonderland!$F:$F), 0)</f>
        <v/>
      </c>
      <c r="J23" s="31" t="n"/>
      <c r="K23" s="15">
        <f>IFERROR(SUMIF('Pizza Karachi Downtown TO'!$A:$A, B23, 'Pizza Karachi Downtown TO'!$F:$F), 0)</f>
        <v/>
      </c>
      <c r="L23" s="31" t="n"/>
      <c r="M23" s="15">
        <f>IFERROR(SUMIF('Highway Karahi'!$A:$A, B23, 'Highway Karahi'!$F:$F), 0)</f>
        <v/>
      </c>
      <c r="N23" s="31" t="n"/>
      <c r="O23" s="9">
        <f>IFERROR(SUMIF(Heartland!$A:$A, B23, Heartland!$F:$F), 0)</f>
        <v/>
      </c>
      <c r="P23" s="10" t="n"/>
      <c r="Q23" s="9">
        <f>IFERROR(SUMIF(Eglinton!$A:$A, B23, Eglinton!$F:$F), 0)</f>
        <v/>
      </c>
      <c r="R23" s="10" t="n"/>
      <c r="S23" s="59">
        <f>IFERROR(SUMIF(Oshawa!$A:$A, B23, Oshawa!$F:$F), 0)</f>
        <v/>
      </c>
      <c r="T23" s="59" t="n"/>
      <c r="U23" s="59">
        <f>IFERROR(SUMIF(Milton!$A:$A, B23, Milton!$F:$F), 0)</f>
        <v/>
      </c>
      <c r="V23" s="59" t="n"/>
      <c r="W23" s="11" t="n"/>
      <c r="X23" s="9" t="n"/>
      <c r="Y23" s="9" t="n"/>
      <c r="Z23" s="12" t="n"/>
      <c r="AA23" s="12" t="n"/>
      <c r="AB23" s="13" t="n"/>
    </row>
    <row r="24">
      <c r="A24" s="55" t="n"/>
      <c r="B24" s="32" t="inlineStr">
        <is>
          <t>Grand Feast - 12 - OO</t>
        </is>
      </c>
      <c r="C24" s="15">
        <f>IFERROR(SUMIF('Markham Rd'!$A:$A, B24, 'Markham Rd'!$F:$F), 0)</f>
        <v/>
      </c>
      <c r="D24" s="31" t="n"/>
      <c r="E24" s="15">
        <f>IFERROR(SUMIF(Ajax!$A:$A, B24, Ajax!$F:$F), 0)</f>
        <v/>
      </c>
      <c r="F24" s="31" t="n"/>
      <c r="G24" s="15">
        <f>IFERROR(SUMIF(Lebovic!$A:$A, B24, Lebovic!$F:$F), 0)</f>
        <v/>
      </c>
      <c r="H24" s="31" t="n"/>
      <c r="I24" s="15">
        <f>IFERROR(SUMIF(Wonderland!$A:$A, B24, Wonderland!$F:$F), 0)</f>
        <v/>
      </c>
      <c r="J24" s="31" t="n"/>
      <c r="K24" s="15">
        <f>IFERROR(SUMIF('Pizza Karachi Downtown TO'!$A:$A, B24, 'Pizza Karachi Downtown TO'!$F:$F), 0)</f>
        <v/>
      </c>
      <c r="L24" s="31" t="n"/>
      <c r="M24" s="15">
        <f>IFERROR(SUMIF('Highway Karahi'!$A:$A, B24, 'Highway Karahi'!$F:$F), 0)</f>
        <v/>
      </c>
      <c r="N24" s="31" t="n"/>
      <c r="O24" s="9">
        <f>IFERROR(SUMIF(Heartland!$A:$A, B24, Heartland!$F:$F), 0)</f>
        <v/>
      </c>
      <c r="P24" s="10" t="n"/>
      <c r="Q24" s="9">
        <f>IFERROR(SUMIF(Eglinton!$A:$A, B24, Eglinton!$F:$F), 0)</f>
        <v/>
      </c>
      <c r="R24" s="10" t="n"/>
      <c r="S24" s="59">
        <f>IFERROR(SUMIF(Oshawa!$A:$A, B24, Oshawa!$F:$F), 0)</f>
        <v/>
      </c>
      <c r="T24" s="59" t="n"/>
      <c r="U24" s="59">
        <f>IFERROR(SUMIF(Milton!$A:$A, B24, Milton!$F:$F), 0)</f>
        <v/>
      </c>
      <c r="V24" s="59" t="n"/>
      <c r="W24" s="11" t="n"/>
      <c r="X24" s="9" t="n"/>
      <c r="Y24" s="9" t="n"/>
      <c r="Z24" s="12" t="n"/>
      <c r="AA24" s="12" t="n"/>
      <c r="AB24" s="13" t="n"/>
    </row>
    <row r="25">
      <c r="A25" s="55" t="n"/>
      <c r="B25" s="32" t="inlineStr">
        <is>
          <t>Grand Feast - 14</t>
        </is>
      </c>
      <c r="C25" s="15">
        <f>IFERROR(SUMIF('Markham Rd'!$A:$A, B25, 'Markham Rd'!$F:$F), 0)</f>
        <v/>
      </c>
      <c r="D25" s="31" t="n"/>
      <c r="E25" s="15">
        <f>IFERROR(SUMIF(Ajax!$A:$A, B25, Ajax!$F:$F), 0)</f>
        <v/>
      </c>
      <c r="F25" s="31" t="n"/>
      <c r="G25" s="15">
        <f>IFERROR(SUMIF(Lebovic!$A:$A, B25, Lebovic!$F:$F), 0)</f>
        <v/>
      </c>
      <c r="H25" s="31" t="n"/>
      <c r="I25" s="15">
        <f>IFERROR(SUMIF(Wonderland!$A:$A, B25, Wonderland!$F:$F), 0)</f>
        <v/>
      </c>
      <c r="J25" s="31" t="n"/>
      <c r="K25" s="15">
        <f>IFERROR(SUMIF('Pizza Karachi Downtown TO'!$A:$A, B25, 'Pizza Karachi Downtown TO'!$F:$F), 0)</f>
        <v/>
      </c>
      <c r="L25" s="31" t="n"/>
      <c r="M25" s="15">
        <f>IFERROR(SUMIF('Highway Karahi'!$A:$A, B25, 'Highway Karahi'!$F:$F), 0)</f>
        <v/>
      </c>
      <c r="N25" s="31" t="n"/>
      <c r="O25" s="9">
        <f>IFERROR(SUMIF(Heartland!$A:$A, B25, Heartland!$F:$F), 0)</f>
        <v/>
      </c>
      <c r="P25" s="10" t="n"/>
      <c r="Q25" s="9">
        <f>IFERROR(SUMIF(Eglinton!$A:$A, B25, Eglinton!$F:$F), 0)</f>
        <v/>
      </c>
      <c r="R25" s="10" t="n"/>
      <c r="S25" s="59">
        <f>IFERROR(SUMIF(Oshawa!$A:$A, B25, Oshawa!$F:$F), 0)</f>
        <v/>
      </c>
      <c r="T25" s="59" t="n"/>
      <c r="U25" s="59">
        <f>IFERROR(SUMIF(Milton!$A:$A, B25, Milton!$F:$F), 0)</f>
        <v/>
      </c>
      <c r="V25" s="59" t="n"/>
      <c r="W25" s="11" t="n"/>
      <c r="X25" s="9" t="n"/>
      <c r="Y25" s="9" t="n"/>
      <c r="Z25" s="12" t="n"/>
      <c r="AA25" s="12" t="n"/>
      <c r="AB25" s="13" t="n"/>
    </row>
    <row r="26">
      <c r="A26" s="55" t="n"/>
      <c r="B26" s="32" t="inlineStr">
        <is>
          <t>Grand Feast - 14 - OO</t>
        </is>
      </c>
      <c r="C26" s="15">
        <f>IFERROR(SUMIF('Markham Rd'!$A:$A, B26, 'Markham Rd'!$F:$F), 0)</f>
        <v/>
      </c>
      <c r="D26" s="31" t="n"/>
      <c r="E26" s="15">
        <f>IFERROR(SUMIF(Ajax!$A:$A, B26, Ajax!$F:$F), 0)</f>
        <v/>
      </c>
      <c r="F26" s="31" t="n"/>
      <c r="G26" s="15">
        <f>IFERROR(SUMIF(Lebovic!$A:$A, B26, Lebovic!$F:$F), 0)</f>
        <v/>
      </c>
      <c r="H26" s="31" t="n"/>
      <c r="I26" s="15">
        <f>IFERROR(SUMIF(Wonderland!$A:$A, B26, Wonderland!$F:$F), 0)</f>
        <v/>
      </c>
      <c r="J26" s="31" t="n"/>
      <c r="K26" s="15">
        <f>IFERROR(SUMIF('Pizza Karachi Downtown TO'!$A:$A, B26, 'Pizza Karachi Downtown TO'!$F:$F), 0)</f>
        <v/>
      </c>
      <c r="L26" s="31" t="n"/>
      <c r="M26" s="15">
        <f>IFERROR(SUMIF('Highway Karahi'!$A:$A, B26, 'Highway Karahi'!$F:$F), 0)</f>
        <v/>
      </c>
      <c r="N26" s="31" t="n"/>
      <c r="O26" s="9">
        <f>IFERROR(SUMIF(Heartland!$A:$A, B26, Heartland!$F:$F), 0)</f>
        <v/>
      </c>
      <c r="P26" s="10" t="n"/>
      <c r="Q26" s="9">
        <f>IFERROR(SUMIF(Eglinton!$A:$A, B26, Eglinton!$F:$F), 0)</f>
        <v/>
      </c>
      <c r="R26" s="10" t="n"/>
      <c r="S26" s="59">
        <f>IFERROR(SUMIF(Oshawa!$A:$A, B26, Oshawa!$F:$F), 0)</f>
        <v/>
      </c>
      <c r="T26" s="59" t="n"/>
      <c r="U26" s="59">
        <f>IFERROR(SUMIF(Milton!$A:$A, B26, Milton!$F:$F), 0)</f>
        <v/>
      </c>
      <c r="V26" s="59" t="n"/>
      <c r="W26" s="11" t="n"/>
      <c r="X26" s="9" t="n"/>
      <c r="Y26" s="9" t="n"/>
      <c r="Z26" s="12" t="n"/>
      <c r="AA26" s="12" t="n"/>
      <c r="AB26" s="13" t="n"/>
    </row>
    <row r="27">
      <c r="A27" s="55" t="n"/>
      <c r="B27" s="32" t="inlineStr">
        <is>
          <t>Fifa Kickoff Special Sides</t>
        </is>
      </c>
      <c r="C27" s="15">
        <f>IFERROR(SUMIF('Markham Rd'!$A:$A, B27, 'Markham Rd'!$F:$F), 0)</f>
        <v/>
      </c>
      <c r="D27" s="31" t="n"/>
      <c r="E27" s="15">
        <f>IFERROR(SUMIF(Ajax!$A:$A, B27, Ajax!$F:$F), 0)</f>
        <v/>
      </c>
      <c r="F27" s="31" t="n"/>
      <c r="G27" s="15">
        <f>IFERROR(SUMIF(Lebovic!$A:$A, B27, Lebovic!$F:$F), 0)</f>
        <v/>
      </c>
      <c r="H27" s="31" t="n"/>
      <c r="I27" s="15">
        <f>IFERROR(SUMIF(Wonderland!$A:$A, B27, Wonderland!$F:$F), 0)</f>
        <v/>
      </c>
      <c r="J27" s="31" t="n"/>
      <c r="K27" s="15">
        <f>IFERROR(SUMIF('Pizza Karachi Downtown TO'!$A:$A, B27, 'Pizza Karachi Downtown TO'!$F:$F), 0)</f>
        <v/>
      </c>
      <c r="L27" s="31" t="n"/>
      <c r="M27" s="15">
        <f>IFERROR(SUMIF('Highway Karahi'!$A:$A, B27, 'Highway Karahi'!$F:$F), 0)</f>
        <v/>
      </c>
      <c r="N27" s="31" t="n"/>
      <c r="O27" s="9">
        <f>IFERROR(SUMIF(Heartland!$A:$A, B27, Heartland!$F:$F), 0)</f>
        <v/>
      </c>
      <c r="P27" s="10" t="n"/>
      <c r="Q27" s="9">
        <f>IFERROR(SUMIF(Eglinton!$A:$A, B27, Eglinton!$F:$F), 0)</f>
        <v/>
      </c>
      <c r="R27" s="10" t="n"/>
      <c r="S27" s="59">
        <f>IFERROR(SUMIF(Oshawa!$A:$A, B27, Oshawa!$F:$F), 0)</f>
        <v/>
      </c>
      <c r="T27" s="59" t="n"/>
      <c r="U27" s="59">
        <f>IFERROR(SUMIF(Milton!$A:$A, B27, Milton!$F:$F), 0)</f>
        <v/>
      </c>
      <c r="V27" s="59" t="n"/>
      <c r="W27" s="11" t="n"/>
      <c r="X27" s="9" t="n"/>
      <c r="Y27" s="9" t="n"/>
      <c r="Z27" s="12" t="n"/>
      <c r="AA27" s="12" t="n"/>
      <c r="AB27" s="13" t="n"/>
    </row>
    <row r="28">
      <c r="A28" s="55" t="n"/>
      <c r="B28" s="32" t="inlineStr">
        <is>
          <t>Fifa Kickoff Special Wings</t>
        </is>
      </c>
      <c r="C28" s="15">
        <f>IFERROR(SUMIF('Markham Rd'!$A:$A, B28, 'Markham Rd'!$F:$F), 0)</f>
        <v/>
      </c>
      <c r="D28" s="31" t="n"/>
      <c r="E28" s="15">
        <f>IFERROR(SUMIF(Ajax!$A:$A, B28, Ajax!$F:$F), 0)</f>
        <v/>
      </c>
      <c r="F28" s="31" t="n"/>
      <c r="G28" s="15">
        <f>IFERROR(SUMIF(Lebovic!$A:$A, B28, Lebovic!$F:$F), 0)</f>
        <v/>
      </c>
      <c r="H28" s="31" t="n"/>
      <c r="I28" s="15">
        <f>IFERROR(SUMIF(Wonderland!$A:$A, B28, Wonderland!$F:$F), 0)</f>
        <v/>
      </c>
      <c r="J28" s="31" t="n"/>
      <c r="K28" s="15">
        <f>IFERROR(SUMIF('Pizza Karachi Downtown TO'!$A:$A, B28, 'Pizza Karachi Downtown TO'!$F:$F), 0)</f>
        <v/>
      </c>
      <c r="L28" s="31" t="n"/>
      <c r="M28" s="15">
        <f>IFERROR(SUMIF('Highway Karahi'!$A:$A, B28, 'Highway Karahi'!$F:$F), 0)</f>
        <v/>
      </c>
      <c r="N28" s="31" t="n"/>
      <c r="O28" s="9">
        <f>IFERROR(SUMIF(Heartland!$A:$A, B28, Heartland!$F:$F), 0)</f>
        <v/>
      </c>
      <c r="P28" s="10" t="n"/>
      <c r="Q28" s="9">
        <f>IFERROR(SUMIF(Eglinton!$A:$A, B28, Eglinton!$F:$F), 0)</f>
        <v/>
      </c>
      <c r="R28" s="10" t="n"/>
      <c r="S28" s="59">
        <f>IFERROR(SUMIF(Oshawa!$A:$A, B28, Oshawa!$F:$F), 0)</f>
        <v/>
      </c>
      <c r="T28" s="59" t="n"/>
      <c r="U28" s="59">
        <f>IFERROR(SUMIF(Milton!$A:$A, B28, Milton!$F:$F), 0)</f>
        <v/>
      </c>
      <c r="V28" s="59" t="n"/>
      <c r="W28" s="11" t="n"/>
      <c r="X28" s="9" t="n"/>
      <c r="Y28" s="9" t="n"/>
      <c r="Z28" s="12" t="n"/>
      <c r="AA28" s="12" t="n"/>
      <c r="AB28" s="13" t="n"/>
    </row>
    <row r="29">
      <c r="A29" s="55" t="n"/>
      <c r="B29" s="24" t="inlineStr">
        <is>
          <t>Classic 1</t>
        </is>
      </c>
      <c r="C29" s="15">
        <f>IFERROR(SUMIF('Markham Rd'!$A:$A, B29, 'Markham Rd'!$F:$F), 0)</f>
        <v/>
      </c>
      <c r="D29" s="23" t="n"/>
      <c r="E29" s="15">
        <f>IFERROR(SUMIF(Ajax!$A:$A, B29, Ajax!$F:$F), 0)</f>
        <v/>
      </c>
      <c r="F29" s="23" t="n"/>
      <c r="G29" s="15">
        <f>IFERROR(SUMIF(Lebovic!$A:$A, B29, Lebovic!$F:$F), 0)</f>
        <v/>
      </c>
      <c r="H29" s="23" t="n"/>
      <c r="I29" s="15">
        <f>IFERROR(SUMIF(Wonderland!$A:$A, B29, Wonderland!$F:$F), 0)</f>
        <v/>
      </c>
      <c r="J29" s="23" t="n"/>
      <c r="K29" s="15">
        <f>IFERROR(SUMIF('Pizza Karachi Downtown TO'!$A:$A, B29, 'Pizza Karachi Downtown TO'!$F:$F), 0)</f>
        <v/>
      </c>
      <c r="L29" s="23" t="n"/>
      <c r="M29" s="15">
        <f>IFERROR(SUMIF('Highway Karahi'!$A:$A, B29, 'Highway Karahi'!$F:$F), 0)</f>
        <v/>
      </c>
      <c r="N29" s="23" t="n"/>
      <c r="O29" s="9">
        <f>IFERROR(SUMIF(Heartland!$A:$A, B29, Heartland!$F:$F), 0)</f>
        <v/>
      </c>
      <c r="P29" s="21" t="n"/>
      <c r="Q29" s="9">
        <f>IFERROR(SUMIF(Eglinton!$A:$A, B29, Eglinton!$F:$F), 0)</f>
        <v/>
      </c>
      <c r="R29" s="21" t="n"/>
      <c r="S29" s="59">
        <f>IFERROR(SUMIF(Oshawa!$A:$A, B29, Oshawa!$F:$F), 0)</f>
        <v/>
      </c>
      <c r="T29" s="59" t="n"/>
      <c r="U29" s="59">
        <f>IFERROR(SUMIF(Milton!$A:$A, B29, Milton!$F:$F), 0)</f>
        <v/>
      </c>
      <c r="V29" s="59" t="n"/>
      <c r="W29" s="9" t="n"/>
      <c r="X29" s="21" t="n"/>
      <c r="Y29" s="9" t="n"/>
      <c r="Z29" s="21" t="n"/>
      <c r="AA29" s="9" t="n"/>
      <c r="AB29" s="22" t="n"/>
    </row>
    <row r="30">
      <c r="A30" s="55" t="n"/>
      <c r="B30" s="24" t="inlineStr">
        <is>
          <t>Classic 1 - OO</t>
        </is>
      </c>
      <c r="C30" s="15">
        <f>IFERROR(SUMIF('Markham Rd'!$A:$A, B30, 'Markham Rd'!$F:$F), 0)</f>
        <v/>
      </c>
      <c r="D30" s="23" t="n"/>
      <c r="E30" s="15">
        <f>IFERROR(SUMIF(Ajax!$A:$A, B30, Ajax!$F:$F), 0)</f>
        <v/>
      </c>
      <c r="F30" s="23" t="n"/>
      <c r="G30" s="15">
        <f>IFERROR(SUMIF(Lebovic!$A:$A, B30, Lebovic!$F:$F), 0)</f>
        <v/>
      </c>
      <c r="H30" s="23" t="n"/>
      <c r="I30" s="15">
        <f>IFERROR(SUMIF(Wonderland!$A:$A, B30, Wonderland!$F:$F), 0)</f>
        <v/>
      </c>
      <c r="J30" s="23" t="n"/>
      <c r="K30" s="15">
        <f>IFERROR(SUMIF('Pizza Karachi Downtown TO'!$A:$A, B30, 'Pizza Karachi Downtown TO'!$F:$F), 0)</f>
        <v/>
      </c>
      <c r="L30" s="23" t="n"/>
      <c r="M30" s="15">
        <f>IFERROR(SUMIF('Highway Karahi'!$A:$A, B30, 'Highway Karahi'!$F:$F), 0)</f>
        <v/>
      </c>
      <c r="N30" s="23" t="n"/>
      <c r="O30" s="9">
        <f>IFERROR(SUMIF(Heartland!$A:$A, B30, Heartland!$F:$F), 0)</f>
        <v/>
      </c>
      <c r="P30" s="23" t="n"/>
      <c r="Q30" s="9">
        <f>IFERROR(SUMIF(Eglinton!$A:$A, B30, Eglinton!$F:$F), 0)</f>
        <v/>
      </c>
      <c r="R30" s="23" t="n"/>
      <c r="S30" s="59">
        <f>IFERROR(SUMIF(Oshawa!$A:$A, B30, Oshawa!$F:$F), 0)</f>
        <v/>
      </c>
      <c r="T30" s="59" t="n"/>
      <c r="U30" s="59">
        <f>IFERROR(SUMIF(Milton!$A:$A, B30, Milton!$F:$F), 0)</f>
        <v/>
      </c>
      <c r="V30" s="59" t="n"/>
      <c r="W30" s="9" t="n"/>
      <c r="X30" s="23" t="n"/>
      <c r="Y30" s="9" t="n"/>
      <c r="Z30" s="23" t="n"/>
      <c r="AA30" s="9" t="n"/>
      <c r="AB30" s="23" t="n"/>
    </row>
    <row r="31">
      <c r="A31" s="55" t="n"/>
      <c r="B31" s="24" t="inlineStr">
        <is>
          <t>Classic 2</t>
        </is>
      </c>
      <c r="C31" s="15">
        <f>IFERROR(SUMIF('Markham Rd'!$A:$A, B31, 'Markham Rd'!$F:$F), 0)</f>
        <v/>
      </c>
      <c r="D31" s="23" t="n"/>
      <c r="E31" s="15">
        <f>IFERROR(SUMIF(Ajax!$A:$A, B31, Ajax!$F:$F), 0)</f>
        <v/>
      </c>
      <c r="F31" s="23" t="n"/>
      <c r="G31" s="15">
        <f>IFERROR(SUMIF(Lebovic!$A:$A, B31, Lebovic!$F:$F), 0)</f>
        <v/>
      </c>
      <c r="H31" s="23" t="n"/>
      <c r="I31" s="15">
        <f>IFERROR(SUMIF(Wonderland!$A:$A, B31, Wonderland!$F:$F), 0)</f>
        <v/>
      </c>
      <c r="J31" s="23" t="n"/>
      <c r="K31" s="15">
        <f>IFERROR(SUMIF('Pizza Karachi Downtown TO'!$A:$A, B31, 'Pizza Karachi Downtown TO'!$F:$F), 0)</f>
        <v/>
      </c>
      <c r="L31" s="23" t="n"/>
      <c r="M31" s="15">
        <f>IFERROR(SUMIF('Highway Karahi'!$A:$A, B31, 'Highway Karahi'!$F:$F), 0)</f>
        <v/>
      </c>
      <c r="N31" s="23" t="n"/>
      <c r="O31" s="9">
        <f>IFERROR(SUMIF(Heartland!$A:$A, B31, Heartland!$F:$F), 0)</f>
        <v/>
      </c>
      <c r="P31" s="23" t="n"/>
      <c r="Q31" s="9">
        <f>IFERROR(SUMIF(Eglinton!$A:$A, B31, Eglinton!$F:$F), 0)</f>
        <v/>
      </c>
      <c r="R31" s="23" t="n"/>
      <c r="S31" s="59">
        <f>IFERROR(SUMIF(Oshawa!$A:$A, B31, Oshawa!$F:$F), 0)</f>
        <v/>
      </c>
      <c r="T31" s="59" t="n"/>
      <c r="U31" s="59">
        <f>IFERROR(SUMIF(Milton!$A:$A, B31, Milton!$F:$F), 0)</f>
        <v/>
      </c>
      <c r="V31" s="59" t="n"/>
      <c r="W31" s="9" t="n"/>
      <c r="X31" s="23" t="n"/>
      <c r="Y31" s="9" t="n"/>
      <c r="Z31" s="23" t="n"/>
      <c r="AA31" s="9" t="n"/>
      <c r="AB31" s="23" t="n"/>
    </row>
    <row r="32">
      <c r="A32" s="55" t="n"/>
      <c r="B32" s="24" t="inlineStr">
        <is>
          <t>Classic 2 - OO</t>
        </is>
      </c>
      <c r="C32" s="15">
        <f>IFERROR(SUMIF('Markham Rd'!$A:$A, B32, 'Markham Rd'!$F:$F), 0)</f>
        <v/>
      </c>
      <c r="D32" s="23" t="n"/>
      <c r="E32" s="15">
        <f>IFERROR(SUMIF(Ajax!$A:$A, B32, Ajax!$F:$F), 0)</f>
        <v/>
      </c>
      <c r="F32" s="23" t="n"/>
      <c r="G32" s="15">
        <f>IFERROR(SUMIF(Lebovic!$A:$A, B32, Lebovic!$F:$F), 0)</f>
        <v/>
      </c>
      <c r="H32" s="23" t="n"/>
      <c r="I32" s="15">
        <f>IFERROR(SUMIF(Wonderland!$A:$A, B32, Wonderland!$F:$F), 0)</f>
        <v/>
      </c>
      <c r="J32" s="23" t="n"/>
      <c r="K32" s="15">
        <f>IFERROR(SUMIF('Pizza Karachi Downtown TO'!$A:$A, B32, 'Pizza Karachi Downtown TO'!$F:$F), 0)</f>
        <v/>
      </c>
      <c r="L32" s="23" t="n"/>
      <c r="M32" s="15">
        <f>IFERROR(SUMIF('Highway Karahi'!$A:$A, B32, 'Highway Karahi'!$F:$F), 0)</f>
        <v/>
      </c>
      <c r="N32" s="23" t="n"/>
      <c r="O32" s="9">
        <f>IFERROR(SUMIF(Heartland!$A:$A, B32, Heartland!$F:$F), 0)</f>
        <v/>
      </c>
      <c r="P32" s="23" t="n"/>
      <c r="Q32" s="9">
        <f>IFERROR(SUMIF(Eglinton!$A:$A, B32, Eglinton!$F:$F), 0)</f>
        <v/>
      </c>
      <c r="R32" s="23" t="n"/>
      <c r="S32" s="59">
        <f>IFERROR(SUMIF(Oshawa!$A:$A, B32, Oshawa!$F:$F), 0)</f>
        <v/>
      </c>
      <c r="T32" s="59" t="n"/>
      <c r="U32" s="59">
        <f>IFERROR(SUMIF(Milton!$A:$A, B32, Milton!$F:$F), 0)</f>
        <v/>
      </c>
      <c r="V32" s="59" t="n"/>
      <c r="W32" s="9" t="n"/>
      <c r="X32" s="23" t="n"/>
      <c r="Y32" s="9" t="n"/>
      <c r="Z32" s="23" t="n"/>
      <c r="AA32" s="9" t="n"/>
      <c r="AB32" s="23" t="n"/>
    </row>
    <row r="33">
      <c r="A33" s="55" t="n"/>
      <c r="B33" s="24" t="inlineStr">
        <is>
          <t>Classic 3</t>
        </is>
      </c>
      <c r="C33" s="15">
        <f>IFERROR(SUMIF('Markham Rd'!$A:$A, B33, 'Markham Rd'!$F:$F), 0)</f>
        <v/>
      </c>
      <c r="D33" s="23" t="n"/>
      <c r="E33" s="15">
        <f>IFERROR(SUMIF(Ajax!$A:$A, B33, Ajax!$F:$F), 0)</f>
        <v/>
      </c>
      <c r="F33" s="23" t="n"/>
      <c r="G33" s="15">
        <f>IFERROR(SUMIF(Lebovic!$A:$A, B33, Lebovic!$F:$F), 0)</f>
        <v/>
      </c>
      <c r="H33" s="23" t="n"/>
      <c r="I33" s="15">
        <f>IFERROR(SUMIF(Wonderland!$A:$A, B33, Wonderland!$F:$F), 0)</f>
        <v/>
      </c>
      <c r="J33" s="23" t="n"/>
      <c r="K33" s="15">
        <f>IFERROR(SUMIF('Pizza Karachi Downtown TO'!$A:$A, B33, 'Pizza Karachi Downtown TO'!$F:$F), 0)</f>
        <v/>
      </c>
      <c r="L33" s="23" t="n"/>
      <c r="M33" s="15">
        <f>IFERROR(SUMIF('Highway Karahi'!$A:$A, B33, 'Highway Karahi'!$F:$F), 0)</f>
        <v/>
      </c>
      <c r="N33" s="23" t="n"/>
      <c r="O33" s="9">
        <f>IFERROR(SUMIF(Heartland!$A:$A, B33, Heartland!$F:$F), 0)</f>
        <v/>
      </c>
      <c r="P33" s="23" t="n"/>
      <c r="Q33" s="9">
        <f>IFERROR(SUMIF(Eglinton!$A:$A, B33, Eglinton!$F:$F), 0)</f>
        <v/>
      </c>
      <c r="R33" s="23" t="n"/>
      <c r="S33" s="59">
        <f>IFERROR(SUMIF(Oshawa!$A:$A, B33, Oshawa!$F:$F), 0)</f>
        <v/>
      </c>
      <c r="T33" s="59" t="n"/>
      <c r="U33" s="59">
        <f>IFERROR(SUMIF(Milton!$A:$A, B33, Milton!$F:$F), 0)</f>
        <v/>
      </c>
      <c r="V33" s="59" t="n"/>
      <c r="W33" s="9" t="n"/>
      <c r="X33" s="23" t="n"/>
      <c r="Y33" s="9" t="n"/>
      <c r="Z33" s="23" t="n"/>
      <c r="AA33" s="9" t="n"/>
      <c r="AB33" s="23" t="n"/>
    </row>
    <row r="34">
      <c r="A34" s="55" t="n"/>
      <c r="B34" s="24" t="inlineStr">
        <is>
          <t>Classic 3 - OO</t>
        </is>
      </c>
      <c r="C34" s="15">
        <f>IFERROR(SUMIF('Markham Rd'!$A:$A, B34, 'Markham Rd'!$F:$F), 0)</f>
        <v/>
      </c>
      <c r="D34" s="23" t="n"/>
      <c r="E34" s="15">
        <f>IFERROR(SUMIF(Ajax!$A:$A, B34, Ajax!$F:$F), 0)</f>
        <v/>
      </c>
      <c r="F34" s="23" t="n"/>
      <c r="G34" s="15">
        <f>IFERROR(SUMIF(Lebovic!$A:$A, B34, Lebovic!$F:$F), 0)</f>
        <v/>
      </c>
      <c r="H34" s="23" t="n"/>
      <c r="I34" s="15">
        <f>IFERROR(SUMIF(Wonderland!$A:$A, B34, Wonderland!$F:$F), 0)</f>
        <v/>
      </c>
      <c r="J34" s="23" t="n"/>
      <c r="K34" s="15">
        <f>IFERROR(SUMIF('Pizza Karachi Downtown TO'!$A:$A, B34, 'Pizza Karachi Downtown TO'!$F:$F), 0)</f>
        <v/>
      </c>
      <c r="L34" s="23" t="n"/>
      <c r="M34" s="15">
        <f>IFERROR(SUMIF('Highway Karahi'!$A:$A, B34, 'Highway Karahi'!$F:$F), 0)</f>
        <v/>
      </c>
      <c r="N34" s="23" t="n"/>
      <c r="O34" s="9">
        <f>IFERROR(SUMIF(Heartland!$A:$A, B34, Heartland!$F:$F), 0)</f>
        <v/>
      </c>
      <c r="P34" s="23" t="n"/>
      <c r="Q34" s="9">
        <f>IFERROR(SUMIF(Eglinton!$A:$A, B34, Eglinton!$F:$F), 0)</f>
        <v/>
      </c>
      <c r="R34" s="23" t="n"/>
      <c r="S34" s="59">
        <f>IFERROR(SUMIF(Oshawa!$A:$A, B34, Oshawa!$F:$F), 0)</f>
        <v/>
      </c>
      <c r="T34" s="59" t="n"/>
      <c r="U34" s="59">
        <f>IFERROR(SUMIF(Milton!$A:$A, B34, Milton!$F:$F), 0)</f>
        <v/>
      </c>
      <c r="V34" s="59" t="n"/>
      <c r="W34" s="9" t="n"/>
      <c r="X34" s="23" t="n"/>
      <c r="Y34" s="9" t="n"/>
      <c r="Z34" s="23" t="n"/>
      <c r="AA34" s="9" t="n"/>
      <c r="AB34" s="23" t="n"/>
    </row>
    <row r="35">
      <c r="A35" s="55" t="n"/>
      <c r="B35" s="24" t="inlineStr">
        <is>
          <t>Classic 4</t>
        </is>
      </c>
      <c r="C35" s="15">
        <f>IFERROR(SUMIF('Markham Rd'!$A:$A, B35, 'Markham Rd'!$F:$F), 0)</f>
        <v/>
      </c>
      <c r="D35" s="23" t="n"/>
      <c r="E35" s="15">
        <f>IFERROR(SUMIF(Ajax!$A:$A, B35, Ajax!$F:$F), 0)</f>
        <v/>
      </c>
      <c r="F35" s="23" t="n"/>
      <c r="G35" s="15">
        <f>IFERROR(SUMIF(Lebovic!$A:$A, B35, Lebovic!$F:$F), 0)</f>
        <v/>
      </c>
      <c r="H35" s="23" t="n"/>
      <c r="I35" s="15">
        <f>IFERROR(SUMIF(Wonderland!$A:$A, B35, Wonderland!$F:$F), 0)</f>
        <v/>
      </c>
      <c r="J35" s="23" t="n"/>
      <c r="K35" s="15">
        <f>IFERROR(SUMIF('Pizza Karachi Downtown TO'!$A:$A, B35, 'Pizza Karachi Downtown TO'!$F:$F), 0)</f>
        <v/>
      </c>
      <c r="L35" s="23" t="n"/>
      <c r="M35" s="15">
        <f>IFERROR(SUMIF('Highway Karahi'!$A:$A, B35, 'Highway Karahi'!$F:$F), 0)</f>
        <v/>
      </c>
      <c r="N35" s="23" t="n"/>
      <c r="O35" s="9">
        <f>IFERROR(SUMIF(Heartland!$A:$A, B35, Heartland!$F:$F), 0)</f>
        <v/>
      </c>
      <c r="P35" s="23" t="n"/>
      <c r="Q35" s="9">
        <f>IFERROR(SUMIF(Eglinton!$A:$A, B35, Eglinton!$F:$F), 0)</f>
        <v/>
      </c>
      <c r="R35" s="23" t="n"/>
      <c r="S35" s="59">
        <f>IFERROR(SUMIF(Oshawa!$A:$A, B35, Oshawa!$F:$F), 0)</f>
        <v/>
      </c>
      <c r="T35" s="59" t="n"/>
      <c r="U35" s="59">
        <f>IFERROR(SUMIF(Milton!$A:$A, B35, Milton!$F:$F), 0)</f>
        <v/>
      </c>
      <c r="V35" s="59" t="n"/>
      <c r="W35" s="9" t="n"/>
      <c r="X35" s="23" t="n"/>
      <c r="Y35" s="9" t="n"/>
      <c r="Z35" s="23" t="n"/>
      <c r="AA35" s="9" t="n"/>
      <c r="AB35" s="23" t="n"/>
    </row>
    <row r="36">
      <c r="A36" s="55" t="n"/>
      <c r="B36" s="24" t="inlineStr">
        <is>
          <t>Classic 4 - OO</t>
        </is>
      </c>
      <c r="C36" s="15">
        <f>IFERROR(SUMIF('Markham Rd'!$A:$A, B36, 'Markham Rd'!$F:$F), 0)</f>
        <v/>
      </c>
      <c r="D36" s="24" t="n"/>
      <c r="E36" s="15">
        <f>IFERROR(SUMIF(Ajax!$A:$A, B36, Ajax!$F:$F), 0)</f>
        <v/>
      </c>
      <c r="F36" s="24" t="n"/>
      <c r="G36" s="15">
        <f>IFERROR(SUMIF(Lebovic!$A:$A, B36, Lebovic!$F:$F), 0)</f>
        <v/>
      </c>
      <c r="H36" s="24" t="n"/>
      <c r="I36" s="15">
        <f>IFERROR(SUMIF(Wonderland!$A:$A, B36, Wonderland!$F:$F), 0)</f>
        <v/>
      </c>
      <c r="J36" s="24" t="n"/>
      <c r="K36" s="15">
        <f>IFERROR(SUMIF('Pizza Karachi Downtown TO'!$A:$A, B36, 'Pizza Karachi Downtown TO'!$F:$F), 0)</f>
        <v/>
      </c>
      <c r="L36" s="24" t="n"/>
      <c r="M36" s="15">
        <f>IFERROR(SUMIF('Highway Karahi'!$A:$A, B36, 'Highway Karahi'!$F:$F), 0)</f>
        <v/>
      </c>
      <c r="N36" s="24" t="n"/>
      <c r="O36" s="9">
        <f>IFERROR(SUMIF(Heartland!$A:$A, B36, Heartland!$F:$F), 0)</f>
        <v/>
      </c>
      <c r="P36" s="24" t="n"/>
      <c r="Q36" s="9">
        <f>IFERROR(SUMIF(Eglinton!$A:$A, B36, Eglinton!$F:$F), 0)</f>
        <v/>
      </c>
      <c r="R36" s="24" t="n"/>
      <c r="S36" s="59">
        <f>IFERROR(SUMIF(Oshawa!$A:$A, B36, Oshawa!$F:$F), 0)</f>
        <v/>
      </c>
      <c r="T36" s="59" t="n"/>
      <c r="U36" s="59">
        <f>IFERROR(SUMIF(Milton!$A:$A, B36, Milton!$F:$F), 0)</f>
        <v/>
      </c>
      <c r="V36" s="59" t="n"/>
      <c r="W36" s="9" t="n"/>
      <c r="X36" s="24" t="n"/>
      <c r="Y36" s="9" t="n"/>
      <c r="Z36" s="24" t="n"/>
      <c r="AA36" s="9" t="n"/>
      <c r="AB36" s="24" t="n"/>
    </row>
    <row r="37">
      <c r="A37" s="55" t="n"/>
      <c r="B37" s="24" t="inlineStr">
        <is>
          <t>Classic 5</t>
        </is>
      </c>
      <c r="C37" s="9">
        <f>IFERROR(SUMIF('Markham Rd'!$A:$A, B37, 'Markham Rd'!$F:$F), 0)</f>
        <v/>
      </c>
      <c r="D37" s="24" t="n"/>
      <c r="E37" s="9">
        <f>IFERROR(SUMIF(Ajax!$A:$A, B37, Ajax!$F:$F), 0)</f>
        <v/>
      </c>
      <c r="F37" s="24" t="n"/>
      <c r="G37" s="9">
        <f>IFERROR(SUMIF(Lebovic!$A:$A, B37, Lebovic!$F:$F), 0)</f>
        <v/>
      </c>
      <c r="H37" s="24" t="n"/>
      <c r="I37" s="9">
        <f>IFERROR(SUMIF(Wonderland!$A:$A, B37, Wonderland!$F:$F), 0)</f>
        <v/>
      </c>
      <c r="J37" s="24" t="n"/>
      <c r="K37" s="9">
        <f>IFERROR(SUMIF('Pizza Karachi Downtown TO'!$A:$A, B37, 'Pizza Karachi Downtown TO'!$F:$F), 0)</f>
        <v/>
      </c>
      <c r="L37" s="24" t="n"/>
      <c r="M37" s="9">
        <f>IFERROR(SUMIF('Highway Karahi'!$A:$A, B37, 'Highway Karahi'!$F:$F), 0)</f>
        <v/>
      </c>
      <c r="N37" s="24" t="n"/>
      <c r="O37" s="9">
        <f>IFERROR(SUMIF(Heartland!$A:$A, B37, Heartland!$F:$F), 0)</f>
        <v/>
      </c>
      <c r="P37" s="24" t="n"/>
      <c r="Q37" s="9">
        <f>IFERROR(SUMIF(Eglinton!$A:$A, B37, Eglinton!$F:$F), 0)</f>
        <v/>
      </c>
      <c r="R37" s="24" t="n"/>
      <c r="S37" s="58">
        <f>IFERROR(SUMIF(Oshawa!$A:$A, B37, Oshawa!$F:$F), 0)</f>
        <v/>
      </c>
      <c r="T37" s="58" t="n"/>
      <c r="U37" s="58">
        <f>IFERROR(SUMIF(Milton!$A:$A, B37, Milton!$F:$F), 0)</f>
        <v/>
      </c>
      <c r="V37" s="58" t="n"/>
      <c r="W37" s="9" t="n"/>
      <c r="X37" s="24" t="n"/>
      <c r="Y37" s="9" t="n"/>
      <c r="Z37" s="24" t="n"/>
      <c r="AA37" s="9" t="n"/>
      <c r="AB37" s="24" t="n"/>
    </row>
    <row r="38">
      <c r="A38" s="55" t="n"/>
      <c r="B38" s="24" t="inlineStr">
        <is>
          <t>Classic 5 - OO</t>
        </is>
      </c>
      <c r="C38" s="9">
        <f>IFERROR(SUMIF('Markham Rd'!$A:$A, B38, 'Markham Rd'!$F:$F), 0)</f>
        <v/>
      </c>
      <c r="D38" s="24" t="n"/>
      <c r="E38" s="9">
        <f>IFERROR(SUMIF(Ajax!$A:$A, B38, Ajax!$F:$F), 0)</f>
        <v/>
      </c>
      <c r="F38" s="24" t="n"/>
      <c r="G38" s="9">
        <f>IFERROR(SUMIF(Lebovic!$A:$A, B38, Lebovic!$F:$F), 0)</f>
        <v/>
      </c>
      <c r="H38" s="24" t="n"/>
      <c r="I38" s="9">
        <f>IFERROR(SUMIF(Wonderland!$A:$A, B38, Wonderland!$F:$F), 0)</f>
        <v/>
      </c>
      <c r="J38" s="24" t="n"/>
      <c r="K38" s="9">
        <f>IFERROR(SUMIF('Pizza Karachi Downtown TO'!$A:$A, B38, 'Pizza Karachi Downtown TO'!$F:$F), 0)</f>
        <v/>
      </c>
      <c r="L38" s="24" t="n"/>
      <c r="M38" s="9">
        <f>IFERROR(SUMIF('Highway Karahi'!$A:$A, B38, 'Highway Karahi'!$F:$F), 0)</f>
        <v/>
      </c>
      <c r="N38" s="24" t="n"/>
      <c r="O38" s="9">
        <f>IFERROR(SUMIF(Heartland!$A:$A, B38, Heartland!$F:$F), 0)</f>
        <v/>
      </c>
      <c r="P38" s="24" t="n"/>
      <c r="Q38" s="9">
        <f>IFERROR(SUMIF(Eglinton!$A:$A, B38, Eglinton!$F:$F), 0)</f>
        <v/>
      </c>
      <c r="R38" s="24" t="n"/>
      <c r="S38" s="58">
        <f>IFERROR(SUMIF(Oshawa!$A:$A, B38, Oshawa!$F:$F), 0)</f>
        <v/>
      </c>
      <c r="T38" s="58" t="n"/>
      <c r="U38" s="58">
        <f>IFERROR(SUMIF(Milton!$A:$A, B38, Milton!$F:$F), 0)</f>
        <v/>
      </c>
      <c r="V38" s="58" t="n"/>
      <c r="W38" s="9" t="n"/>
      <c r="X38" s="24" t="n"/>
      <c r="Y38" s="9" t="n"/>
      <c r="Z38" s="24" t="n"/>
      <c r="AA38" s="9" t="n"/>
      <c r="AB38" s="24" t="n"/>
    </row>
    <row r="39">
      <c r="A39" s="55" t="n"/>
      <c r="B39" s="24" t="inlineStr">
        <is>
          <t>Classic 6</t>
        </is>
      </c>
      <c r="C39" s="9">
        <f>IFERROR(SUMIF('Markham Rd'!$A:$A, B39, 'Markham Rd'!$F:$F), 0)</f>
        <v/>
      </c>
      <c r="D39" s="24" t="n"/>
      <c r="E39" s="9">
        <f>IFERROR(SUMIF(Ajax!$A:$A, B39, Ajax!$F:$F), 0)</f>
        <v/>
      </c>
      <c r="F39" s="24" t="n"/>
      <c r="G39" s="9">
        <f>IFERROR(SUMIF(Lebovic!$A:$A, B39, Lebovic!$F:$F), 0)</f>
        <v/>
      </c>
      <c r="H39" s="24" t="n"/>
      <c r="I39" s="9">
        <f>IFERROR(SUMIF(Wonderland!$A:$A, B39, Wonderland!$F:$F), 0)</f>
        <v/>
      </c>
      <c r="J39" s="24" t="n"/>
      <c r="K39" s="9">
        <f>IFERROR(SUMIF('Pizza Karachi Downtown TO'!$A:$A, B39, 'Pizza Karachi Downtown TO'!$F:$F), 0)</f>
        <v/>
      </c>
      <c r="L39" s="24" t="n"/>
      <c r="M39" s="9">
        <f>IFERROR(SUMIF('Highway Karahi'!$A:$A, B39, 'Highway Karahi'!$F:$F), 0)</f>
        <v/>
      </c>
      <c r="N39" s="24" t="n"/>
      <c r="O39" s="9">
        <f>IFERROR(SUMIF(Heartland!$A:$A, B39, Heartland!$F:$F), 0)</f>
        <v/>
      </c>
      <c r="P39" s="24" t="n"/>
      <c r="Q39" s="9">
        <f>IFERROR(SUMIF(Eglinton!$A:$A, B39, Eglinton!$F:$F), 0)</f>
        <v/>
      </c>
      <c r="R39" s="24" t="n"/>
      <c r="S39" s="58">
        <f>IFERROR(SUMIF(Oshawa!$A:$A, B39, Oshawa!$F:$F), 0)</f>
        <v/>
      </c>
      <c r="T39" s="58" t="n"/>
      <c r="U39" s="58">
        <f>IFERROR(SUMIF(Milton!$A:$A, B39, Milton!$F:$F), 0)</f>
        <v/>
      </c>
      <c r="V39" s="58" t="n"/>
      <c r="W39" s="9" t="n"/>
      <c r="X39" s="24" t="n"/>
      <c r="Y39" s="9" t="n"/>
      <c r="Z39" s="24" t="n"/>
      <c r="AA39" s="9" t="n"/>
      <c r="AB39" s="24" t="n"/>
    </row>
    <row r="40">
      <c r="A40" s="55" t="n"/>
      <c r="B40" s="24" t="inlineStr">
        <is>
          <t>Classic 6 - OO</t>
        </is>
      </c>
      <c r="C40" s="9">
        <f>IFERROR(SUMIF('Markham Rd'!$A:$A, B40, 'Markham Rd'!$F:$F), 0)</f>
        <v/>
      </c>
      <c r="D40" s="24" t="n"/>
      <c r="E40" s="9">
        <f>IFERROR(SUMIF(Ajax!$A:$A, B40, Ajax!$F:$F), 0)</f>
        <v/>
      </c>
      <c r="F40" s="24" t="n"/>
      <c r="G40" s="9">
        <f>IFERROR(SUMIF(Lebovic!$A:$A, B40, Lebovic!$F:$F), 0)</f>
        <v/>
      </c>
      <c r="H40" s="24" t="n"/>
      <c r="I40" s="9">
        <f>IFERROR(SUMIF(Wonderland!$A:$A, B40, Wonderland!$F:$F), 0)</f>
        <v/>
      </c>
      <c r="J40" s="24" t="n"/>
      <c r="K40" s="9">
        <f>IFERROR(SUMIF('Pizza Karachi Downtown TO'!$A:$A, B40, 'Pizza Karachi Downtown TO'!$F:$F), 0)</f>
        <v/>
      </c>
      <c r="L40" s="24" t="n"/>
      <c r="M40" s="9">
        <f>IFERROR(SUMIF('Highway Karahi'!$A:$A, B40, 'Highway Karahi'!$F:$F), 0)</f>
        <v/>
      </c>
      <c r="N40" s="24" t="n"/>
      <c r="O40" s="9">
        <f>IFERROR(SUMIF(Heartland!$A:$A, B40, Heartland!$F:$F), 0)</f>
        <v/>
      </c>
      <c r="P40" s="24" t="n"/>
      <c r="Q40" s="9">
        <f>IFERROR(SUMIF(Eglinton!$A:$A, B40, Eglinton!$F:$F), 0)</f>
        <v/>
      </c>
      <c r="R40" s="24" t="n"/>
      <c r="S40" s="58">
        <f>IFERROR(SUMIF(Oshawa!$A:$A, B40, Oshawa!$F:$F), 0)</f>
        <v/>
      </c>
      <c r="T40" s="58" t="n"/>
      <c r="U40" s="58">
        <f>IFERROR(SUMIF(Milton!$A:$A, B40, Milton!$F:$F), 0)</f>
        <v/>
      </c>
      <c r="V40" s="58" t="n"/>
      <c r="W40" s="9" t="n"/>
      <c r="X40" s="24" t="n"/>
      <c r="Y40" s="9" t="n"/>
      <c r="Z40" s="24" t="n"/>
      <c r="AA40" s="9" t="n"/>
      <c r="AB40" s="24" t="n"/>
    </row>
    <row r="41">
      <c r="A41" s="55" t="n"/>
      <c r="B41" s="24" t="inlineStr">
        <is>
          <t>Monday Any Stuffed Naan</t>
        </is>
      </c>
      <c r="C41" s="15">
        <f>IFERROR(SUMIF('Markham Rd'!$A:$A, B41, 'Markham Rd'!$F:$F), 0)</f>
        <v/>
      </c>
      <c r="D41" s="24" t="n"/>
      <c r="E41" s="15">
        <f>IFERROR(SUMIF(Ajax!$A:$A, B41, Ajax!$F:$F), 0)</f>
        <v/>
      </c>
      <c r="F41" s="24" t="n"/>
      <c r="G41" s="15">
        <f>IFERROR(SUMIF(Lebovic!$A:$A, B41, Lebovic!$F:$F), 0)</f>
        <v/>
      </c>
      <c r="H41" s="24" t="n"/>
      <c r="I41" s="15">
        <f>IFERROR(SUMIF(Wonderland!$A:$A, B41, Wonderland!$F:$F), 0)</f>
        <v/>
      </c>
      <c r="J41" s="24" t="n"/>
      <c r="K41" s="15">
        <f>IFERROR(SUMIF('Pizza Karachi Downtown TO'!$A:$A, B41, 'Pizza Karachi Downtown TO'!$F:$F), 0)</f>
        <v/>
      </c>
      <c r="L41" s="24" t="n"/>
      <c r="M41" s="15">
        <f>IFERROR(SUMIF('Highway Karahi'!$A:$A, B41, 'Highway Karahi'!$F:$F), 0)</f>
        <v/>
      </c>
      <c r="N41" s="24" t="n"/>
      <c r="O41" s="15">
        <f>IFERROR(SUMIF(Heartland!$A:$A, B41, Heartland!$F:$F), 0)</f>
        <v/>
      </c>
      <c r="P41" s="24" t="n"/>
      <c r="Q41" s="15">
        <f>IFERROR(SUMIF(Eglinton!$A:$A, B41, Eglinton!$F:$F), 0)</f>
        <v/>
      </c>
      <c r="R41" s="24" t="n"/>
      <c r="S41" s="59">
        <f>IFERROR(SUMIF(Oshawa!$A:$A, B41, Oshawa!$F:$F), 0)</f>
        <v/>
      </c>
      <c r="T41" s="59" t="n"/>
      <c r="U41" s="59">
        <f>IFERROR(SUMIF(Milton!$A:$A, B41, Milton!$F:$F), 0)</f>
        <v/>
      </c>
      <c r="V41" s="59" t="n"/>
      <c r="W41" s="24" t="n"/>
      <c r="X41" s="24" t="n"/>
      <c r="Y41" s="24" t="n"/>
      <c r="Z41" s="24" t="n"/>
      <c r="AA41" s="24" t="n"/>
      <c r="AB41" s="24" t="n"/>
    </row>
    <row r="42">
      <c r="A42" s="55" t="n"/>
      <c r="B42" s="24" t="inlineStr">
        <is>
          <t>Tuesday 10” Classic Tandoori Chicken</t>
        </is>
      </c>
      <c r="C42" s="15">
        <f>IFERROR(SUMIF('Markham Rd'!$A:$A, B42, 'Markham Rd'!$F:$F), 0)</f>
        <v/>
      </c>
      <c r="D42" s="24" t="n"/>
      <c r="E42" s="15">
        <f>IFERROR(SUMIF(Ajax!$A:$A, B42, Ajax!$F:$F), 0)</f>
        <v/>
      </c>
      <c r="F42" s="24" t="n"/>
      <c r="G42" s="15">
        <f>IFERROR(SUMIF(Lebovic!$A:$A, B42, Lebovic!$F:$F), 0)</f>
        <v/>
      </c>
      <c r="H42" s="24" t="n"/>
      <c r="I42" s="15">
        <f>IFERROR(SUMIF(Wonderland!$A:$A, B42, Wonderland!$F:$F), 0)</f>
        <v/>
      </c>
      <c r="J42" s="24" t="n"/>
      <c r="K42" s="15">
        <f>IFERROR(SUMIF('Pizza Karachi Downtown TO'!$A:$A, B42, 'Pizza Karachi Downtown TO'!$F:$F), 0)</f>
        <v/>
      </c>
      <c r="L42" s="24" t="n"/>
      <c r="M42" s="15">
        <f>IFERROR(SUMIF('Highway Karahi'!$A:$A, B42, 'Highway Karahi'!$F:$F), 0)</f>
        <v/>
      </c>
      <c r="N42" s="24" t="n"/>
      <c r="O42" s="15">
        <f>IFERROR(SUMIF(Heartland!$A:$A, B42, Heartland!$F:$F), 0)</f>
        <v/>
      </c>
      <c r="P42" s="24" t="n"/>
      <c r="Q42" s="15">
        <f>IFERROR(SUMIF(Eglinton!$A:$A, B42, Eglinton!$F:$F), 0)</f>
        <v/>
      </c>
      <c r="R42" s="24" t="n"/>
      <c r="S42" s="59">
        <f>IFERROR(SUMIF(Oshawa!$A:$A, B42, Oshawa!$F:$F), 0)</f>
        <v/>
      </c>
      <c r="T42" s="59" t="n"/>
      <c r="U42" s="59">
        <f>IFERROR(SUMIF(Milton!$A:$A, B42, Milton!$F:$F), 0)</f>
        <v/>
      </c>
      <c r="V42" s="59" t="n"/>
      <c r="W42" s="24" t="n"/>
      <c r="X42" s="24" t="n"/>
      <c r="Y42" s="24" t="n"/>
      <c r="Z42" s="24" t="n"/>
      <c r="AA42" s="24" t="n"/>
      <c r="AB42" s="24" t="n"/>
    </row>
    <row r="43">
      <c r="A43" s="55" t="n"/>
      <c r="B43" s="24" t="inlineStr">
        <is>
          <t>Wing Wednesday - 10</t>
        </is>
      </c>
      <c r="C43" s="15">
        <f>IFERROR(SUMIF('Markham Rd'!$A:$A, B43, 'Markham Rd'!$F:$F), 0)</f>
        <v/>
      </c>
      <c r="D43" s="24" t="n"/>
      <c r="E43" s="15">
        <f>IFERROR(SUMIF(Ajax!$A:$A, B43, Ajax!$F:$F), 0)</f>
        <v/>
      </c>
      <c r="F43" s="24" t="n"/>
      <c r="G43" s="15">
        <f>IFERROR(SUMIF(Lebovic!$A:$A, B43, Lebovic!$F:$F), 0)</f>
        <v/>
      </c>
      <c r="H43" s="24" t="n"/>
      <c r="I43" s="15">
        <f>IFERROR(SUMIF(Wonderland!$A:$A, B43, Wonderland!$F:$F), 0)</f>
        <v/>
      </c>
      <c r="J43" s="24" t="n"/>
      <c r="K43" s="15">
        <f>IFERROR(SUMIF('Pizza Karachi Downtown TO'!$A:$A, B43, 'Pizza Karachi Downtown TO'!$F:$F), 0)</f>
        <v/>
      </c>
      <c r="L43" s="24" t="n"/>
      <c r="M43" s="15">
        <f>IFERROR(SUMIF('Highway Karahi'!$A:$A, B43, 'Highway Karahi'!$F:$F), 0)</f>
        <v/>
      </c>
      <c r="N43" s="24" t="n"/>
      <c r="O43" s="15">
        <f>IFERROR(SUMIF(Heartland!$A:$A, B43, Heartland!$F:$F), 0)</f>
        <v/>
      </c>
      <c r="P43" s="24" t="n"/>
      <c r="Q43" s="15">
        <f>IFERROR(SUMIF(Eglinton!$A:$A, B43, Eglinton!$F:$F), 0)</f>
        <v/>
      </c>
      <c r="R43" s="24" t="n"/>
      <c r="S43" s="59">
        <f>IFERROR(SUMIF(Oshawa!$A:$A, B43, Oshawa!$F:$F), 0)</f>
        <v/>
      </c>
      <c r="T43" s="59" t="n"/>
      <c r="U43" s="59">
        <f>IFERROR(SUMIF(Milton!$A:$A, B43, Milton!$F:$F), 0)</f>
        <v/>
      </c>
      <c r="V43" s="59" t="n"/>
      <c r="W43" s="24" t="n"/>
      <c r="X43" s="24" t="n"/>
      <c r="Y43" s="24" t="n"/>
      <c r="Z43" s="24" t="n"/>
      <c r="AA43" s="24" t="n"/>
      <c r="AB43" s="24" t="n"/>
    </row>
    <row r="44">
      <c r="A44" s="55" t="n"/>
      <c r="B44" s="24" t="inlineStr">
        <is>
          <t>Thursday 10” Classic Butter Chicken</t>
        </is>
      </c>
      <c r="C44" s="15">
        <f>IFERROR(SUMIF('Markham Rd'!$A:$A, B44, 'Markham Rd'!$F:$F), 0)</f>
        <v/>
      </c>
      <c r="D44" s="24" t="n"/>
      <c r="E44" s="15">
        <f>IFERROR(SUMIF(Ajax!$A:$A, B44, Ajax!$F:$F), 0)</f>
        <v/>
      </c>
      <c r="F44" s="24" t="n"/>
      <c r="G44" s="15">
        <f>IFERROR(SUMIF(Lebovic!$A:$A, B44, Lebovic!$F:$F), 0)</f>
        <v/>
      </c>
      <c r="H44" s="24" t="n"/>
      <c r="I44" s="15">
        <f>IFERROR(SUMIF(Wonderland!$A:$A, B44, Wonderland!$F:$F), 0)</f>
        <v/>
      </c>
      <c r="J44" s="24" t="n"/>
      <c r="K44" s="15">
        <f>IFERROR(SUMIF('Pizza Karachi Downtown TO'!$A:$A, B44, 'Pizza Karachi Downtown TO'!$F:$F), 0)</f>
        <v/>
      </c>
      <c r="L44" s="24" t="n"/>
      <c r="M44" s="15">
        <f>IFERROR(SUMIF('Highway Karahi'!$A:$A, B44, 'Highway Karahi'!$F:$F), 0)</f>
        <v/>
      </c>
      <c r="N44" s="24" t="n"/>
      <c r="O44" s="15">
        <f>IFERROR(SUMIF(Heartland!$A:$A, B44, Heartland!$F:$F), 0)</f>
        <v/>
      </c>
      <c r="P44" s="24" t="n"/>
      <c r="Q44" s="15">
        <f>IFERROR(SUMIF(Eglinton!$A:$A, B44, Eglinton!$F:$F), 0)</f>
        <v/>
      </c>
      <c r="R44" s="24" t="n"/>
      <c r="S44" s="59">
        <f>IFERROR(SUMIF(Oshawa!$A:$A, B44, Oshawa!$F:$F), 0)</f>
        <v/>
      </c>
      <c r="T44" s="59" t="n"/>
      <c r="U44" s="59">
        <f>IFERROR(SUMIF(Milton!$A:$A, B44, Milton!$F:$F), 0)</f>
        <v/>
      </c>
      <c r="V44" s="59" t="n"/>
      <c r="W44" s="24" t="n"/>
      <c r="X44" s="24" t="n"/>
      <c r="Y44" s="24" t="n"/>
      <c r="Z44" s="24" t="n"/>
      <c r="AA44" s="24" t="n"/>
      <c r="AB44" s="24" t="n"/>
    </row>
    <row r="45">
      <c r="A45" s="56" t="n"/>
      <c r="B45" s="24" t="inlineStr">
        <is>
          <t>Friday 10” Classic sweet heat Qeema</t>
        </is>
      </c>
      <c r="C45" s="15">
        <f>IFERROR(SUMIF('Markham Rd'!$A:$A, B45, 'Markham Rd'!$F:$F), 0)</f>
        <v/>
      </c>
      <c r="D45" s="24" t="n"/>
      <c r="E45" s="15">
        <f>IFERROR(SUMIF(Ajax!$A:$A, B45, Ajax!$F:$F), 0)</f>
        <v/>
      </c>
      <c r="F45" s="24" t="n"/>
      <c r="G45" s="15">
        <f>IFERROR(SUMIF(Lebovic!$A:$A, B45, Lebovic!$F:$F), 0)</f>
        <v/>
      </c>
      <c r="H45" s="24" t="n"/>
      <c r="I45" s="15">
        <f>IFERROR(SUMIF(Wonderland!$A:$A, B45, Wonderland!$F:$F), 0)</f>
        <v/>
      </c>
      <c r="J45" s="24" t="n"/>
      <c r="K45" s="15">
        <f>IFERROR(SUMIF('Pizza Karachi Downtown TO'!$A:$A, B45, 'Pizza Karachi Downtown TO'!$F:$F), 0)</f>
        <v/>
      </c>
      <c r="L45" s="24" t="n"/>
      <c r="M45" s="15">
        <f>IFERROR(SUMIF('Highway Karahi'!$A:$A, B45, 'Highway Karahi'!$F:$F), 0)</f>
        <v/>
      </c>
      <c r="N45" s="24" t="n"/>
      <c r="O45" s="15">
        <f>IFERROR(SUMIF(Heartland!$A:$A, B45, Heartland!$F:$F), 0)</f>
        <v/>
      </c>
      <c r="P45" s="24" t="n"/>
      <c r="Q45" s="15">
        <f>IFERROR(SUMIF(Eglinton!$A:$A, B45, Eglinton!$F:$F), 0)</f>
        <v/>
      </c>
      <c r="R45" s="24" t="n"/>
      <c r="S45" s="59">
        <f>IFERROR(SUMIF(Oshawa!$A:$A, B45, Oshawa!$F:$F), 0)</f>
        <v/>
      </c>
      <c r="T45" s="59" t="n"/>
      <c r="U45" s="59">
        <f>IFERROR(SUMIF(Milton!$A:$A, B45, Milton!$F:$F), 0)</f>
        <v/>
      </c>
      <c r="V45" s="59" t="n"/>
      <c r="W45" s="24" t="n"/>
      <c r="X45" s="24" t="n"/>
      <c r="Y45" s="24" t="n"/>
      <c r="Z45" s="24" t="n"/>
      <c r="AA45" s="24" t="n"/>
      <c r="AB45" s="24" t="n"/>
    </row>
    <row r="46">
      <c r="A46" s="48" t="inlineStr">
        <is>
          <t>Stuffed Crust</t>
        </is>
      </c>
      <c r="B46" s="8" t="inlineStr">
        <is>
          <t>Cheese Stuffed Crust - 10</t>
        </is>
      </c>
      <c r="C46" s="9">
        <f>IFERROR(SUMIF('Markham Rd'!$A:$A, B46, 'Markham Rd'!$F:$F), 0)</f>
        <v/>
      </c>
      <c r="D46" s="10" t="n"/>
      <c r="E46" s="9">
        <f>IFERROR(SUMIF(Ajax!$A:$A, B46, Ajax!$F:$F), 0)</f>
        <v/>
      </c>
      <c r="F46" s="10" t="n"/>
      <c r="G46" s="9">
        <f>IFERROR(SUMIF(Lebovic!$A:$A, B46, Lebovic!$F:$F), 0)</f>
        <v/>
      </c>
      <c r="H46" s="10" t="n"/>
      <c r="I46" s="9">
        <f>IFERROR(SUMIF(Wonderland!$A:$A, B46, Wonderland!$F:$F), 0)</f>
        <v/>
      </c>
      <c r="J46" s="10" t="n"/>
      <c r="K46" s="9">
        <f>IFERROR(SUMIF('Pizza Karachi Downtown TO'!$A:$A, B46, 'Pizza Karachi Downtown TO'!$F:$F), 0)</f>
        <v/>
      </c>
      <c r="L46" s="10" t="n"/>
      <c r="M46" s="9">
        <f>IFERROR(SUMIF('Highway Karahi'!$A:$A, B46, 'Highway Karahi'!$F:$F), 0)</f>
        <v/>
      </c>
      <c r="N46" s="10" t="n"/>
      <c r="O46" s="9">
        <f>IFERROR(SUMIF(Heartland!$A:$A, B46, Heartland!$F:$F), 0)</f>
        <v/>
      </c>
      <c r="P46" s="10" t="n"/>
      <c r="Q46" s="9">
        <f>IFERROR(SUMIF(Eglinton!$A:$A, B46, Eglinton!$F:$F), 0)</f>
        <v/>
      </c>
      <c r="R46" s="10" t="n"/>
      <c r="S46" s="58">
        <f>IFERROR(SUMIF(Oshawa!$A:$A, B46, Oshawa!$F:$F), 0)</f>
        <v/>
      </c>
      <c r="T46" s="58" t="n"/>
      <c r="U46" s="58">
        <f>IFERROR(SUMIF(Milton!$A:$A, B46, Milton!$F:$F), 0)</f>
        <v/>
      </c>
      <c r="V46" s="58" t="n"/>
      <c r="W46" s="11" t="inlineStr">
        <is>
          <t>-</t>
        </is>
      </c>
      <c r="X46" s="9" t="n"/>
      <c r="Y46" s="9" t="inlineStr">
        <is>
          <t>-</t>
        </is>
      </c>
      <c r="Z46" s="12" t="n"/>
      <c r="AA46" s="12" t="n"/>
      <c r="AB46" s="13" t="n"/>
    </row>
    <row r="47">
      <c r="A47" s="49" t="n"/>
      <c r="B47" s="8" t="inlineStr">
        <is>
          <t>P2 Cheese Stuffed Crust - 12</t>
        </is>
      </c>
      <c r="C47" s="9">
        <f>IFERROR(SUMIF('Markham Rd'!$A:$A, B47, 'Markham Rd'!$F:$F), 0)</f>
        <v/>
      </c>
      <c r="D47" s="10" t="n"/>
      <c r="E47" s="9">
        <f>IFERROR(SUMIF(Ajax!$A:$A, B47, Ajax!$F:$F), 0)</f>
        <v/>
      </c>
      <c r="F47" s="10" t="n"/>
      <c r="G47" s="9">
        <f>IFERROR(SUMIF(Lebovic!$A:$A, B47, Lebovic!$F:$F), 0)</f>
        <v/>
      </c>
      <c r="H47" s="10" t="n"/>
      <c r="I47" s="9">
        <f>IFERROR(SUMIF(Wonderland!$A:$A, B47, Wonderland!$F:$F), 0)</f>
        <v/>
      </c>
      <c r="J47" s="10" t="n"/>
      <c r="K47" s="9">
        <f>IFERROR(SUMIF('Pizza Karachi Downtown TO'!$A:$A, B47, 'Pizza Karachi Downtown TO'!$F:$F), 0)</f>
        <v/>
      </c>
      <c r="L47" s="10" t="n"/>
      <c r="M47" s="9">
        <f>IFERROR(SUMIF('Highway Karahi'!$A:$A, B47, 'Highway Karahi'!$F:$F), 0)</f>
        <v/>
      </c>
      <c r="N47" s="10" t="n"/>
      <c r="O47" s="9">
        <f>IFERROR(SUMIF(Heartland!$A:$A, B47, Heartland!$F:$F), 0)</f>
        <v/>
      </c>
      <c r="P47" s="10" t="n"/>
      <c r="Q47" s="9">
        <f>IFERROR(SUMIF(Eglinton!$A:$A, B47, Eglinton!$F:$F), 0)</f>
        <v/>
      </c>
      <c r="R47" s="10" t="n"/>
      <c r="S47" s="58">
        <f>IFERROR(SUMIF(Oshawa!$A:$A, B47, Oshawa!$F:$F), 0)</f>
        <v/>
      </c>
      <c r="T47" s="58" t="n"/>
      <c r="U47" s="58">
        <f>IFERROR(SUMIF(Milton!$A:$A, B47, Milton!$F:$F), 0)</f>
        <v/>
      </c>
      <c r="V47" s="58" t="n"/>
      <c r="W47" s="11" t="inlineStr">
        <is>
          <t>-</t>
        </is>
      </c>
      <c r="X47" s="9" t="n"/>
      <c r="Y47" s="9" t="inlineStr">
        <is>
          <t>-</t>
        </is>
      </c>
      <c r="Z47" s="12" t="n"/>
      <c r="AA47" s="12" t="n"/>
      <c r="AB47" s="13" t="n"/>
    </row>
    <row r="48">
      <c r="A48" s="49" t="n"/>
      <c r="B48" s="8" t="inlineStr">
        <is>
          <t>P1 Cheese Stuffed Crust - 12</t>
        </is>
      </c>
      <c r="C48" s="9">
        <f>IFERROR(SUMIF('Markham Rd'!$A:$A, B48, 'Markham Rd'!$F:$F), 0)</f>
        <v/>
      </c>
      <c r="D48" s="10" t="n"/>
      <c r="E48" s="9">
        <f>IFERROR(SUMIF(Ajax!$A:$A, B48, Ajax!$F:$F), 0)</f>
        <v/>
      </c>
      <c r="F48" s="10" t="n"/>
      <c r="G48" s="9">
        <f>IFERROR(SUMIF(Lebovic!$A:$A, B48, Lebovic!$F:$F), 0)</f>
        <v/>
      </c>
      <c r="H48" s="10" t="n"/>
      <c r="I48" s="9">
        <f>IFERROR(SUMIF(Wonderland!$A:$A, B48, Wonderland!$F:$F), 0)</f>
        <v/>
      </c>
      <c r="J48" s="10" t="n"/>
      <c r="K48" s="9">
        <f>IFERROR(SUMIF('Pizza Karachi Downtown TO'!$A:$A, B48, 'Pizza Karachi Downtown TO'!$F:$F), 0)</f>
        <v/>
      </c>
      <c r="L48" s="10" t="n"/>
      <c r="M48" s="9">
        <f>IFERROR(SUMIF('Highway Karahi'!$A:$A, B48, 'Highway Karahi'!$F:$F), 0)</f>
        <v/>
      </c>
      <c r="N48" s="10" t="n"/>
      <c r="O48" s="9">
        <f>IFERROR(SUMIF(Heartland!$A:$A, B48, Heartland!$F:$F), 0)</f>
        <v/>
      </c>
      <c r="P48" s="10" t="n"/>
      <c r="Q48" s="9">
        <f>IFERROR(SUMIF(Eglinton!$A:$A, B48, Eglinton!$F:$F), 0)</f>
        <v/>
      </c>
      <c r="R48" s="10" t="n"/>
      <c r="S48" s="58">
        <f>IFERROR(SUMIF(Oshawa!$A:$A, B48, Oshawa!$F:$F), 0)</f>
        <v/>
      </c>
      <c r="T48" s="58" t="n"/>
      <c r="U48" s="58">
        <f>IFERROR(SUMIF(Milton!$A:$A, B48, Milton!$F:$F), 0)</f>
        <v/>
      </c>
      <c r="V48" s="58" t="n"/>
      <c r="W48" s="11" t="inlineStr">
        <is>
          <t>-</t>
        </is>
      </c>
      <c r="X48" s="9" t="n"/>
      <c r="Y48" s="9" t="inlineStr">
        <is>
          <t>-</t>
        </is>
      </c>
      <c r="Z48" s="12" t="n"/>
      <c r="AA48" s="12" t="n"/>
      <c r="AB48" s="13" t="n"/>
    </row>
    <row r="49">
      <c r="A49" s="49" t="n"/>
      <c r="B49" s="8" t="inlineStr">
        <is>
          <t>Cheese Stuffed Crust - 12</t>
        </is>
      </c>
      <c r="C49" s="9">
        <f>IFERROR(SUMIF('Markham Rd'!$A:$A, B49, 'Markham Rd'!$F:$F), 0)</f>
        <v/>
      </c>
      <c r="D49" s="10" t="n"/>
      <c r="E49" s="9">
        <f>IFERROR(SUMIF(Ajax!$A:$A, B49, Ajax!$F:$F), 0)</f>
        <v/>
      </c>
      <c r="F49" s="10" t="n"/>
      <c r="G49" s="9">
        <f>IFERROR(SUMIF(Lebovic!$A:$A, B49, Lebovic!$F:$F), 0)</f>
        <v/>
      </c>
      <c r="H49" s="10" t="n"/>
      <c r="I49" s="9">
        <f>IFERROR(SUMIF(Wonderland!$A:$A, B49, Wonderland!$F:$F), 0)</f>
        <v/>
      </c>
      <c r="J49" s="10" t="n"/>
      <c r="K49" s="9">
        <f>IFERROR(SUMIF('Pizza Karachi Downtown TO'!$A:$A, B49, 'Pizza Karachi Downtown TO'!$F:$F), 0)</f>
        <v/>
      </c>
      <c r="L49" s="10" t="n"/>
      <c r="M49" s="9">
        <f>IFERROR(SUMIF('Highway Karahi'!$A:$A, B49, 'Highway Karahi'!$F:$F), 0)</f>
        <v/>
      </c>
      <c r="N49" s="10" t="n"/>
      <c r="O49" s="9">
        <f>IFERROR(SUMIF(Heartland!$A:$A, B49, Heartland!$F:$F), 0)</f>
        <v/>
      </c>
      <c r="P49" s="10" t="n"/>
      <c r="Q49" s="9">
        <f>IFERROR(SUMIF(Eglinton!$A:$A, B49, Eglinton!$F:$F), 0)</f>
        <v/>
      </c>
      <c r="R49" s="10" t="n"/>
      <c r="S49" s="58">
        <f>IFERROR(SUMIF(Oshawa!$A:$A, B49, Oshawa!$F:$F), 0)</f>
        <v/>
      </c>
      <c r="T49" s="58" t="n"/>
      <c r="U49" s="58">
        <f>IFERROR(SUMIF(Milton!$A:$A, B49, Milton!$F:$F), 0)</f>
        <v/>
      </c>
      <c r="V49" s="58" t="n"/>
      <c r="W49" s="11" t="inlineStr">
        <is>
          <t>-</t>
        </is>
      </c>
      <c r="X49" s="9" t="n"/>
      <c r="Y49" s="9" t="inlineStr">
        <is>
          <t>-</t>
        </is>
      </c>
      <c r="Z49" s="12" t="n"/>
      <c r="AA49" s="12" t="n"/>
      <c r="AB49" s="13" t="n"/>
    </row>
    <row r="50">
      <c r="A50" s="49" t="n"/>
      <c r="B50" s="8" t="inlineStr">
        <is>
          <t>Chicken Stuffed Kabab - 10</t>
        </is>
      </c>
      <c r="C50" s="9">
        <f>IFERROR(SUMIF('Markham Rd'!$A:$A, B50, 'Markham Rd'!$F:$F), 0)</f>
        <v/>
      </c>
      <c r="D50" s="10" t="n"/>
      <c r="E50" s="9">
        <f>IFERROR(SUMIF(Ajax!$A:$A, B50, Ajax!$F:$F), 0)</f>
        <v/>
      </c>
      <c r="F50" s="10" t="n"/>
      <c r="G50" s="9">
        <f>IFERROR(SUMIF(Lebovic!$A:$A, B50, Lebovic!$F:$F), 0)</f>
        <v/>
      </c>
      <c r="H50" s="10" t="n"/>
      <c r="I50" s="9">
        <f>IFERROR(SUMIF(Wonderland!$A:$A, B50, Wonderland!$F:$F), 0)</f>
        <v/>
      </c>
      <c r="J50" s="10" t="n"/>
      <c r="K50" s="9">
        <f>IFERROR(SUMIF('Pizza Karachi Downtown TO'!$A:$A, B50, 'Pizza Karachi Downtown TO'!$F:$F), 0)</f>
        <v/>
      </c>
      <c r="L50" s="10" t="n"/>
      <c r="M50" s="9">
        <f>IFERROR(SUMIF('Highway Karahi'!$A:$A, B50, 'Highway Karahi'!$F:$F), 0)</f>
        <v/>
      </c>
      <c r="N50" s="10" t="n"/>
      <c r="O50" s="9">
        <f>IFERROR(SUMIF(Heartland!$A:$A, B50, Heartland!$F:$F), 0)</f>
        <v/>
      </c>
      <c r="P50" s="10" t="n"/>
      <c r="Q50" s="9">
        <f>IFERROR(SUMIF(Eglinton!$A:$A, B50, Eglinton!$F:$F), 0)</f>
        <v/>
      </c>
      <c r="R50" s="10" t="n"/>
      <c r="S50" s="58">
        <f>IFERROR(SUMIF(Oshawa!$A:$A, B50, Oshawa!$F:$F), 0)</f>
        <v/>
      </c>
      <c r="T50" s="58" t="n"/>
      <c r="U50" s="58">
        <f>IFERROR(SUMIF(Milton!$A:$A, B50, Milton!$F:$F), 0)</f>
        <v/>
      </c>
      <c r="V50" s="58" t="n"/>
      <c r="W50" s="11" t="inlineStr">
        <is>
          <t>-</t>
        </is>
      </c>
      <c r="X50" s="9" t="n"/>
      <c r="Y50" s="9" t="inlineStr">
        <is>
          <t>-</t>
        </is>
      </c>
      <c r="Z50" s="12" t="n"/>
      <c r="AA50" s="12" t="n"/>
      <c r="AB50" s="13" t="n"/>
    </row>
    <row r="51">
      <c r="A51" s="49" t="n"/>
      <c r="B51" s="8" t="inlineStr">
        <is>
          <t>Chicken Stuffed Kabab - 12</t>
        </is>
      </c>
      <c r="C51" s="9">
        <f>IFERROR(SUMIF('Markham Rd'!$A:$A, B51, 'Markham Rd'!$F:$F), 0)</f>
        <v/>
      </c>
      <c r="D51" s="10" t="n"/>
      <c r="E51" s="9">
        <f>IFERROR(SUMIF(Ajax!$A:$A, B51, Ajax!$F:$F), 0)</f>
        <v/>
      </c>
      <c r="F51" s="10" t="n"/>
      <c r="G51" s="9">
        <f>IFERROR(SUMIF(Lebovic!$A:$A, B51, Lebovic!$F:$F), 0)</f>
        <v/>
      </c>
      <c r="H51" s="10" t="n"/>
      <c r="I51" s="9">
        <f>IFERROR(SUMIF(Wonderland!$A:$A, B51, Wonderland!$F:$F), 0)</f>
        <v/>
      </c>
      <c r="J51" s="10" t="n"/>
      <c r="K51" s="9">
        <f>IFERROR(SUMIF('Pizza Karachi Downtown TO'!$A:$A, B51, 'Pizza Karachi Downtown TO'!$F:$F), 0)</f>
        <v/>
      </c>
      <c r="L51" s="10" t="n"/>
      <c r="M51" s="9">
        <f>IFERROR(SUMIF('Highway Karahi'!$A:$A, B51, 'Highway Karahi'!$F:$F), 0)</f>
        <v/>
      </c>
      <c r="N51" s="10" t="n"/>
      <c r="O51" s="9">
        <f>IFERROR(SUMIF(Heartland!$A:$A, B51, Heartland!$F:$F), 0)</f>
        <v/>
      </c>
      <c r="P51" s="10" t="n"/>
      <c r="Q51" s="9">
        <f>IFERROR(SUMIF(Eglinton!$A:$A, B51, Eglinton!$F:$F), 0)</f>
        <v/>
      </c>
      <c r="R51" s="10" t="n"/>
      <c r="S51" s="58">
        <f>IFERROR(SUMIF(Oshawa!$A:$A, B51, Oshawa!$F:$F), 0)</f>
        <v/>
      </c>
      <c r="T51" s="58" t="n"/>
      <c r="U51" s="58">
        <f>IFERROR(SUMIF(Milton!$A:$A, B51, Milton!$F:$F), 0)</f>
        <v/>
      </c>
      <c r="V51" s="58" t="n"/>
      <c r="W51" s="11" t="inlineStr">
        <is>
          <t>-</t>
        </is>
      </c>
      <c r="X51" s="9" t="n"/>
      <c r="Y51" s="9" t="inlineStr">
        <is>
          <t>-</t>
        </is>
      </c>
      <c r="Z51" s="12" t="n"/>
      <c r="AA51" s="12" t="n"/>
      <c r="AB51" s="13" t="n"/>
    </row>
    <row r="52">
      <c r="A52" s="49" t="n"/>
      <c r="B52" s="8" t="inlineStr">
        <is>
          <t>P1 Chicken Stuffed Kabab - 12</t>
        </is>
      </c>
      <c r="C52" s="9">
        <f>IFERROR(SUMIF('Markham Rd'!$A:$A, B52, 'Markham Rd'!$F:$F), 0)</f>
        <v/>
      </c>
      <c r="D52" s="10" t="n"/>
      <c r="E52" s="9">
        <f>IFERROR(SUMIF(Ajax!$A:$A, B52, Ajax!$F:$F), 0)</f>
        <v/>
      </c>
      <c r="F52" s="10" t="n"/>
      <c r="G52" s="9">
        <f>IFERROR(SUMIF(Lebovic!$A:$A, B52, Lebovic!$F:$F), 0)</f>
        <v/>
      </c>
      <c r="H52" s="10" t="n"/>
      <c r="I52" s="9">
        <f>IFERROR(SUMIF(Wonderland!$A:$A, B52, Wonderland!$F:$F), 0)</f>
        <v/>
      </c>
      <c r="J52" s="10" t="n"/>
      <c r="K52" s="9">
        <f>IFERROR(SUMIF('Pizza Karachi Downtown TO'!$A:$A, B52, 'Pizza Karachi Downtown TO'!$F:$F), 0)</f>
        <v/>
      </c>
      <c r="L52" s="10" t="n"/>
      <c r="M52" s="9">
        <f>IFERROR(SUMIF('Highway Karahi'!$A:$A, B52, 'Highway Karahi'!$F:$F), 0)</f>
        <v/>
      </c>
      <c r="N52" s="10" t="n"/>
      <c r="O52" s="9">
        <f>IFERROR(SUMIF(Heartland!$A:$A, B52, Heartland!$F:$F), 0)</f>
        <v/>
      </c>
      <c r="P52" s="10" t="n"/>
      <c r="Q52" s="9">
        <f>IFERROR(SUMIF(Eglinton!$A:$A, B52, Eglinton!$F:$F), 0)</f>
        <v/>
      </c>
      <c r="R52" s="10" t="n"/>
      <c r="S52" s="58">
        <f>IFERROR(SUMIF(Oshawa!$A:$A, B52, Oshawa!$F:$F), 0)</f>
        <v/>
      </c>
      <c r="T52" s="58" t="n"/>
      <c r="U52" s="58">
        <f>IFERROR(SUMIF(Milton!$A:$A, B52, Milton!$F:$F), 0)</f>
        <v/>
      </c>
      <c r="V52" s="58" t="n"/>
      <c r="W52" s="15" t="inlineStr">
        <is>
          <t>-</t>
        </is>
      </c>
      <c r="X52" s="16" t="n"/>
      <c r="Y52" s="16" t="inlineStr">
        <is>
          <t>-</t>
        </is>
      </c>
      <c r="Z52" s="12" t="n"/>
      <c r="AA52" s="12" t="n"/>
      <c r="AB52" s="13" t="n"/>
    </row>
    <row r="53">
      <c r="A53" s="49" t="n"/>
      <c r="B53" s="8" t="inlineStr">
        <is>
          <t>P2 Chicken Stuffed Kabab - 12</t>
        </is>
      </c>
      <c r="C53" s="9">
        <f>IFERROR(SUMIF('Markham Rd'!$A:$A, B53, 'Markham Rd'!$F:$F), 0)</f>
        <v/>
      </c>
      <c r="D53" s="10" t="n"/>
      <c r="E53" s="9">
        <f>IFERROR(SUMIF(Ajax!$A:$A, B53, Ajax!$F:$F), 0)</f>
        <v/>
      </c>
      <c r="F53" s="10" t="n"/>
      <c r="G53" s="9">
        <f>IFERROR(SUMIF(Lebovic!$A:$A, B53, Lebovic!$F:$F), 0)</f>
        <v/>
      </c>
      <c r="H53" s="10" t="n"/>
      <c r="I53" s="9">
        <f>IFERROR(SUMIF(Wonderland!$A:$A, B53, Wonderland!$F:$F), 0)</f>
        <v/>
      </c>
      <c r="J53" s="10" t="n"/>
      <c r="K53" s="9">
        <f>IFERROR(SUMIF('Pizza Karachi Downtown TO'!$A:$A, B53, 'Pizza Karachi Downtown TO'!$F:$F), 0)</f>
        <v/>
      </c>
      <c r="L53" s="10" t="n"/>
      <c r="M53" s="9">
        <f>IFERROR(SUMIF('Highway Karahi'!$A:$A, B53, 'Highway Karahi'!$F:$F), 0)</f>
        <v/>
      </c>
      <c r="N53" s="10" t="n"/>
      <c r="O53" s="9">
        <f>IFERROR(SUMIF(Heartland!$A:$A, B53, Heartland!$F:$F), 0)</f>
        <v/>
      </c>
      <c r="P53" s="10" t="n"/>
      <c r="Q53" s="9">
        <f>IFERROR(SUMIF(Eglinton!$A:$A, B53, Eglinton!$F:$F), 0)</f>
        <v/>
      </c>
      <c r="R53" s="10" t="n"/>
      <c r="S53" s="58">
        <f>IFERROR(SUMIF(Oshawa!$A:$A, B53, Oshawa!$F:$F), 0)</f>
        <v/>
      </c>
      <c r="T53" s="58" t="n"/>
      <c r="U53" s="58">
        <f>IFERROR(SUMIF(Milton!$A:$A, B53, Milton!$F:$F), 0)</f>
        <v/>
      </c>
      <c r="V53" s="58" t="n"/>
      <c r="W53" s="11" t="inlineStr">
        <is>
          <t>-</t>
        </is>
      </c>
      <c r="X53" s="9" t="n"/>
      <c r="Y53" s="9" t="inlineStr">
        <is>
          <t>-</t>
        </is>
      </c>
      <c r="Z53" s="12" t="n"/>
      <c r="AA53" s="12" t="n"/>
      <c r="AB53" s="13" t="n"/>
    </row>
    <row r="54">
      <c r="A54" s="49" t="n"/>
      <c r="B54" s="8" t="inlineStr">
        <is>
          <t>Beef Stuffed Kabab - 12</t>
        </is>
      </c>
      <c r="C54" s="9">
        <f>IFERROR(SUMIF('Markham Rd'!$A:$A, B54, 'Markham Rd'!$F:$F), 0)</f>
        <v/>
      </c>
      <c r="D54" s="10" t="n"/>
      <c r="E54" s="9">
        <f>IFERROR(SUMIF(Ajax!$A:$A, B54, Ajax!$F:$F), 0)</f>
        <v/>
      </c>
      <c r="F54" s="10" t="n"/>
      <c r="G54" s="9">
        <f>IFERROR(SUMIF(Lebovic!$A:$A, B54, Lebovic!$F:$F), 0)</f>
        <v/>
      </c>
      <c r="H54" s="10" t="n"/>
      <c r="I54" s="9">
        <f>IFERROR(SUMIF(Wonderland!$A:$A, B54, Wonderland!$F:$F), 0)</f>
        <v/>
      </c>
      <c r="J54" s="10" t="n"/>
      <c r="K54" s="9">
        <f>IFERROR(SUMIF('Pizza Karachi Downtown TO'!$A:$A, B54, 'Pizza Karachi Downtown TO'!$F:$F), 0)</f>
        <v/>
      </c>
      <c r="L54" s="10" t="n"/>
      <c r="M54" s="9">
        <f>IFERROR(SUMIF('Highway Karahi'!$A:$A, B54, 'Highway Karahi'!$F:$F), 0)</f>
        <v/>
      </c>
      <c r="N54" s="10" t="n"/>
      <c r="O54" s="9">
        <f>IFERROR(SUMIF(Heartland!$A:$A, B54, Heartland!$F:$F), 0)</f>
        <v/>
      </c>
      <c r="P54" s="10" t="n"/>
      <c r="Q54" s="9">
        <f>IFERROR(SUMIF(Eglinton!$A:$A, B54, Eglinton!$F:$F), 0)</f>
        <v/>
      </c>
      <c r="R54" s="10" t="n"/>
      <c r="S54" s="58">
        <f>IFERROR(SUMIF(Oshawa!$A:$A, B54, Oshawa!$F:$F), 0)</f>
        <v/>
      </c>
      <c r="T54" s="58" t="n"/>
      <c r="U54" s="58">
        <f>IFERROR(SUMIF(Milton!$A:$A, B54, Milton!$F:$F), 0)</f>
        <v/>
      </c>
      <c r="V54" s="58" t="n"/>
      <c r="W54" s="11" t="inlineStr">
        <is>
          <t>-</t>
        </is>
      </c>
      <c r="X54" s="9" t="n"/>
      <c r="Y54" s="9" t="inlineStr">
        <is>
          <t>-</t>
        </is>
      </c>
      <c r="Z54" s="12" t="n"/>
      <c r="AA54" s="12" t="n"/>
      <c r="AB54" s="13" t="n"/>
    </row>
    <row r="55">
      <c r="A55" s="49" t="n"/>
      <c r="B55" s="8" t="inlineStr">
        <is>
          <t>P1 Beef Stuffed Kabab - 12</t>
        </is>
      </c>
      <c r="C55" s="9">
        <f>IFERROR(SUMIF('Markham Rd'!$A:$A, B55, 'Markham Rd'!$F:$F), 0)</f>
        <v/>
      </c>
      <c r="D55" s="10" t="n"/>
      <c r="E55" s="9">
        <f>IFERROR(SUMIF(Ajax!$A:$A, B55, Ajax!$F:$F), 0)</f>
        <v/>
      </c>
      <c r="F55" s="10" t="n"/>
      <c r="G55" s="9">
        <f>IFERROR(SUMIF(Lebovic!$A:$A, B55, Lebovic!$F:$F), 0)</f>
        <v/>
      </c>
      <c r="H55" s="10" t="n"/>
      <c r="I55" s="9">
        <f>IFERROR(SUMIF(Wonderland!$A:$A, B55, Wonderland!$F:$F), 0)</f>
        <v/>
      </c>
      <c r="J55" s="10" t="n"/>
      <c r="K55" s="9">
        <f>IFERROR(SUMIF('Pizza Karachi Downtown TO'!$A:$A, B55, 'Pizza Karachi Downtown TO'!$F:$F), 0)</f>
        <v/>
      </c>
      <c r="L55" s="10" t="n"/>
      <c r="M55" s="9">
        <f>IFERROR(SUMIF('Highway Karahi'!$A:$A, B55, 'Highway Karahi'!$F:$F), 0)</f>
        <v/>
      </c>
      <c r="N55" s="10" t="n"/>
      <c r="O55" s="9">
        <f>IFERROR(SUMIF(Heartland!$A:$A, B55, Heartland!$F:$F), 0)</f>
        <v/>
      </c>
      <c r="P55" s="10" t="n"/>
      <c r="Q55" s="9">
        <f>IFERROR(SUMIF(Eglinton!$A:$A, B55, Eglinton!$F:$F), 0)</f>
        <v/>
      </c>
      <c r="R55" s="10" t="n"/>
      <c r="S55" s="58">
        <f>IFERROR(SUMIF(Oshawa!$A:$A, B55, Oshawa!$F:$F), 0)</f>
        <v/>
      </c>
      <c r="T55" s="58" t="n"/>
      <c r="U55" s="58">
        <f>IFERROR(SUMIF(Milton!$A:$A, B55, Milton!$F:$F), 0)</f>
        <v/>
      </c>
      <c r="V55" s="58" t="n"/>
      <c r="W55" s="11" t="inlineStr">
        <is>
          <t>-</t>
        </is>
      </c>
      <c r="X55" s="9" t="n"/>
      <c r="Y55" s="9" t="inlineStr">
        <is>
          <t>-</t>
        </is>
      </c>
      <c r="Z55" s="12" t="n"/>
      <c r="AA55" s="12" t="n"/>
      <c r="AB55" s="13" t="n"/>
    </row>
    <row r="56">
      <c r="A56" s="49" t="n"/>
      <c r="B56" s="8" t="inlineStr">
        <is>
          <t>P2 Beef Stuffed Kabab - 12</t>
        </is>
      </c>
      <c r="C56" s="9">
        <f>IFERROR(SUMIF('Markham Rd'!$A:$A, B56, 'Markham Rd'!$F:$F), 0)</f>
        <v/>
      </c>
      <c r="D56" s="10" t="n"/>
      <c r="E56" s="9">
        <f>IFERROR(SUMIF(Ajax!$A:$A, B56, Ajax!$F:$F), 0)</f>
        <v/>
      </c>
      <c r="F56" s="10" t="n"/>
      <c r="G56" s="9">
        <f>IFERROR(SUMIF(Lebovic!$A:$A, B56, Lebovic!$F:$F), 0)</f>
        <v/>
      </c>
      <c r="H56" s="10" t="n"/>
      <c r="I56" s="9">
        <f>IFERROR(SUMIF(Wonderland!$A:$A, B56, Wonderland!$F:$F), 0)</f>
        <v/>
      </c>
      <c r="J56" s="10" t="n"/>
      <c r="K56" s="9">
        <f>IFERROR(SUMIF('Pizza Karachi Downtown TO'!$A:$A, B56, 'Pizza Karachi Downtown TO'!$F:$F), 0)</f>
        <v/>
      </c>
      <c r="L56" s="10" t="n"/>
      <c r="M56" s="9">
        <f>IFERROR(SUMIF('Highway Karahi'!$A:$A, B56, 'Highway Karahi'!$F:$F), 0)</f>
        <v/>
      </c>
      <c r="N56" s="10" t="n"/>
      <c r="O56" s="9">
        <f>IFERROR(SUMIF(Heartland!$A:$A, B56, Heartland!$F:$F), 0)</f>
        <v/>
      </c>
      <c r="P56" s="10" t="n"/>
      <c r="Q56" s="9">
        <f>IFERROR(SUMIF(Eglinton!$A:$A, B56, Eglinton!$F:$F), 0)</f>
        <v/>
      </c>
      <c r="R56" s="10" t="n"/>
      <c r="S56" s="58">
        <f>IFERROR(SUMIF(Oshawa!$A:$A, B56, Oshawa!$F:$F), 0)</f>
        <v/>
      </c>
      <c r="T56" s="58" t="n"/>
      <c r="U56" s="58">
        <f>IFERROR(SUMIF(Milton!$A:$A, B56, Milton!$F:$F), 0)</f>
        <v/>
      </c>
      <c r="V56" s="58" t="n"/>
      <c r="W56" s="11" t="inlineStr">
        <is>
          <t>-</t>
        </is>
      </c>
      <c r="X56" s="9" t="n"/>
      <c r="Y56" s="9" t="inlineStr">
        <is>
          <t>-</t>
        </is>
      </c>
      <c r="Z56" s="12" t="n"/>
      <c r="AA56" s="12" t="n"/>
      <c r="AB56" s="13" t="n"/>
    </row>
    <row r="57">
      <c r="A57" s="49" t="n"/>
      <c r="B57" s="8" t="inlineStr">
        <is>
          <t>Beef Stuffed Kabab - 10</t>
        </is>
      </c>
      <c r="C57" s="26">
        <f>IFERROR(SUMIF('Markham Rd'!$A:$A, B57, 'Markham Rd'!$F:$F), 0)</f>
        <v/>
      </c>
      <c r="D57" s="29" t="n"/>
      <c r="E57" s="26">
        <f>IFERROR(SUMIF(Ajax!$A:$A, B57, Ajax!$F:$F), 0)</f>
        <v/>
      </c>
      <c r="F57" s="29" t="n"/>
      <c r="G57" s="26">
        <f>IFERROR(SUMIF(Lebovic!$A:$A, B57, Lebovic!$F:$F), 0)</f>
        <v/>
      </c>
      <c r="H57" s="29" t="n"/>
      <c r="I57" s="26">
        <f>IFERROR(SUMIF(Wonderland!$A:$A, B57, Wonderland!$F:$F), 0)</f>
        <v/>
      </c>
      <c r="J57" s="29" t="n"/>
      <c r="K57" s="26">
        <f>IFERROR(SUMIF('Pizza Karachi Downtown TO'!$A:$A, B57, 'Pizza Karachi Downtown TO'!$F:$F), 0)</f>
        <v/>
      </c>
      <c r="L57" s="29" t="n"/>
      <c r="M57" s="26">
        <f>IFERROR(SUMIF('Highway Karahi'!$A:$A, B57, 'Highway Karahi'!$F:$F), 0)</f>
        <v/>
      </c>
      <c r="N57" s="29" t="n"/>
      <c r="O57" s="26">
        <f>IFERROR(SUMIF(Heartland!$A:$A, B57, Heartland!$F:$F), 0)</f>
        <v/>
      </c>
      <c r="P57" s="29" t="n"/>
      <c r="Q57" s="26">
        <f>IFERROR(SUMIF(Eglinton!$A:$A, B57, Eglinton!$F:$F), 0)</f>
        <v/>
      </c>
      <c r="R57" s="29" t="n"/>
      <c r="S57" s="60">
        <f>IFERROR(SUMIF(Oshawa!$A:$A, B57, Oshawa!$F:$F), 0)</f>
        <v/>
      </c>
      <c r="T57" s="60" t="n"/>
      <c r="U57" s="60">
        <f>IFERROR(SUMIF(Milton!$A:$A, B57, Milton!$F:$F), 0)</f>
        <v/>
      </c>
      <c r="V57" s="60" t="n"/>
      <c r="W57" s="37" t="inlineStr">
        <is>
          <t>-</t>
        </is>
      </c>
      <c r="X57" s="26" t="n"/>
      <c r="Y57" s="26" t="inlineStr">
        <is>
          <t>-</t>
        </is>
      </c>
      <c r="Z57" s="27" t="n"/>
      <c r="AA57" s="27" t="n"/>
      <c r="AB57" s="13" t="n"/>
    </row>
    <row r="58" ht="15" customHeight="1" thickBot="1">
      <c r="A58" s="49" t="n"/>
      <c r="B58" s="39" t="inlineStr">
        <is>
          <t>Total Stuffed Crust</t>
        </is>
      </c>
      <c r="C58" s="17">
        <f>SUM(C46:C57)</f>
        <v/>
      </c>
      <c r="D58" s="17" t="n"/>
      <c r="E58" s="17">
        <f>SUM(E46:E57)</f>
        <v/>
      </c>
      <c r="F58" s="17" t="n"/>
      <c r="G58" s="17">
        <f>SUM(G46:G57)</f>
        <v/>
      </c>
      <c r="H58" s="17" t="n"/>
      <c r="I58" s="17">
        <f>SUM(I46:I57)</f>
        <v/>
      </c>
      <c r="J58" s="17" t="n"/>
      <c r="K58" s="17">
        <f>SUM(K46:K57)</f>
        <v/>
      </c>
      <c r="L58" s="17" t="n"/>
      <c r="M58" s="17">
        <f>SUM(M46:M57)</f>
        <v/>
      </c>
      <c r="N58" s="17" t="n"/>
      <c r="O58" s="17">
        <f>SUM(O46:O57)</f>
        <v/>
      </c>
      <c r="P58" s="17" t="n"/>
      <c r="Q58" s="17">
        <f>SUM(Q46:Q57)</f>
        <v/>
      </c>
      <c r="R58" s="34" t="n"/>
      <c r="S58" s="61">
        <f>SUM(S46:S57)</f>
        <v/>
      </c>
      <c r="T58" s="61" t="n"/>
      <c r="U58" s="61">
        <f>SUM(U46:U57)</f>
        <v/>
      </c>
      <c r="V58" s="61" t="n"/>
      <c r="W58" s="17" t="n"/>
      <c r="X58" s="18" t="n"/>
      <c r="Y58" s="17" t="n"/>
      <c r="Z58" s="19" t="n"/>
      <c r="AA58" s="35" t="n"/>
      <c r="AB58" s="20" t="n"/>
    </row>
    <row r="59" ht="15" customHeight="1">
      <c r="A59" s="51" t="inlineStr">
        <is>
          <t>Karachi Kabab Wala  and Food Court</t>
        </is>
      </c>
      <c r="B59" s="38" t="inlineStr">
        <is>
          <t>Frozen Haleem</t>
        </is>
      </c>
      <c r="C59" s="9" t="inlineStr">
        <is>
          <t>-</t>
        </is>
      </c>
      <c r="D59" s="38" t="n"/>
      <c r="E59" s="9" t="inlineStr">
        <is>
          <t>-</t>
        </is>
      </c>
      <c r="F59" s="38" t="n"/>
      <c r="G59" s="9" t="inlineStr">
        <is>
          <t>-</t>
        </is>
      </c>
      <c r="H59" s="38" t="n"/>
      <c r="I59" s="9" t="inlineStr">
        <is>
          <t>-</t>
        </is>
      </c>
      <c r="J59" s="38" t="n"/>
      <c r="K59" s="9" t="inlineStr">
        <is>
          <t>-</t>
        </is>
      </c>
      <c r="L59" s="38" t="n"/>
      <c r="M59" s="9" t="inlineStr">
        <is>
          <t>-</t>
        </is>
      </c>
      <c r="N59" s="38" t="n"/>
      <c r="O59" s="9" t="inlineStr">
        <is>
          <t>-</t>
        </is>
      </c>
      <c r="P59" s="38" t="n"/>
      <c r="Q59" s="9" t="inlineStr">
        <is>
          <t>-</t>
        </is>
      </c>
      <c r="R59" s="38" t="n"/>
      <c r="S59" s="58" t="inlineStr">
        <is>
          <t>-</t>
        </is>
      </c>
      <c r="T59" s="58" t="n"/>
      <c r="U59" s="58" t="inlineStr">
        <is>
          <t>-</t>
        </is>
      </c>
      <c r="V59" s="58" t="n"/>
      <c r="W59" s="9">
        <f>IFERROR(SUMIF('Karachi Food Court'!$A:$A, B59, 'Karachi Food Court'!$F:$F), 0)</f>
        <v/>
      </c>
      <c r="X59" s="38" t="n"/>
      <c r="Y59" s="9">
        <f>IFERROR(SUMIF('Karachi Kabab Wala'!$A:$A, B59, 'Karachi Kabab Wala'!$F:$F), 0)</f>
        <v/>
      </c>
      <c r="Z59" s="28" t="n"/>
      <c r="AA59" s="28" t="n"/>
      <c r="AB59" s="28" t="n"/>
    </row>
    <row r="60" ht="15" customHeight="1">
      <c r="A60" s="55" t="n"/>
      <c r="B60" s="24" t="inlineStr">
        <is>
          <t>Frozen Hari Mirch Chicken Qeema</t>
        </is>
      </c>
      <c r="C60" s="9" t="inlineStr">
        <is>
          <t>-</t>
        </is>
      </c>
      <c r="D60" s="24" t="n"/>
      <c r="E60" s="9" t="inlineStr">
        <is>
          <t>-</t>
        </is>
      </c>
      <c r="F60" s="24" t="n"/>
      <c r="G60" s="9" t="inlineStr">
        <is>
          <t>-</t>
        </is>
      </c>
      <c r="H60" s="24" t="n"/>
      <c r="I60" s="9" t="inlineStr">
        <is>
          <t>-</t>
        </is>
      </c>
      <c r="J60" s="24" t="n"/>
      <c r="K60" s="9" t="inlineStr">
        <is>
          <t>-</t>
        </is>
      </c>
      <c r="L60" s="24" t="n"/>
      <c r="M60" s="9" t="inlineStr">
        <is>
          <t>-</t>
        </is>
      </c>
      <c r="N60" s="24" t="n"/>
      <c r="O60" s="9" t="inlineStr">
        <is>
          <t>-</t>
        </is>
      </c>
      <c r="P60" s="24" t="n"/>
      <c r="Q60" s="9" t="inlineStr">
        <is>
          <t>-</t>
        </is>
      </c>
      <c r="R60" s="24" t="n"/>
      <c r="S60" s="58" t="inlineStr">
        <is>
          <t>-</t>
        </is>
      </c>
      <c r="T60" s="58" t="n"/>
      <c r="U60" s="58" t="inlineStr">
        <is>
          <t>-</t>
        </is>
      </c>
      <c r="V60" s="58" t="n"/>
      <c r="W60" s="9">
        <f>IFERROR(SUMIF('Karachi Food Court'!$A:$A, B60, 'Karachi Food Court'!$F:$F), 0)</f>
        <v/>
      </c>
      <c r="X60" s="24" t="n"/>
      <c r="Y60" s="9">
        <f>IFERROR(SUMIF('Karachi Kabab Wala'!$A:$A, B60, 'Karachi Kabab Wala'!$F:$F), 0)</f>
        <v/>
      </c>
      <c r="Z60" s="28" t="n"/>
      <c r="AA60" s="28" t="n"/>
      <c r="AB60" s="28" t="n"/>
    </row>
    <row r="61" ht="14.45" customHeight="1">
      <c r="A61" s="55" t="n"/>
      <c r="B61" s="8" t="inlineStr">
        <is>
          <t>Beef Lover Platter</t>
        </is>
      </c>
      <c r="C61" s="9" t="inlineStr">
        <is>
          <t>-</t>
        </is>
      </c>
      <c r="D61" s="9" t="n"/>
      <c r="E61" s="9" t="inlineStr">
        <is>
          <t>-</t>
        </is>
      </c>
      <c r="F61" s="9" t="n"/>
      <c r="G61" s="9" t="inlineStr">
        <is>
          <t>-</t>
        </is>
      </c>
      <c r="H61" s="9" t="n"/>
      <c r="I61" s="9" t="inlineStr">
        <is>
          <t>-</t>
        </is>
      </c>
      <c r="J61" s="9" t="n"/>
      <c r="K61" s="9" t="inlineStr">
        <is>
          <t>-</t>
        </is>
      </c>
      <c r="L61" s="9" t="n"/>
      <c r="M61" s="9" t="inlineStr">
        <is>
          <t>-</t>
        </is>
      </c>
      <c r="N61" s="9" t="n"/>
      <c r="O61" s="9" t="inlineStr">
        <is>
          <t>-</t>
        </is>
      </c>
      <c r="P61" s="9" t="n"/>
      <c r="Q61" s="9" t="inlineStr">
        <is>
          <t>-</t>
        </is>
      </c>
      <c r="R61" s="9" t="n"/>
      <c r="S61" s="58" t="inlineStr">
        <is>
          <t>-</t>
        </is>
      </c>
      <c r="T61" s="58" t="n"/>
      <c r="U61" s="58" t="inlineStr">
        <is>
          <t>-</t>
        </is>
      </c>
      <c r="V61" s="58" t="n"/>
      <c r="W61" s="9">
        <f>IFERROR(SUMIF('Karachi Food Court'!$A:$A, B61, 'Karachi Food Court'!$F:$F), 0)</f>
        <v/>
      </c>
      <c r="X61" s="10" t="n"/>
      <c r="Y61" s="9">
        <f>IFERROR(SUMIF('Karachi Kabab Wala'!$A:$A, B61, 'Karachi Kabab Wala'!$F:$F), 0)</f>
        <v/>
      </c>
      <c r="Z61" s="10" t="n"/>
      <c r="AA61" s="9">
        <f>IFERROR(SUMIF('Karachi Kabab Wala - Queen'!$A:$A, B61, 'Karachi Kabab Wala - Queen'!$F:$F), 0)</f>
        <v/>
      </c>
      <c r="AB61" s="10" t="n"/>
    </row>
    <row r="62">
      <c r="A62" s="55" t="n"/>
      <c r="B62" s="8" t="inlineStr">
        <is>
          <t>Chicken Lover Platter</t>
        </is>
      </c>
      <c r="C62" s="9" t="inlineStr">
        <is>
          <t>-</t>
        </is>
      </c>
      <c r="D62" s="9" t="n"/>
      <c r="E62" s="9" t="inlineStr">
        <is>
          <t>-</t>
        </is>
      </c>
      <c r="F62" s="9" t="n"/>
      <c r="G62" s="9" t="inlineStr">
        <is>
          <t>-</t>
        </is>
      </c>
      <c r="H62" s="9" t="n"/>
      <c r="I62" s="9" t="inlineStr">
        <is>
          <t>-</t>
        </is>
      </c>
      <c r="J62" s="9" t="n"/>
      <c r="K62" s="9" t="inlineStr">
        <is>
          <t>-</t>
        </is>
      </c>
      <c r="L62" s="9" t="n"/>
      <c r="M62" s="9" t="inlineStr">
        <is>
          <t>-</t>
        </is>
      </c>
      <c r="N62" s="9" t="n"/>
      <c r="O62" s="9" t="inlineStr">
        <is>
          <t>-</t>
        </is>
      </c>
      <c r="P62" s="9" t="n"/>
      <c r="Q62" s="9" t="inlineStr">
        <is>
          <t>-</t>
        </is>
      </c>
      <c r="R62" s="9" t="n"/>
      <c r="S62" s="58" t="inlineStr">
        <is>
          <t>-</t>
        </is>
      </c>
      <c r="T62" s="58" t="n"/>
      <c r="U62" s="58" t="inlineStr">
        <is>
          <t>-</t>
        </is>
      </c>
      <c r="V62" s="58" t="n"/>
      <c r="W62" s="9">
        <f>IFERROR(SUMIF('Karachi Food Court'!$A:$A, B62, 'Karachi Food Court'!$F:$F), 0)</f>
        <v/>
      </c>
      <c r="X62" s="10" t="n"/>
      <c r="Y62" s="9">
        <f>IFERROR(SUMIF('Karachi Kabab Wala'!$A:$A, B62, 'Karachi Kabab Wala'!$F:$F), 0)</f>
        <v/>
      </c>
      <c r="Z62" s="10" t="n"/>
      <c r="AA62" s="9">
        <f>IFERROR(SUMIF('Karachi Kabab Wala - Queen'!$A:$A, B62, 'Karachi Kabab Wala - Queen'!$F:$F), 0)</f>
        <v/>
      </c>
      <c r="AB62" s="10" t="n"/>
    </row>
    <row r="63">
      <c r="A63" s="55" t="n"/>
      <c r="B63" s="8" t="inlineStr">
        <is>
          <t>Mix Platter</t>
        </is>
      </c>
      <c r="C63" s="9" t="inlineStr">
        <is>
          <t>-</t>
        </is>
      </c>
      <c r="D63" s="9" t="n"/>
      <c r="E63" s="9" t="inlineStr">
        <is>
          <t>-</t>
        </is>
      </c>
      <c r="F63" s="9" t="n"/>
      <c r="G63" s="9" t="inlineStr">
        <is>
          <t>-</t>
        </is>
      </c>
      <c r="H63" s="9" t="n"/>
      <c r="I63" s="9" t="inlineStr">
        <is>
          <t>-</t>
        </is>
      </c>
      <c r="J63" s="9" t="n"/>
      <c r="K63" s="9" t="inlineStr">
        <is>
          <t>-</t>
        </is>
      </c>
      <c r="L63" s="9" t="n"/>
      <c r="M63" s="9" t="inlineStr">
        <is>
          <t>-</t>
        </is>
      </c>
      <c r="N63" s="9" t="n"/>
      <c r="O63" s="9" t="inlineStr">
        <is>
          <t>-</t>
        </is>
      </c>
      <c r="P63" s="9" t="n"/>
      <c r="Q63" s="9" t="inlineStr">
        <is>
          <t>-</t>
        </is>
      </c>
      <c r="R63" s="9" t="n"/>
      <c r="S63" s="58" t="inlineStr">
        <is>
          <t>-</t>
        </is>
      </c>
      <c r="T63" s="58" t="n"/>
      <c r="U63" s="58" t="inlineStr">
        <is>
          <t>-</t>
        </is>
      </c>
      <c r="V63" s="58" t="n"/>
      <c r="W63" s="9">
        <f>IFERROR(SUMIF('Karachi Food Court'!$A:$A, B63, 'Karachi Food Court'!$F:$F), 0)</f>
        <v/>
      </c>
      <c r="X63" s="10" t="n"/>
      <c r="Y63" s="9">
        <f>IFERROR(SUMIF('Karachi Kabab Wala'!$A:$A, B63, 'Karachi Kabab Wala'!$F:$F), 0)</f>
        <v/>
      </c>
      <c r="Z63" s="10" t="n"/>
      <c r="AA63" s="9">
        <f>IFERROR(SUMIF('Karachi Kabab Wala - Queen'!$A:$A, B63, 'Karachi Kabab Wala - Queen'!$F:$F), 0)</f>
        <v/>
      </c>
      <c r="AB63" s="10" t="n"/>
    </row>
    <row r="64">
      <c r="A64" s="55" t="n"/>
      <c r="B64" s="8" t="inlineStr">
        <is>
          <t>Premium Platter (KKW)</t>
        </is>
      </c>
      <c r="C64" s="9" t="inlineStr">
        <is>
          <t>-</t>
        </is>
      </c>
      <c r="D64" s="9" t="n"/>
      <c r="E64" s="9" t="inlineStr">
        <is>
          <t>-</t>
        </is>
      </c>
      <c r="F64" s="9" t="n"/>
      <c r="G64" s="9" t="inlineStr">
        <is>
          <t>-</t>
        </is>
      </c>
      <c r="H64" s="9" t="n"/>
      <c r="I64" s="9" t="inlineStr">
        <is>
          <t>-</t>
        </is>
      </c>
      <c r="J64" s="9" t="n"/>
      <c r="K64" s="9" t="inlineStr">
        <is>
          <t>-</t>
        </is>
      </c>
      <c r="L64" s="9" t="n"/>
      <c r="M64" s="9" t="inlineStr">
        <is>
          <t>-</t>
        </is>
      </c>
      <c r="N64" s="9" t="n"/>
      <c r="O64" s="9" t="inlineStr">
        <is>
          <t>-</t>
        </is>
      </c>
      <c r="P64" s="9" t="n"/>
      <c r="Q64" s="9" t="inlineStr">
        <is>
          <t>-</t>
        </is>
      </c>
      <c r="R64" s="9" t="n"/>
      <c r="S64" s="58" t="inlineStr">
        <is>
          <t>-</t>
        </is>
      </c>
      <c r="T64" s="58" t="n"/>
      <c r="U64" s="58" t="inlineStr">
        <is>
          <t>-</t>
        </is>
      </c>
      <c r="V64" s="58" t="n"/>
      <c r="W64" s="9">
        <f>IFERROR(SUMIF('Karachi Food Court'!$A:$A, B64, 'Karachi Food Court'!$F:$F), 0)</f>
        <v/>
      </c>
      <c r="X64" s="10" t="n"/>
      <c r="Y64" s="9">
        <f>IFERROR(SUMIF('Karachi Kabab Wala'!$A:$A, B64, 'Karachi Kabab Wala'!$F:$F), 0)</f>
        <v/>
      </c>
      <c r="Z64" s="10" t="n"/>
      <c r="AA64" s="9">
        <f>IFERROR(SUMIF('Karachi Kabab Wala - Queen'!$A:$A, B64, 'Karachi Kabab Wala - Queen'!$F:$F), 0)</f>
        <v/>
      </c>
      <c r="AB64" s="10" t="n"/>
    </row>
    <row r="65">
      <c r="A65" s="55" t="n"/>
      <c r="B65" s="8" t="inlineStr">
        <is>
          <t>Lunch Deal (KKW)</t>
        </is>
      </c>
      <c r="C65" s="9" t="inlineStr">
        <is>
          <t>-</t>
        </is>
      </c>
      <c r="D65" s="9" t="n"/>
      <c r="E65" s="9" t="inlineStr">
        <is>
          <t>-</t>
        </is>
      </c>
      <c r="F65" s="9" t="n"/>
      <c r="G65" s="9" t="inlineStr">
        <is>
          <t>-</t>
        </is>
      </c>
      <c r="H65" s="9" t="n"/>
      <c r="I65" s="9" t="inlineStr">
        <is>
          <t>-</t>
        </is>
      </c>
      <c r="J65" s="9" t="n"/>
      <c r="K65" s="9" t="inlineStr">
        <is>
          <t>-</t>
        </is>
      </c>
      <c r="L65" s="9" t="n"/>
      <c r="M65" s="9" t="inlineStr">
        <is>
          <t>-</t>
        </is>
      </c>
      <c r="N65" s="9" t="n"/>
      <c r="O65" s="9" t="inlineStr">
        <is>
          <t>-</t>
        </is>
      </c>
      <c r="P65" s="9" t="n"/>
      <c r="Q65" s="9" t="inlineStr">
        <is>
          <t>-</t>
        </is>
      </c>
      <c r="R65" s="9" t="n"/>
      <c r="S65" s="58" t="inlineStr">
        <is>
          <t>-</t>
        </is>
      </c>
      <c r="T65" s="58" t="n"/>
      <c r="U65" s="58" t="inlineStr">
        <is>
          <t>-</t>
        </is>
      </c>
      <c r="V65" s="58" t="n"/>
      <c r="W65" s="9">
        <f>IFERROR(SUMIF('Karachi Food Court'!$A:$A, B65, 'Karachi Food Court'!$F:$F), 0)</f>
        <v/>
      </c>
      <c r="X65" s="10" t="n"/>
      <c r="Y65" s="9">
        <f>IFERROR(SUMIF('Karachi Kabab Wala'!$A:$A, B65, 'Karachi Kabab Wala'!$F:$F), 0)</f>
        <v/>
      </c>
      <c r="Z65" s="10" t="n"/>
      <c r="AA65" s="9">
        <f>IFERROR(SUMIF('Karachi Kabab Wala - Queen'!$A:$A, B65, 'Karachi Kabab Wala - Queen'!$F:$F), 0)</f>
        <v/>
      </c>
      <c r="AB65" s="10" t="n"/>
    </row>
    <row r="66">
      <c r="A66" s="55" t="n"/>
      <c r="B66" s="8" t="inlineStr">
        <is>
          <t>Shami Kabab (Beef) (12)</t>
        </is>
      </c>
      <c r="C66" s="9" t="inlineStr">
        <is>
          <t>-</t>
        </is>
      </c>
      <c r="D66" s="9" t="n"/>
      <c r="E66" s="9" t="inlineStr">
        <is>
          <t>-</t>
        </is>
      </c>
      <c r="F66" s="9" t="n"/>
      <c r="G66" s="9" t="inlineStr">
        <is>
          <t>-</t>
        </is>
      </c>
      <c r="H66" s="9" t="n"/>
      <c r="I66" s="9" t="inlineStr">
        <is>
          <t>-</t>
        </is>
      </c>
      <c r="J66" s="9" t="n"/>
      <c r="K66" s="9" t="inlineStr">
        <is>
          <t>-</t>
        </is>
      </c>
      <c r="L66" s="9" t="n"/>
      <c r="M66" s="9" t="inlineStr">
        <is>
          <t>-</t>
        </is>
      </c>
      <c r="N66" s="9" t="n"/>
      <c r="O66" s="9" t="inlineStr">
        <is>
          <t>-</t>
        </is>
      </c>
      <c r="P66" s="9" t="n"/>
      <c r="Q66" s="9" t="inlineStr">
        <is>
          <t>-</t>
        </is>
      </c>
      <c r="R66" s="9" t="n"/>
      <c r="S66" s="58" t="inlineStr">
        <is>
          <t>-</t>
        </is>
      </c>
      <c r="T66" s="58" t="n"/>
      <c r="U66" s="58" t="inlineStr">
        <is>
          <t>-</t>
        </is>
      </c>
      <c r="V66" s="58" t="n"/>
      <c r="W66" s="9">
        <f>IFERROR(SUMIF('Karachi Food Court'!$A:$A, B66, 'Karachi Food Court'!$F:$F), 0)</f>
        <v/>
      </c>
      <c r="X66" s="10" t="n"/>
      <c r="Y66" s="9">
        <f>IFERROR(SUMIF('Karachi Kabab Wala'!$A:$A, B66, 'Karachi Kabab Wala'!$F:$F), 0)</f>
        <v/>
      </c>
      <c r="Z66" s="10" t="n"/>
      <c r="AA66" s="9">
        <f>IFERROR(SUMIF('Karachi Kabab Wala - Queen'!$A:$A, B66, 'Karachi Kabab Wala - Queen'!$F:$F), 0)</f>
        <v/>
      </c>
      <c r="AB66" s="10" t="n"/>
    </row>
    <row r="67">
      <c r="A67" s="55" t="n"/>
      <c r="B67" s="8" t="inlineStr">
        <is>
          <t>Shami Kabab (Beef (6)</t>
        </is>
      </c>
      <c r="C67" s="9" t="inlineStr">
        <is>
          <t>-</t>
        </is>
      </c>
      <c r="D67" s="9" t="n"/>
      <c r="E67" s="9" t="inlineStr">
        <is>
          <t>-</t>
        </is>
      </c>
      <c r="F67" s="9" t="n"/>
      <c r="G67" s="9" t="inlineStr">
        <is>
          <t>-</t>
        </is>
      </c>
      <c r="H67" s="9" t="n"/>
      <c r="I67" s="9" t="inlineStr">
        <is>
          <t>-</t>
        </is>
      </c>
      <c r="J67" s="9" t="n"/>
      <c r="K67" s="9" t="inlineStr">
        <is>
          <t>-</t>
        </is>
      </c>
      <c r="L67" s="9" t="n"/>
      <c r="M67" s="9" t="inlineStr">
        <is>
          <t>-</t>
        </is>
      </c>
      <c r="N67" s="9" t="n"/>
      <c r="O67" s="9" t="inlineStr">
        <is>
          <t>-</t>
        </is>
      </c>
      <c r="P67" s="9" t="n"/>
      <c r="Q67" s="9" t="inlineStr">
        <is>
          <t>-</t>
        </is>
      </c>
      <c r="R67" s="9" t="n"/>
      <c r="S67" s="58" t="inlineStr">
        <is>
          <t>-</t>
        </is>
      </c>
      <c r="T67" s="58" t="n"/>
      <c r="U67" s="58" t="inlineStr">
        <is>
          <t>-</t>
        </is>
      </c>
      <c r="V67" s="58" t="n"/>
      <c r="W67" s="9">
        <f>IFERROR(SUMIF('Karachi Food Court'!$A:$A, B67, 'Karachi Food Court'!$F:$F), 0)</f>
        <v/>
      </c>
      <c r="X67" s="10" t="n"/>
      <c r="Y67" s="9">
        <f>IFERROR(SUMIF('Karachi Kabab Wala'!$A:$A, B67, 'Karachi Kabab Wala'!$F:$F), 0)</f>
        <v/>
      </c>
      <c r="Z67" s="10" t="n"/>
      <c r="AA67" s="9">
        <f>IFERROR(SUMIF('Karachi Kabab Wala - Queen'!$A:$A, B67, 'Karachi Kabab Wala - Queen'!$F:$F), 0)</f>
        <v/>
      </c>
      <c r="AB67" s="10" t="n"/>
    </row>
    <row r="68">
      <c r="A68" s="55" t="n"/>
      <c r="B68" s="8" t="inlineStr">
        <is>
          <t>Shami Kabab (Chicken) (12)</t>
        </is>
      </c>
      <c r="C68" s="9" t="inlineStr">
        <is>
          <t>-</t>
        </is>
      </c>
      <c r="D68" s="9" t="n"/>
      <c r="E68" s="9" t="inlineStr">
        <is>
          <t>-</t>
        </is>
      </c>
      <c r="F68" s="9" t="n"/>
      <c r="G68" s="9" t="inlineStr">
        <is>
          <t>-</t>
        </is>
      </c>
      <c r="H68" s="9" t="n"/>
      <c r="I68" s="9" t="inlineStr">
        <is>
          <t>-</t>
        </is>
      </c>
      <c r="J68" s="9" t="n"/>
      <c r="K68" s="9" t="inlineStr">
        <is>
          <t>-</t>
        </is>
      </c>
      <c r="L68" s="9" t="n"/>
      <c r="M68" s="9" t="inlineStr">
        <is>
          <t>-</t>
        </is>
      </c>
      <c r="N68" s="9" t="n"/>
      <c r="O68" s="9" t="inlineStr">
        <is>
          <t>-</t>
        </is>
      </c>
      <c r="P68" s="9" t="n"/>
      <c r="Q68" s="9" t="inlineStr">
        <is>
          <t>-</t>
        </is>
      </c>
      <c r="R68" s="9" t="n"/>
      <c r="S68" s="58" t="inlineStr">
        <is>
          <t>-</t>
        </is>
      </c>
      <c r="T68" s="58" t="n"/>
      <c r="U68" s="58" t="inlineStr">
        <is>
          <t>-</t>
        </is>
      </c>
      <c r="V68" s="58" t="n"/>
      <c r="W68" s="9">
        <f>IFERROR(SUMIF('Karachi Food Court'!$A:$A, B68, 'Karachi Food Court'!$F:$F), 0)</f>
        <v/>
      </c>
      <c r="X68" s="10" t="n"/>
      <c r="Y68" s="9">
        <f>IFERROR(SUMIF('Karachi Kabab Wala'!$A:$A, B68, 'Karachi Kabab Wala'!$F:$F), 0)</f>
        <v/>
      </c>
      <c r="Z68" s="10" t="n"/>
      <c r="AA68" s="9">
        <f>IFERROR(SUMIF('Karachi Kabab Wala - Queen'!$A:$A, B68, 'Karachi Kabab Wala - Queen'!$F:$F), 0)</f>
        <v/>
      </c>
      <c r="AB68" s="10" t="n"/>
    </row>
    <row r="69">
      <c r="A69" s="55" t="n"/>
      <c r="B69" s="8" t="inlineStr">
        <is>
          <t>Shami Kabab (Chicken) (6)</t>
        </is>
      </c>
      <c r="C69" s="9" t="inlineStr">
        <is>
          <t>-</t>
        </is>
      </c>
      <c r="D69" s="9" t="n"/>
      <c r="E69" s="9" t="inlineStr">
        <is>
          <t>-</t>
        </is>
      </c>
      <c r="F69" s="9" t="n"/>
      <c r="G69" s="9" t="inlineStr">
        <is>
          <t>-</t>
        </is>
      </c>
      <c r="H69" s="9" t="n"/>
      <c r="I69" s="9" t="inlineStr">
        <is>
          <t>-</t>
        </is>
      </c>
      <c r="J69" s="9" t="n"/>
      <c r="K69" s="9" t="inlineStr">
        <is>
          <t>-</t>
        </is>
      </c>
      <c r="L69" s="9" t="n"/>
      <c r="M69" s="9" t="inlineStr">
        <is>
          <t>-</t>
        </is>
      </c>
      <c r="N69" s="9" t="n"/>
      <c r="O69" s="9" t="inlineStr">
        <is>
          <t>-</t>
        </is>
      </c>
      <c r="P69" s="9" t="n"/>
      <c r="Q69" s="9" t="inlineStr">
        <is>
          <t>-</t>
        </is>
      </c>
      <c r="R69" s="9" t="n"/>
      <c r="S69" s="58" t="inlineStr">
        <is>
          <t>-</t>
        </is>
      </c>
      <c r="T69" s="58" t="n"/>
      <c r="U69" s="58" t="inlineStr">
        <is>
          <t>-</t>
        </is>
      </c>
      <c r="V69" s="58" t="n"/>
      <c r="W69" s="9">
        <f>IFERROR(SUMIF('Karachi Food Court'!$A:$A, B69, 'Karachi Food Court'!$F:$F), 0)</f>
        <v/>
      </c>
      <c r="X69" s="10" t="n"/>
      <c r="Y69" s="9">
        <f>IFERROR(SUMIF('Karachi Kabab Wala'!$A:$A, B69, 'Karachi Kabab Wala'!$F:$F), 0)</f>
        <v/>
      </c>
      <c r="Z69" s="10" t="n"/>
      <c r="AA69" s="9">
        <f>IFERROR(SUMIF('Karachi Kabab Wala - Queen'!$A:$A, B69, 'Karachi Kabab Wala - Queen'!$F:$F), 0)</f>
        <v/>
      </c>
      <c r="AB69" s="10" t="n"/>
    </row>
    <row r="70">
      <c r="A70" s="55" t="n"/>
      <c r="B70" s="8" t="inlineStr">
        <is>
          <t>Shami Kabab (Beef) (12) - OO</t>
        </is>
      </c>
      <c r="C70" s="9" t="inlineStr">
        <is>
          <t>-</t>
        </is>
      </c>
      <c r="D70" s="9" t="n"/>
      <c r="E70" s="9" t="inlineStr">
        <is>
          <t>-</t>
        </is>
      </c>
      <c r="F70" s="9" t="n"/>
      <c r="G70" s="9" t="inlineStr">
        <is>
          <t>-</t>
        </is>
      </c>
      <c r="H70" s="9" t="n"/>
      <c r="I70" s="9" t="inlineStr">
        <is>
          <t>-</t>
        </is>
      </c>
      <c r="J70" s="9" t="n"/>
      <c r="K70" s="9" t="inlineStr">
        <is>
          <t>-</t>
        </is>
      </c>
      <c r="L70" s="9" t="n"/>
      <c r="M70" s="9" t="inlineStr">
        <is>
          <t>-</t>
        </is>
      </c>
      <c r="N70" s="9" t="n"/>
      <c r="O70" s="9" t="inlineStr">
        <is>
          <t>-</t>
        </is>
      </c>
      <c r="P70" s="9" t="n"/>
      <c r="Q70" s="9" t="inlineStr">
        <is>
          <t>-</t>
        </is>
      </c>
      <c r="R70" s="9" t="n"/>
      <c r="S70" s="58" t="inlineStr">
        <is>
          <t>-</t>
        </is>
      </c>
      <c r="T70" s="58" t="n"/>
      <c r="U70" s="58" t="inlineStr">
        <is>
          <t>-</t>
        </is>
      </c>
      <c r="V70" s="58" t="n"/>
      <c r="W70" s="9">
        <f>IFERROR(SUMIF('Karachi Food Court'!$A:$A, B70, 'Karachi Food Court'!$F:$F), 0)</f>
        <v/>
      </c>
      <c r="X70" s="10" t="n"/>
      <c r="Y70" s="9">
        <f>IFERROR(SUMIF('Karachi Kabab Wala'!$A:$A, B70, 'Karachi Kabab Wala'!$F:$F), 0)</f>
        <v/>
      </c>
      <c r="Z70" s="10" t="n"/>
      <c r="AA70" s="9">
        <f>IFERROR(SUMIF('Karachi Kabab Wala - Queen'!$A:$A, B70, 'Karachi Kabab Wala - Queen'!$F:$F), 0)</f>
        <v/>
      </c>
      <c r="AB70" s="10" t="n"/>
    </row>
    <row r="71">
      <c r="A71" s="55" t="n"/>
      <c r="B71" s="8" t="inlineStr">
        <is>
          <t>Shami Kabab (Beef (6) - OO</t>
        </is>
      </c>
      <c r="C71" s="9" t="inlineStr">
        <is>
          <t>-</t>
        </is>
      </c>
      <c r="D71" s="9" t="n"/>
      <c r="E71" s="9" t="inlineStr">
        <is>
          <t>-</t>
        </is>
      </c>
      <c r="F71" s="9" t="n"/>
      <c r="G71" s="9" t="inlineStr">
        <is>
          <t>-</t>
        </is>
      </c>
      <c r="H71" s="9" t="n"/>
      <c r="I71" s="9" t="inlineStr">
        <is>
          <t>-</t>
        </is>
      </c>
      <c r="J71" s="9" t="n"/>
      <c r="K71" s="9" t="inlineStr">
        <is>
          <t>-</t>
        </is>
      </c>
      <c r="L71" s="9" t="n"/>
      <c r="M71" s="9" t="inlineStr">
        <is>
          <t>-</t>
        </is>
      </c>
      <c r="N71" s="9" t="n"/>
      <c r="O71" s="9" t="inlineStr">
        <is>
          <t>-</t>
        </is>
      </c>
      <c r="P71" s="9" t="n"/>
      <c r="Q71" s="9" t="inlineStr">
        <is>
          <t>-</t>
        </is>
      </c>
      <c r="R71" s="9" t="n"/>
      <c r="S71" s="58" t="inlineStr">
        <is>
          <t>-</t>
        </is>
      </c>
      <c r="T71" s="58" t="n"/>
      <c r="U71" s="58" t="inlineStr">
        <is>
          <t>-</t>
        </is>
      </c>
      <c r="V71" s="58" t="n"/>
      <c r="W71" s="9">
        <f>IFERROR(SUMIF('Karachi Food Court'!$A:$A, B71, 'Karachi Food Court'!$F:$F), 0)</f>
        <v/>
      </c>
      <c r="X71" s="10" t="n"/>
      <c r="Y71" s="9">
        <f>IFERROR(SUMIF('Karachi Kabab Wala'!$A:$A, B71, 'Karachi Kabab Wala'!$F:$F), 0)</f>
        <v/>
      </c>
      <c r="Z71" s="10" t="n"/>
      <c r="AA71" s="9">
        <f>IFERROR(SUMIF('Karachi Kabab Wala - Queen'!$A:$A, B71, 'Karachi Kabab Wala - Queen'!$F:$F), 0)</f>
        <v/>
      </c>
      <c r="AB71" s="10" t="n"/>
    </row>
    <row r="72">
      <c r="A72" s="55" t="n"/>
      <c r="B72" s="8" t="inlineStr">
        <is>
          <t>Shami Kabab (Chicken) (12) - OO</t>
        </is>
      </c>
      <c r="C72" s="9" t="inlineStr">
        <is>
          <t>-</t>
        </is>
      </c>
      <c r="D72" s="9" t="n"/>
      <c r="E72" s="9" t="inlineStr">
        <is>
          <t>-</t>
        </is>
      </c>
      <c r="F72" s="9" t="n"/>
      <c r="G72" s="9" t="inlineStr">
        <is>
          <t>-</t>
        </is>
      </c>
      <c r="H72" s="9" t="n"/>
      <c r="I72" s="9" t="inlineStr">
        <is>
          <t>-</t>
        </is>
      </c>
      <c r="J72" s="9" t="n"/>
      <c r="K72" s="9" t="inlineStr">
        <is>
          <t>-</t>
        </is>
      </c>
      <c r="L72" s="9" t="n"/>
      <c r="M72" s="9" t="inlineStr">
        <is>
          <t>-</t>
        </is>
      </c>
      <c r="N72" s="9" t="n"/>
      <c r="O72" s="9" t="inlineStr">
        <is>
          <t>-</t>
        </is>
      </c>
      <c r="P72" s="9" t="n"/>
      <c r="Q72" s="9" t="inlineStr">
        <is>
          <t>-</t>
        </is>
      </c>
      <c r="R72" s="9" t="n"/>
      <c r="S72" s="58" t="inlineStr">
        <is>
          <t>-</t>
        </is>
      </c>
      <c r="T72" s="58" t="n"/>
      <c r="U72" s="58" t="inlineStr">
        <is>
          <t>-</t>
        </is>
      </c>
      <c r="V72" s="58" t="n"/>
      <c r="W72" s="9">
        <f>IFERROR(SUMIF('Karachi Food Court'!$A:$A, B72, 'Karachi Food Court'!$F:$F), 0)</f>
        <v/>
      </c>
      <c r="X72" s="10" t="n"/>
      <c r="Y72" s="9">
        <f>IFERROR(SUMIF('Karachi Kabab Wala'!$A:$A, B72, 'Karachi Kabab Wala'!$F:$F), 0)</f>
        <v/>
      </c>
      <c r="Z72" s="10" t="n"/>
      <c r="AA72" s="9">
        <f>IFERROR(SUMIF('Karachi Kabab Wala - Queen'!$A:$A, B72, 'Karachi Kabab Wala - Queen'!$F:$F), 0)</f>
        <v/>
      </c>
      <c r="AB72" s="10" t="n"/>
    </row>
    <row r="73">
      <c r="A73" s="55" t="n"/>
      <c r="B73" s="25" t="inlineStr">
        <is>
          <t>2 Can Dine (3 Can Share) NEW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inlineStr">
        <is>
          <t>-</t>
        </is>
      </c>
      <c r="N73" s="9" t="n"/>
      <c r="O73" s="9" t="n"/>
      <c r="P73" s="9" t="n"/>
      <c r="Q73" s="9" t="inlineStr">
        <is>
          <t>-</t>
        </is>
      </c>
      <c r="R73" s="9" t="n"/>
      <c r="W73" s="9" t="inlineStr">
        <is>
          <t>-</t>
        </is>
      </c>
      <c r="X73" s="9" t="n"/>
      <c r="Y73" s="9">
        <f>IFERROR(SUMIF('Karachi Kabab Wala'!$A:$A, B73, 'Karachi Kabab Wala'!$F:$F), 0)</f>
        <v/>
      </c>
      <c r="Z73" s="10" t="n"/>
      <c r="AA73" s="9">
        <f>IFERROR(SUMIF('Karachi Kabab Wala - Queen'!$A:$A, B73, 'Karachi Kabab Wala - Queen'!$F:$F), 0)</f>
        <v/>
      </c>
      <c r="AB73" s="10" t="n"/>
    </row>
    <row r="74">
      <c r="A74" s="55" t="n"/>
      <c r="B74" s="25" t="inlineStr">
        <is>
          <t>Lunch Deal with Biryani (KKW)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inlineStr">
        <is>
          <t>-</t>
        </is>
      </c>
      <c r="N74" s="9" t="n"/>
      <c r="O74" s="9" t="n"/>
      <c r="P74" s="9" t="n"/>
      <c r="Q74" s="9" t="inlineStr">
        <is>
          <t>-</t>
        </is>
      </c>
      <c r="R74" s="9" t="n"/>
      <c r="W74" s="9" t="inlineStr">
        <is>
          <t>-</t>
        </is>
      </c>
      <c r="X74" s="9" t="n"/>
      <c r="Y74" s="9">
        <f>IFERROR(SUMIF('Karachi Kabab Wala'!$A:$A, B74, 'Karachi Kabab Wala'!$F:$F), 0)</f>
        <v/>
      </c>
      <c r="Z74" s="10" t="n"/>
      <c r="AA74" s="9">
        <f>IFERROR(SUMIF('Karachi Kabab Wala - Queen'!$A:$A, B74, 'Karachi Kabab Wala - Queen'!$F:$F), 0)</f>
        <v/>
      </c>
      <c r="AB74" s="10" t="n"/>
    </row>
    <row r="75">
      <c r="A75" s="55" t="n"/>
      <c r="B75" s="25" t="inlineStr">
        <is>
          <t>Lunch Deal with Roll (KKW)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inlineStr">
        <is>
          <t>-</t>
        </is>
      </c>
      <c r="N75" s="9" t="n"/>
      <c r="O75" s="9" t="n"/>
      <c r="P75" s="9" t="n"/>
      <c r="Q75" s="9" t="inlineStr">
        <is>
          <t>-</t>
        </is>
      </c>
      <c r="R75" s="9" t="n"/>
      <c r="W75" s="9" t="inlineStr">
        <is>
          <t>-</t>
        </is>
      </c>
      <c r="X75" s="9" t="n"/>
      <c r="Y75" s="9">
        <f>IFERROR(SUMIF('Karachi Kabab Wala'!$A:$A, B75, 'Karachi Kabab Wala'!$F:$F), 0)</f>
        <v/>
      </c>
      <c r="Z75" s="10" t="n"/>
      <c r="AA75" s="9">
        <f>IFERROR(SUMIF('Karachi Kabab Wala - Queen'!$A:$A, B75, 'Karachi Kabab Wala - Queen'!$F:$F), 0)</f>
        <v/>
      </c>
      <c r="AB75" s="10" t="n"/>
    </row>
    <row r="76">
      <c r="A76" s="55" t="n"/>
      <c r="B76" s="25" t="inlineStr">
        <is>
          <t>Halwa Puri BUFFET-All you can eat (KKW)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W76" s="9" t="n"/>
      <c r="X76" s="9" t="n"/>
      <c r="Y76" s="9">
        <f>IFERROR(SUMIF('Karachi Kabab Wala'!$A:$A, B76, 'Karachi Kabab Wala'!$F:$F), 0)</f>
        <v/>
      </c>
      <c r="Z76" s="10" t="n"/>
      <c r="AA76" s="9">
        <f>IFERROR(SUMIF('Karachi Kabab Wala - Queen'!$A:$A, B76, 'Karachi Kabab Wala - Queen'!$F:$F), 0)</f>
        <v/>
      </c>
      <c r="AB76" s="10" t="n"/>
    </row>
    <row r="77">
      <c r="A77" s="55" t="n"/>
      <c r="B77" s="8" t="inlineStr">
        <is>
          <t>Late Night Deal (KKW) - 11PM to Closing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inlineStr">
        <is>
          <t>-</t>
        </is>
      </c>
      <c r="N77" s="9" t="n"/>
      <c r="O77" s="9" t="n"/>
      <c r="P77" s="9" t="n"/>
      <c r="Q77" s="9" t="inlineStr">
        <is>
          <t>-</t>
        </is>
      </c>
      <c r="R77" s="9" t="n"/>
      <c r="W77" s="9" t="inlineStr">
        <is>
          <t>-</t>
        </is>
      </c>
      <c r="X77" s="9" t="n"/>
      <c r="Y77" s="9">
        <f>IFERROR(SUMIF('Karachi Kabab Wala'!$A:$A, B77, 'Karachi Kabab Wala'!$F:$F), 0)</f>
        <v/>
      </c>
      <c r="Z77" s="10" t="n"/>
      <c r="AA77" s="9">
        <f>IFERROR(SUMIF('Karachi Kabab Wala - Queen'!$A:$A, B77, 'Karachi Kabab Wala - Queen'!$F:$F), 0)</f>
        <v/>
      </c>
      <c r="AB77" s="10" t="n"/>
    </row>
    <row r="78">
      <c r="A78" s="56" t="n"/>
      <c r="B78" s="8" t="inlineStr">
        <is>
          <t>Shami Kabab (Chicken) (6) - OO</t>
        </is>
      </c>
      <c r="C78" s="26" t="inlineStr">
        <is>
          <t>-</t>
        </is>
      </c>
      <c r="D78" s="26" t="n"/>
      <c r="E78" s="26" t="inlineStr">
        <is>
          <t>-</t>
        </is>
      </c>
      <c r="F78" s="26" t="n"/>
      <c r="G78" s="26" t="inlineStr">
        <is>
          <t>-</t>
        </is>
      </c>
      <c r="H78" s="26" t="n"/>
      <c r="I78" s="26" t="inlineStr">
        <is>
          <t>-</t>
        </is>
      </c>
      <c r="J78" s="26" t="n"/>
      <c r="K78" s="26" t="inlineStr">
        <is>
          <t>-</t>
        </is>
      </c>
      <c r="L78" s="26" t="n"/>
      <c r="M78" s="26" t="inlineStr">
        <is>
          <t>-</t>
        </is>
      </c>
      <c r="N78" s="26" t="n"/>
      <c r="O78" s="26" t="inlineStr">
        <is>
          <t>-</t>
        </is>
      </c>
      <c r="P78" s="26" t="n"/>
      <c r="Q78" s="26" t="inlineStr">
        <is>
          <t>-</t>
        </is>
      </c>
      <c r="R78" s="26" t="n"/>
      <c r="S78" s="60" t="inlineStr">
        <is>
          <t>-</t>
        </is>
      </c>
      <c r="T78" s="60" t="n"/>
      <c r="U78" s="60" t="inlineStr">
        <is>
          <t>-</t>
        </is>
      </c>
      <c r="V78" s="60" t="n"/>
      <c r="W78" s="26" t="inlineStr">
        <is>
          <t>-</t>
        </is>
      </c>
      <c r="X78" s="26" t="n"/>
      <c r="Y78" s="26">
        <f>IFERROR(SUMIF('Karachi Kabab Wala'!$A:$A, B78, 'Karachi Kabab Wala'!$F:$F), 0)</f>
        <v/>
      </c>
      <c r="Z78" s="29" t="n"/>
      <c r="AA78" s="26">
        <f>IFERROR(SUMIF('Karachi Kabab Wala - Queen'!$A:$A, B78, 'Karachi Kabab Wala - Queen'!$F:$F), 0)</f>
        <v/>
      </c>
      <c r="AB78" s="29" t="n"/>
    </row>
    <row r="79" ht="15" customHeight="1">
      <c r="A79" s="57" t="inlineStr">
        <is>
          <t>Karachi Highway Karahi</t>
        </is>
      </c>
      <c r="B79" s="30" t="inlineStr">
        <is>
          <t>Karahi Tuesday (HW)</t>
        </is>
      </c>
      <c r="C79" s="15" t="inlineStr">
        <is>
          <t>-</t>
        </is>
      </c>
      <c r="D79" s="15" t="n"/>
      <c r="E79" s="15" t="inlineStr">
        <is>
          <t>-</t>
        </is>
      </c>
      <c r="F79" s="15" t="n"/>
      <c r="G79" s="15" t="inlineStr">
        <is>
          <t>-</t>
        </is>
      </c>
      <c r="H79" s="15" t="n"/>
      <c r="I79" s="15" t="inlineStr">
        <is>
          <t>-</t>
        </is>
      </c>
      <c r="J79" s="15" t="n"/>
      <c r="K79" s="15" t="inlineStr">
        <is>
          <t>-</t>
        </is>
      </c>
      <c r="L79" s="15" t="n"/>
      <c r="M79" s="15">
        <f>IFERROR(SUMIF('Highway Karahi'!$A:$A, B79, 'Highway Karahi'!$F:$F), 0)</f>
        <v/>
      </c>
      <c r="N79" s="31" t="n"/>
      <c r="O79" s="15" t="inlineStr">
        <is>
          <t>-</t>
        </is>
      </c>
      <c r="P79" s="15" t="n"/>
      <c r="Q79" s="15" t="inlineStr">
        <is>
          <t>-</t>
        </is>
      </c>
      <c r="R79" s="15" t="n"/>
      <c r="S79" s="59" t="inlineStr">
        <is>
          <t>-</t>
        </is>
      </c>
      <c r="T79" s="59" t="n"/>
      <c r="U79" s="59" t="inlineStr">
        <is>
          <t>-</t>
        </is>
      </c>
      <c r="V79" s="59" t="n"/>
      <c r="W79" s="15" t="inlineStr">
        <is>
          <t>-</t>
        </is>
      </c>
      <c r="X79" s="15" t="n"/>
      <c r="Y79" s="15">
        <f>IFERROR(SUMIF('Karachi Kabab Wala'!$A:$A, B79, 'Karachi Kabab Wala'!$F:$F), 0)</f>
        <v/>
      </c>
      <c r="Z79" s="15" t="n"/>
      <c r="AA79" s="15">
        <f>IFERROR(SUMIF('Karachi Kabab Wala - Queen'!$A:$A, B79, 'Karachi Kabab Wala - Queen'!$F:$F), 0)</f>
        <v/>
      </c>
      <c r="AB79" s="23" t="n"/>
    </row>
    <row r="80" ht="15" customHeight="1">
      <c r="B80" s="30" t="inlineStr">
        <is>
          <t>$13 Lunch Deal (KHK)</t>
        </is>
      </c>
      <c r="C80" s="15" t="inlineStr">
        <is>
          <t>-</t>
        </is>
      </c>
      <c r="D80" s="15" t="n"/>
      <c r="E80" s="15" t="inlineStr">
        <is>
          <t>-</t>
        </is>
      </c>
      <c r="F80" s="15" t="n"/>
      <c r="G80" s="15" t="inlineStr">
        <is>
          <t>-</t>
        </is>
      </c>
      <c r="H80" s="15" t="n"/>
      <c r="I80" s="15" t="inlineStr">
        <is>
          <t>-</t>
        </is>
      </c>
      <c r="J80" s="15" t="n"/>
      <c r="K80" s="15" t="inlineStr">
        <is>
          <t>-</t>
        </is>
      </c>
      <c r="L80" s="15" t="n"/>
      <c r="M80" s="15">
        <f>IFERROR(SUMIF('Highway Karahi'!$A:$A, B80, 'Highway Karahi'!$F:$F), 0)</f>
        <v/>
      </c>
      <c r="N80" s="31" t="n"/>
      <c r="O80" s="15" t="inlineStr">
        <is>
          <t>-</t>
        </is>
      </c>
      <c r="P80" s="15" t="n"/>
      <c r="Q80" s="15" t="inlineStr">
        <is>
          <t>-</t>
        </is>
      </c>
      <c r="R80" s="15" t="n"/>
      <c r="S80" s="59" t="inlineStr">
        <is>
          <t>-</t>
        </is>
      </c>
      <c r="T80" s="59" t="n"/>
      <c r="U80" s="59" t="inlineStr">
        <is>
          <t>-</t>
        </is>
      </c>
      <c r="V80" s="59" t="n"/>
      <c r="W80" s="15" t="inlineStr">
        <is>
          <t>-</t>
        </is>
      </c>
      <c r="X80" s="15" t="n"/>
      <c r="Y80" s="15">
        <f>IFERROR(SUMIF('Karachi Kabab Wala'!$A:$A, B80, 'Karachi Kabab Wala'!$F:$F), 0)</f>
        <v/>
      </c>
      <c r="Z80" s="15" t="n"/>
      <c r="AA80" s="15">
        <f>IFERROR(SUMIF('Karachi Kabab Wala - Queen'!$A:$A, B80, 'Karachi Kabab Wala - Queen'!$F:$F), 0)</f>
        <v/>
      </c>
      <c r="AB80" s="23" t="n"/>
    </row>
    <row r="81" ht="15" customHeight="1">
      <c r="B81" s="32" t="inlineStr">
        <is>
          <t>Buffet Special (Adult)</t>
        </is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>
        <f>IFERROR(SUMIF('Highway Karahi'!$A:$A, B81, 'Highway Karahi'!$F:$F), 0)</f>
        <v/>
      </c>
      <c r="N81" s="31" t="n"/>
      <c r="O81" s="15" t="n"/>
      <c r="P81" s="15" t="n"/>
      <c r="Q81" s="15" t="n"/>
      <c r="R81" s="15" t="n"/>
      <c r="W81" s="15" t="n"/>
      <c r="X81" s="15" t="n"/>
      <c r="Y81" s="15" t="n"/>
      <c r="Z81" s="15" t="n"/>
      <c r="AA81" s="23" t="n"/>
      <c r="AB81" s="23" t="n"/>
    </row>
    <row r="82" ht="15" customHeight="1" thickBot="1">
      <c r="A82" s="44" t="n"/>
      <c r="B82" s="33" t="inlineStr">
        <is>
          <t>Buffet Special (Kids)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>
        <f>IFERROR(SUMIF('Highway Karahi'!$A:$A, B82, 'Highway Karahi'!$F:$F), 0)</f>
        <v/>
      </c>
      <c r="N82" s="34" t="n"/>
      <c r="O82" s="18" t="n"/>
      <c r="P82" s="18" t="n"/>
      <c r="Q82" s="18" t="n"/>
      <c r="R82" s="18" t="n"/>
      <c r="W82" s="18" t="n"/>
      <c r="X82" s="18" t="n"/>
      <c r="Y82" s="18" t="n"/>
      <c r="Z82" s="18" t="n"/>
      <c r="AA82" s="35" t="n"/>
      <c r="AB82" s="35" t="n"/>
    </row>
    <row r="83" ht="14.45" customHeight="1"/>
  </sheetData>
  <mergeCells count="5">
    <mergeCell ref="A4:A45"/>
    <mergeCell ref="A79:A82"/>
    <mergeCell ref="A46:A58"/>
    <mergeCell ref="A59:A78"/>
    <mergeCell ref="A1:AB2"/>
  </mergeCells>
  <hyperlinks>
    <hyperlink xmlns:r="http://schemas.openxmlformats.org/officeDocument/2006/relationships" ref="B10" display="https://admin.touchbistro.com/venue-management/bases/01439546-d97c-445a-8cb5-be2395ed6522/menu-management/menu-items/df6f390b-46a4-4b51-89f5-1516c0211b2d/edit" r:id="rId1"/>
    <hyperlink xmlns:r="http://schemas.openxmlformats.org/officeDocument/2006/relationships" ref="B11" display="https://admin.touchbistro.com/venue-management/bases/01439546-d97c-445a-8cb5-be2395ed6522/menu-management/menu-items/05e47ae2-2b51-45c5-9f02-5ce3dda2211a/edit" r:id="rId2"/>
    <hyperlink xmlns:r="http://schemas.openxmlformats.org/officeDocument/2006/relationships" ref="B12" display="https://admin.touchbistro.com/venue-management/bases/01439546-d97c-445a-8cb5-be2395ed6522/menu-management/menu-items/0c847f67-21a1-4065-8c8c-e317e0495309/edit" r:id="rId3"/>
    <hyperlink xmlns:r="http://schemas.openxmlformats.org/officeDocument/2006/relationships" ref="B13" display="https://admin.touchbistro.com/venue-management/bases/01439546-d97c-445a-8cb5-be2395ed6522/menu-management/menu-items/aa128a42-f6cb-46eb-b14c-3b51fe42c195/edit" r:id="rId4"/>
    <hyperlink xmlns:r="http://schemas.openxmlformats.org/officeDocument/2006/relationships" ref="B14" display="https://admin.touchbistro.com/venue-management/bases/01439546-d97c-445a-8cb5-be2395ed6522/menu-management/menu-items/2f9d951f-cb90-4247-95ce-6cbb91cfefa1/edit" r:id="rId5"/>
    <hyperlink xmlns:r="http://schemas.openxmlformats.org/officeDocument/2006/relationships" ref="B15" display="https://admin.touchbistro.com/venue-management/bases/01439546-d97c-445a-8cb5-be2395ed6522/menu-management/menu-items/4fe94ce1-0426-4371-81b0-285b4302c4af/edit" r:id="rId6"/>
    <hyperlink xmlns:r="http://schemas.openxmlformats.org/officeDocument/2006/relationships" ref="B16" display="https://admin.touchbistro.com/venue-management/bases/01439546-d97c-445a-8cb5-be2395ed6522/menu-management/menu-items/e3b52986-97d2-4e33-b0d2-e2e6715f38f9/edit" r:id="rId7"/>
    <hyperlink xmlns:r="http://schemas.openxmlformats.org/officeDocument/2006/relationships" ref="B17" display="https://admin.touchbistro.com/venue-management/bases/01439546-d97c-445a-8cb5-be2395ed6522/menu-management/menu-items/4412b54e-3f7f-4ca8-80e6-e3c45a026580/edit" r:id="rId8"/>
    <hyperlink xmlns:r="http://schemas.openxmlformats.org/officeDocument/2006/relationships" ref="B18" display="https://admin.touchbistro.com/venue-management/bases/01439546-d97c-445a-8cb5-be2395ed6522/menu-management/menu-items/84f84934-dcb3-4e05-8425-43d391649546/edit" r:id="rId9"/>
    <hyperlink xmlns:r="http://schemas.openxmlformats.org/officeDocument/2006/relationships" ref="B19" display="https://admin.touchbistro.com/venue-management/bases/01439546-d97c-445a-8cb5-be2395ed6522/menu-management/menu-items/7cdbd6c6-b939-4df3-939f-5cd9344779e7/edit" r:id="rId10"/>
    <hyperlink xmlns:r="http://schemas.openxmlformats.org/officeDocument/2006/relationships" ref="B20" display="https://admin.touchbistro.com/venue-management/bases/01439546-d97c-445a-8cb5-be2395ed6522/menu-management/menu-items/59f019da-bb37-4a18-bea4-26d990b5040c/edit" r:id="rId11"/>
    <hyperlink xmlns:r="http://schemas.openxmlformats.org/officeDocument/2006/relationships" ref="B21" display="https://admin.touchbistro.com/venue-management/bases/01439546-d97c-445a-8cb5-be2395ed6522/menu-management/menu-items/2bd61595-812c-4416-a307-222a02b47505/edit" r:id="rId12"/>
    <hyperlink xmlns:r="http://schemas.openxmlformats.org/officeDocument/2006/relationships" ref="B22" display="https://admin.touchbistro.com/venue-management/bases/01439546-d97c-445a-8cb5-be2395ed6522/menu-management/menu-items/50393bcc-d010-4a6e-8fef-a98027e00f00/edit" r:id="rId13"/>
    <hyperlink xmlns:r="http://schemas.openxmlformats.org/officeDocument/2006/relationships" ref="B23" display="https://admin.touchbistro.com/venue-management/bases/01439546-d97c-445a-8cb5-be2395ed6522/menu-management/menu-items/accf72be-911b-42c7-a918-d3f60740e488/edit" r:id="rId14"/>
    <hyperlink xmlns:r="http://schemas.openxmlformats.org/officeDocument/2006/relationships" ref="B24" display="https://admin.touchbistro.com/venue-management/bases/01439546-d97c-445a-8cb5-be2395ed6522/menu-management/menu-items/9e3d9f50-4f51-4952-9435-e24cce4fc01e/edit" r:id="rId15"/>
    <hyperlink xmlns:r="http://schemas.openxmlformats.org/officeDocument/2006/relationships" ref="B25" display="https://admin.touchbistro.com/venue-management/bases/01439546-d97c-445a-8cb5-be2395ed6522/menu-management/menu-items/93b60787-751d-4fdf-a4b3-3bc58974092a/edit" r:id="rId16"/>
    <hyperlink xmlns:r="http://schemas.openxmlformats.org/officeDocument/2006/relationships" ref="B26" display="https://admin.touchbistro.com/venue-management/bases/01439546-d97c-445a-8cb5-be2395ed6522/menu-management/menu-items/5b36a339-0250-4b39-95b2-72c24c966d71/edit" r:id="rId17"/>
    <hyperlink xmlns:r="http://schemas.openxmlformats.org/officeDocument/2006/relationships" ref="B27" display="https://admin.touchbistro.com/venue-management/bases/01439546-d97c-445a-8cb5-be2395ed6522/menu-management/menu-items/8b2f9892-70fd-4992-8aff-94d6d2e4a8be/edit" r:id="rId18"/>
    <hyperlink xmlns:r="http://schemas.openxmlformats.org/officeDocument/2006/relationships" ref="B28" display="https://admin.touchbistro.com/venue-management/bases/01439546-d97c-445a-8cb5-be2395ed6522/menu-management/menu-items/f2f68cfd-160f-443f-b0e2-5944eb30dcbb/edit" r:id="rId19"/>
    <hyperlink xmlns:r="http://schemas.openxmlformats.org/officeDocument/2006/relationships" ref="B73" display="https://admin.touchbistro.com/venue-management/bases/01439546-d97c-445a-8cb5-be2395ed6522/menu-management/menu-items/8923206e-df78-4292-8b5a-a727be8dda3b/edit" r:id="rId20"/>
    <hyperlink xmlns:r="http://schemas.openxmlformats.org/officeDocument/2006/relationships" ref="B74" display="https://admin.touchbistro.com/venue-management/bases/01439546-d97c-445a-8cb5-be2395ed6522/menu-management/menu-items/a8616aa7-a5b9-4995-ab0f-5a596af3d4cf/edit" r:id="rId21"/>
    <hyperlink xmlns:r="http://schemas.openxmlformats.org/officeDocument/2006/relationships" ref="B75" display="https://admin.touchbistro.com/venue-management/bases/01439546-d97c-445a-8cb5-be2395ed6522/menu-management/menu-items/ec911df3-6ffa-4635-831d-3567717d4aee/edit" r:id="rId22"/>
    <hyperlink xmlns:r="http://schemas.openxmlformats.org/officeDocument/2006/relationships" ref="B76" display="https://admin.touchbistro.com/venue-management/bases/01439546-d97c-445a-8cb5-be2395ed6522/menu-management/menu-items/27758f93-2425-4fcc-ad9c-5290c34d77d0/edit" r:id="rId23"/>
    <hyperlink xmlns:r="http://schemas.openxmlformats.org/officeDocument/2006/relationships" ref="B81" display="https://admin.touchbistro.com/venue-management/bases/01439546-d97c-445a-8cb5-be2395ed6522/menu-management/menu-items/65b3938d-6ca8-4ae3-a145-9c456e9a2f4f/edit" r:id="rId24"/>
    <hyperlink xmlns:r="http://schemas.openxmlformats.org/officeDocument/2006/relationships" ref="B82" display="https://admin.touchbistro.com/venue-management/bases/01439546-d97c-445a-8cb5-be2395ed6522/menu-management/menu-items/55c760df-a930-4b4f-81ad-c3453e901016/edit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2026-05-10T16:36:25Z</dcterms:created>
  <dcterms:modified xsi:type="dcterms:W3CDTF">2026-08-31T19:08:25Z</dcterms:modified>
  <cp:lastModifiedBy>Syed Ateeb Naveed</cp:lastModifiedBy>
</cp:coreProperties>
</file>